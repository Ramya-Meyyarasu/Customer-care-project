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3.xml" ContentType="application/vnd.openxmlformats-officedocument.spreadsheetml.table+xml"/>
  <Override PartName="/xl/tables/table4.xml" ContentType="application/vnd.openxmlformats-officedocument.spreadsheetml.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amya\OneDrive\Desktop\"/>
    </mc:Choice>
  </mc:AlternateContent>
  <xr:revisionPtr revIDLastSave="0" documentId="13_ncr:1_{6525A5FE-3C07-4051-A397-35F5421BA40D}" xr6:coauthVersionLast="47" xr6:coauthVersionMax="47" xr10:uidLastSave="{00000000-0000-0000-0000-000000000000}"/>
  <bookViews>
    <workbookView xWindow="-108" yWindow="-108" windowWidth="23256" windowHeight="12456" activeTab="3" xr2:uid="{9BD485D9-75E6-479B-87D5-66DEE64E8BE7}"/>
  </bookViews>
  <sheets>
    <sheet name="Basic" sheetId="1" r:id="rId1"/>
    <sheet name="Medals" sheetId="4" r:id="rId2"/>
    <sheet name="Staff" sheetId="5" r:id="rId3"/>
    <sheet name="Formulas" sheetId="3" r:id="rId4"/>
    <sheet name="Pivot tables" sheetId="6" r:id="rId5"/>
    <sheet name="1 &amp; 2" sheetId="8" r:id="rId6"/>
    <sheet name="3&amp;4" sheetId="9" r:id="rId7"/>
    <sheet name="6&amp;7" sheetId="11" r:id="rId8"/>
    <sheet name="5" sheetId="10" r:id="rId9"/>
    <sheet name="8" sheetId="12" r:id="rId10"/>
    <sheet name="9" sheetId="13" r:id="rId11"/>
    <sheet name="10" sheetId="14" r:id="rId12"/>
    <sheet name="Sheet2" sheetId="16" r:id="rId13"/>
    <sheet name="Data" sheetId="7" r:id="rId14"/>
    <sheet name="PROJECT" sheetId="15" r:id="rId15"/>
  </sheets>
  <definedNames>
    <definedName name="_xlnm._FilterDatabase" localSheetId="0" hidden="1">Basic!$A$1:$I$58</definedName>
    <definedName name="_xlnm._FilterDatabase" localSheetId="3" hidden="1">Formulas!$D$170:$E$182</definedName>
    <definedName name="_xlcn.WorksheetConnection_excel20learningRecovered.xlsxCALLS1" hidden="1">calls[]</definedName>
    <definedName name="_xlcn.WorksheetConnection_excel20learningRecovered.xlsxCUSTOMERS1" hidden="1">CUSTOMERS[]</definedName>
    <definedName name="ExternalData_1" localSheetId="1" hidden="1">Medals!$A$1:$G$94</definedName>
    <definedName name="ExternalData_1" localSheetId="2" hidden="1">Staff!$A$1:$N$261</definedName>
    <definedName name="Slicer_Representative">#N/A</definedName>
    <definedName name="Slicer_Representative1">#N/A</definedName>
    <definedName name="Slicer_Representative2">#N/A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s>
  <extLst>
    <ext xmlns:x14="http://schemas.microsoft.com/office/spreadsheetml/2009/9/main" uri="{876F7934-8845-4945-9796-88D515C7AA90}">
      <x14:pivotCaches>
        <pivotCache cacheId="10" r:id="rId26"/>
      </x14:pivotCaches>
    </ex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excel%20learning (Recovered).xlsx!CUSTOMERS"/>
          <x15:modelTable id="CALLS" name="CALLS" connection="WorksheetConnection_excel%20learning (Recovered).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5" i="15" l="1"/>
  <c r="O16" i="15"/>
  <c r="P16" i="15"/>
  <c r="Q16" i="15"/>
  <c r="R16" i="15"/>
  <c r="S16" i="15"/>
  <c r="T16" i="15"/>
  <c r="U16" i="15"/>
  <c r="O17" i="15"/>
  <c r="P17" i="15"/>
  <c r="Q17" i="15"/>
  <c r="R17" i="15"/>
  <c r="S17" i="15"/>
  <c r="T17" i="15"/>
  <c r="U17" i="15"/>
  <c r="O18" i="15"/>
  <c r="P18" i="15"/>
  <c r="Q18" i="15"/>
  <c r="R18" i="15"/>
  <c r="S18" i="15"/>
  <c r="T18" i="15"/>
  <c r="U18" i="15"/>
  <c r="O19" i="15"/>
  <c r="P19" i="15"/>
  <c r="Q19" i="15"/>
  <c r="R19" i="15"/>
  <c r="S19" i="15"/>
  <c r="T19" i="15"/>
  <c r="U19" i="15"/>
  <c r="O20" i="15"/>
  <c r="O21" i="15"/>
  <c r="P21" i="15"/>
  <c r="Q21" i="15"/>
  <c r="R21" i="15"/>
  <c r="S21" i="15"/>
  <c r="T21" i="15"/>
  <c r="U21" i="15"/>
  <c r="O22" i="15"/>
  <c r="P22" i="15"/>
  <c r="Q22" i="15"/>
  <c r="R22" i="15"/>
  <c r="S22" i="15"/>
  <c r="T22" i="15"/>
  <c r="U22" i="15"/>
  <c r="O23" i="15"/>
  <c r="P23" i="15"/>
  <c r="Q23" i="15"/>
  <c r="R23" i="15"/>
  <c r="S23" i="15"/>
  <c r="T23" i="15"/>
  <c r="U23" i="15"/>
  <c r="O24" i="15"/>
  <c r="P24" i="15"/>
  <c r="Q24" i="15"/>
  <c r="R24" i="15"/>
  <c r="S24" i="15"/>
  <c r="T24" i="15"/>
  <c r="U24" i="15"/>
  <c r="O25" i="15"/>
  <c r="P25" i="15"/>
  <c r="Q25" i="15"/>
  <c r="R25" i="15"/>
  <c r="S25" i="15"/>
  <c r="T25" i="15"/>
  <c r="U25" i="15"/>
  <c r="O26" i="15"/>
  <c r="P26" i="15"/>
  <c r="Q26" i="15"/>
  <c r="R26" i="15"/>
  <c r="S26" i="15"/>
  <c r="T26" i="15"/>
  <c r="U26" i="15"/>
  <c r="O27" i="15"/>
  <c r="O28" i="15"/>
  <c r="P28" i="15"/>
  <c r="Q28" i="15"/>
  <c r="R28" i="15"/>
  <c r="S28" i="15"/>
  <c r="T28" i="15"/>
  <c r="U28" i="15"/>
  <c r="O29" i="15"/>
  <c r="P29" i="15"/>
  <c r="Q29" i="15"/>
  <c r="R29" i="15"/>
  <c r="S29" i="15"/>
  <c r="T29" i="15"/>
  <c r="U29" i="15"/>
  <c r="O30" i="15"/>
  <c r="P30" i="15"/>
  <c r="Q30" i="15"/>
  <c r="R30" i="15"/>
  <c r="S30" i="15"/>
  <c r="T30" i="15"/>
  <c r="U30" i="15"/>
  <c r="O31" i="15"/>
  <c r="P31" i="15"/>
  <c r="Q31" i="15"/>
  <c r="R31" i="15"/>
  <c r="S31" i="15"/>
  <c r="T31" i="15"/>
  <c r="U31" i="15"/>
  <c r="O32" i="15"/>
  <c r="P32" i="15"/>
  <c r="Q32" i="15"/>
  <c r="R32" i="15"/>
  <c r="S32" i="15"/>
  <c r="T32" i="15"/>
  <c r="U32" i="15"/>
  <c r="J40" i="16"/>
  <c r="J39" i="16"/>
  <c r="J38" i="16"/>
  <c r="J37" i="16"/>
  <c r="J36" i="16"/>
  <c r="I40" i="16"/>
  <c r="I39" i="16"/>
  <c r="I38" i="16"/>
  <c r="I37" i="16"/>
  <c r="I36" i="16"/>
  <c r="F36" i="16" a="1"/>
  <c r="F36" i="16" s="1"/>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J5" i="7" a="1"/>
  <c r="J5" i="7"/>
  <c r="J6" i="7" a="1"/>
  <c r="J6" i="7"/>
  <c r="J7" i="7" a="1"/>
  <c r="J7" i="7"/>
  <c r="J8" i="7" a="1"/>
  <c r="J8" i="7"/>
  <c r="J9" i="7" a="1"/>
  <c r="J9" i="7"/>
  <c r="J10" i="7" a="1"/>
  <c r="J10" i="7"/>
  <c r="J11" i="7" a="1"/>
  <c r="J11" i="7"/>
  <c r="J12" i="7" a="1"/>
  <c r="J12" i="7"/>
  <c r="J13" i="7" a="1"/>
  <c r="J13" i="7"/>
  <c r="J14" i="7" a="1"/>
  <c r="J14" i="7"/>
  <c r="J15" i="7" a="1"/>
  <c r="J15" i="7"/>
  <c r="J16" i="7" a="1"/>
  <c r="J16" i="7"/>
  <c r="J17" i="7" a="1"/>
  <c r="J17" i="7"/>
  <c r="J18" i="7" a="1"/>
  <c r="J18" i="7"/>
  <c r="J19" i="7" a="1"/>
  <c r="J19" i="7"/>
  <c r="J20" i="7" a="1"/>
  <c r="J20" i="7"/>
  <c r="J21" i="7" a="1"/>
  <c r="J21" i="7"/>
  <c r="J22" i="7" a="1"/>
  <c r="J22" i="7"/>
  <c r="J23" i="7" a="1"/>
  <c r="J23" i="7"/>
  <c r="J24" i="7" a="1"/>
  <c r="J24" i="7"/>
  <c r="J25" i="7" a="1"/>
  <c r="J25" i="7"/>
  <c r="J26" i="7" a="1"/>
  <c r="J26" i="7"/>
  <c r="J27" i="7" a="1"/>
  <c r="J27" i="7"/>
  <c r="J28" i="7" a="1"/>
  <c r="J28" i="7"/>
  <c r="J29" i="7" a="1"/>
  <c r="J29" i="7"/>
  <c r="J30" i="7" a="1"/>
  <c r="J30" i="7"/>
  <c r="J31" i="7" a="1"/>
  <c r="J31" i="7"/>
  <c r="J32" i="7" a="1"/>
  <c r="J32" i="7"/>
  <c r="J33" i="7" a="1"/>
  <c r="J33" i="7"/>
  <c r="J34" i="7" a="1"/>
  <c r="J34" i="7"/>
  <c r="J35" i="7" a="1"/>
  <c r="J35" i="7"/>
  <c r="J36" i="7" a="1"/>
  <c r="J36" i="7"/>
  <c r="J37" i="7" a="1"/>
  <c r="J37" i="7"/>
  <c r="J38" i="7" a="1"/>
  <c r="J38" i="7"/>
  <c r="J39" i="7" a="1"/>
  <c r="J39" i="7"/>
  <c r="J40" i="7" a="1"/>
  <c r="J40" i="7"/>
  <c r="J41" i="7" a="1"/>
  <c r="J41" i="7"/>
  <c r="J42" i="7" a="1"/>
  <c r="J42" i="7"/>
  <c r="J43" i="7" a="1"/>
  <c r="J43" i="7"/>
  <c r="J44" i="7" a="1"/>
  <c r="J44" i="7"/>
  <c r="J45" i="7" a="1"/>
  <c r="J45" i="7"/>
  <c r="J46" i="7" a="1"/>
  <c r="J46" i="7"/>
  <c r="J47" i="7" a="1"/>
  <c r="J47" i="7"/>
  <c r="J48" i="7" a="1"/>
  <c r="J48" i="7"/>
  <c r="J49" i="7" a="1"/>
  <c r="J49" i="7"/>
  <c r="J50" i="7" a="1"/>
  <c r="J50" i="7" s="1"/>
  <c r="J51" i="7" a="1"/>
  <c r="J51" i="7" s="1"/>
  <c r="J52" i="7" a="1"/>
  <c r="J52" i="7" s="1"/>
  <c r="J53" i="7" a="1"/>
  <c r="J53" i="7" s="1"/>
  <c r="J54" i="7" a="1"/>
  <c r="J54" i="7"/>
  <c r="J55" i="7" a="1"/>
  <c r="J55" i="7" s="1"/>
  <c r="J56" i="7" a="1"/>
  <c r="J56" i="7" s="1"/>
  <c r="J57" i="7" a="1"/>
  <c r="J57" i="7" s="1"/>
  <c r="J58" i="7" a="1"/>
  <c r="J58" i="7" s="1"/>
  <c r="J59" i="7" a="1"/>
  <c r="J59" i="7" s="1"/>
  <c r="J60" i="7" a="1"/>
  <c r="J60" i="7" s="1"/>
  <c r="J61" i="7" a="1"/>
  <c r="J61" i="7" s="1"/>
  <c r="J62" i="7" a="1"/>
  <c r="J62" i="7" s="1"/>
  <c r="J63" i="7" a="1"/>
  <c r="J63" i="7" s="1"/>
  <c r="J64" i="7" a="1"/>
  <c r="J64" i="7"/>
  <c r="J65" i="7" a="1"/>
  <c r="J65" i="7" s="1"/>
  <c r="J66" i="7" a="1"/>
  <c r="J66" i="7"/>
  <c r="J67" i="7" a="1"/>
  <c r="J67" i="7" s="1"/>
  <c r="J68" i="7" a="1"/>
  <c r="J68" i="7" s="1"/>
  <c r="J69" i="7" a="1"/>
  <c r="J69" i="7" s="1"/>
  <c r="J70" i="7" a="1"/>
  <c r="J70" i="7" s="1"/>
  <c r="J71" i="7" a="1"/>
  <c r="J71" i="7" s="1"/>
  <c r="J72" i="7" a="1"/>
  <c r="J72" i="7" s="1"/>
  <c r="J73" i="7" a="1"/>
  <c r="J73" i="7" s="1"/>
  <c r="J74" i="7" a="1"/>
  <c r="J74" i="7" s="1"/>
  <c r="J75" i="7" a="1"/>
  <c r="J75" i="7" s="1"/>
  <c r="J76" i="7" a="1"/>
  <c r="J76" i="7" s="1"/>
  <c r="J77" i="7" a="1"/>
  <c r="J77" i="7" s="1"/>
  <c r="J78" i="7" a="1"/>
  <c r="J78" i="7" s="1"/>
  <c r="J79" i="7" a="1"/>
  <c r="J79" i="7" s="1"/>
  <c r="J80" i="7" a="1"/>
  <c r="J80" i="7" s="1"/>
  <c r="J81" i="7" a="1"/>
  <c r="J81" i="7" s="1"/>
  <c r="J82" i="7" a="1"/>
  <c r="J82" i="7" s="1"/>
  <c r="J83" i="7" a="1"/>
  <c r="J83" i="7" s="1"/>
  <c r="J84" i="7" a="1"/>
  <c r="J84" i="7" s="1"/>
  <c r="J85" i="7" a="1"/>
  <c r="J85" i="7" s="1"/>
  <c r="J86" i="7" a="1"/>
  <c r="J86" i="7" s="1"/>
  <c r="J87" i="7" a="1"/>
  <c r="J87" i="7" s="1"/>
  <c r="J88" i="7" a="1"/>
  <c r="J88" i="7" s="1"/>
  <c r="J89" i="7" a="1"/>
  <c r="J89" i="7" s="1"/>
  <c r="J90" i="7" a="1"/>
  <c r="J90" i="7" s="1"/>
  <c r="J91" i="7" a="1"/>
  <c r="J91" i="7" s="1"/>
  <c r="J92" i="7" a="1"/>
  <c r="J92" i="7" s="1"/>
  <c r="J93" i="7" a="1"/>
  <c r="J93" i="7" s="1"/>
  <c r="J94" i="7" a="1"/>
  <c r="J94" i="7" s="1"/>
  <c r="J95" i="7" a="1"/>
  <c r="J95" i="7" s="1"/>
  <c r="J96" i="7" a="1"/>
  <c r="J96" i="7" s="1"/>
  <c r="J97" i="7" a="1"/>
  <c r="J97" i="7" s="1"/>
  <c r="J98" i="7" a="1"/>
  <c r="J98" i="7" s="1"/>
  <c r="J99" i="7" a="1"/>
  <c r="J99" i="7" s="1"/>
  <c r="J100" i="7" a="1"/>
  <c r="J100" i="7" s="1"/>
  <c r="J101" i="7" a="1"/>
  <c r="J101" i="7" s="1"/>
  <c r="J102" i="7" a="1"/>
  <c r="J102" i="7" s="1"/>
  <c r="J103" i="7" a="1"/>
  <c r="J103" i="7" s="1"/>
  <c r="J104" i="7" a="1"/>
  <c r="J104" i="7" s="1"/>
  <c r="J105" i="7" a="1"/>
  <c r="J105" i="7"/>
  <c r="J106" i="7" a="1"/>
  <c r="J106" i="7" s="1"/>
  <c r="J107" i="7" a="1"/>
  <c r="J107" i="7" s="1"/>
  <c r="J108" i="7" a="1"/>
  <c r="J108" i="7" s="1"/>
  <c r="J109" i="7" a="1"/>
  <c r="J109" i="7" s="1"/>
  <c r="J110" i="7" a="1"/>
  <c r="J110" i="7" s="1"/>
  <c r="J111" i="7" a="1"/>
  <c r="J111" i="7" s="1"/>
  <c r="J112" i="7" a="1"/>
  <c r="J112" i="7" s="1"/>
  <c r="J113" i="7" a="1"/>
  <c r="J113" i="7" s="1"/>
  <c r="J114" i="7" a="1"/>
  <c r="J114" i="7" s="1"/>
  <c r="J115" i="7" a="1"/>
  <c r="J115" i="7" s="1"/>
  <c r="J116" i="7" a="1"/>
  <c r="J116" i="7" s="1"/>
  <c r="J117" i="7" a="1"/>
  <c r="J117" i="7" s="1"/>
  <c r="J118" i="7" a="1"/>
  <c r="J118" i="7" s="1"/>
  <c r="J119" i="7" a="1"/>
  <c r="J119" i="7" s="1"/>
  <c r="J120" i="7" a="1"/>
  <c r="J120" i="7" s="1"/>
  <c r="J121" i="7" a="1"/>
  <c r="J121" i="7" s="1"/>
  <c r="J122" i="7" a="1"/>
  <c r="J122" i="7" s="1"/>
  <c r="J123" i="7" a="1"/>
  <c r="J123" i="7" s="1"/>
  <c r="J124" i="7" a="1"/>
  <c r="J124" i="7" s="1"/>
  <c r="J125" i="7" a="1"/>
  <c r="J125" i="7" s="1"/>
  <c r="J126" i="7" a="1"/>
  <c r="J126" i="7"/>
  <c r="J127" i="7" a="1"/>
  <c r="J127" i="7"/>
  <c r="J128" i="7" a="1"/>
  <c r="J128" i="7"/>
  <c r="J129" i="7" a="1"/>
  <c r="J129" i="7"/>
  <c r="J130" i="7" a="1"/>
  <c r="J130" i="7"/>
  <c r="J131" i="7" a="1"/>
  <c r="J131" i="7"/>
  <c r="J132" i="7" a="1"/>
  <c r="J132" i="7"/>
  <c r="J133" i="7" a="1"/>
  <c r="J133" i="7"/>
  <c r="J134" i="7" a="1"/>
  <c r="J134" i="7"/>
  <c r="J135" i="7" a="1"/>
  <c r="J135" i="7"/>
  <c r="J136" i="7" a="1"/>
  <c r="J136" i="7"/>
  <c r="J137" i="7" a="1"/>
  <c r="J137" i="7"/>
  <c r="J138" i="7" a="1"/>
  <c r="J138" i="7"/>
  <c r="J139" i="7" a="1"/>
  <c r="J139" i="7"/>
  <c r="J140" i="7" a="1"/>
  <c r="J140" i="7"/>
  <c r="J141" i="7" a="1"/>
  <c r="J141" i="7"/>
  <c r="J142" i="7" a="1"/>
  <c r="J142" i="7"/>
  <c r="J143" i="7" a="1"/>
  <c r="J143" i="7"/>
  <c r="J144" i="7" a="1"/>
  <c r="J144" i="7"/>
  <c r="J145" i="7" a="1"/>
  <c r="J145" i="7"/>
  <c r="J146" i="7" a="1"/>
  <c r="J146" i="7"/>
  <c r="J147" i="7" a="1"/>
  <c r="J147" i="7"/>
  <c r="J148" i="7" a="1"/>
  <c r="J148" i="7"/>
  <c r="J149" i="7" a="1"/>
  <c r="J149" i="7"/>
  <c r="J150" i="7" a="1"/>
  <c r="J150" i="7"/>
  <c r="J151" i="7" a="1"/>
  <c r="J151" i="7"/>
  <c r="J152" i="7" a="1"/>
  <c r="J152" i="7"/>
  <c r="J153" i="7" a="1"/>
  <c r="J153" i="7"/>
  <c r="J154" i="7" a="1"/>
  <c r="J154" i="7"/>
  <c r="J155" i="7" a="1"/>
  <c r="J155" i="7"/>
  <c r="J156" i="7" a="1"/>
  <c r="J156" i="7"/>
  <c r="J157" i="7" a="1"/>
  <c r="J157" i="7"/>
  <c r="J158" i="7" a="1"/>
  <c r="J158" i="7"/>
  <c r="J159" i="7" a="1"/>
  <c r="J159" i="7"/>
  <c r="J160" i="7" a="1"/>
  <c r="J160" i="7"/>
  <c r="J161" i="7" a="1"/>
  <c r="J161" i="7"/>
  <c r="J162" i="7" a="1"/>
  <c r="J162" i="7"/>
  <c r="J163" i="7" a="1"/>
  <c r="J163" i="7"/>
  <c r="J164" i="7" a="1"/>
  <c r="J164" i="7"/>
  <c r="J165" i="7" a="1"/>
  <c r="J165" i="7"/>
  <c r="J166" i="7" a="1"/>
  <c r="J166" i="7"/>
  <c r="J167" i="7" a="1"/>
  <c r="J167" i="7"/>
  <c r="J168" i="7" a="1"/>
  <c r="J168" i="7"/>
  <c r="J169" i="7" a="1"/>
  <c r="J169" i="7"/>
  <c r="J170" i="7" a="1"/>
  <c r="J170" i="7"/>
  <c r="J171" i="7" a="1"/>
  <c r="J171" i="7"/>
  <c r="J172" i="7" a="1"/>
  <c r="J172" i="7"/>
  <c r="J173" i="7" a="1"/>
  <c r="J173" i="7"/>
  <c r="J174" i="7" a="1"/>
  <c r="J174" i="7"/>
  <c r="J175" i="7" a="1"/>
  <c r="J175" i="7"/>
  <c r="J176" i="7" a="1"/>
  <c r="J176" i="7"/>
  <c r="J177" i="7" a="1"/>
  <c r="J177" i="7"/>
  <c r="J178" i="7" a="1"/>
  <c r="J178" i="7"/>
  <c r="J179" i="7" a="1"/>
  <c r="J179" i="7"/>
  <c r="J180" i="7" a="1"/>
  <c r="J180" i="7"/>
  <c r="J181" i="7" a="1"/>
  <c r="J181" i="7"/>
  <c r="J182" i="7" a="1"/>
  <c r="J182" i="7"/>
  <c r="J183" i="7" a="1"/>
  <c r="J183" i="7"/>
  <c r="J184" i="7" a="1"/>
  <c r="J184" i="7"/>
  <c r="J185" i="7" a="1"/>
  <c r="J185" i="7"/>
  <c r="J186" i="7" a="1"/>
  <c r="J186" i="7"/>
  <c r="J187" i="7" a="1"/>
  <c r="J187" i="7"/>
  <c r="J188" i="7" a="1"/>
  <c r="J188" i="7"/>
  <c r="J189" i="7" a="1"/>
  <c r="J189" i="7"/>
  <c r="J190" i="7" a="1"/>
  <c r="J190" i="7"/>
  <c r="J191" i="7" a="1"/>
  <c r="J191" i="7"/>
  <c r="J192" i="7" a="1"/>
  <c r="J192" i="7"/>
  <c r="J193" i="7" a="1"/>
  <c r="J193" i="7"/>
  <c r="J194" i="7" a="1"/>
  <c r="J194" i="7"/>
  <c r="J195" i="7" a="1"/>
  <c r="J195" i="7"/>
  <c r="J196" i="7" a="1"/>
  <c r="J196" i="7"/>
  <c r="J197" i="7" a="1"/>
  <c r="J197" i="7"/>
  <c r="J198" i="7" a="1"/>
  <c r="J198" i="7"/>
  <c r="J199" i="7" a="1"/>
  <c r="J199" i="7"/>
  <c r="J200" i="7" a="1"/>
  <c r="J200" i="7"/>
  <c r="J201" i="7" a="1"/>
  <c r="J201" i="7"/>
  <c r="J202" i="7" a="1"/>
  <c r="J202" i="7"/>
  <c r="J203" i="7" a="1"/>
  <c r="J203" i="7"/>
  <c r="J204" i="7" a="1"/>
  <c r="J204" i="7"/>
  <c r="J205" i="7" a="1"/>
  <c r="J205" i="7"/>
  <c r="J206" i="7" a="1"/>
  <c r="J206" i="7"/>
  <c r="J207" i="7" a="1"/>
  <c r="J207" i="7"/>
  <c r="J208" i="7" a="1"/>
  <c r="J208" i="7"/>
  <c r="J209" i="7" a="1"/>
  <c r="J209" i="7"/>
  <c r="J210" i="7" a="1"/>
  <c r="J210" i="7"/>
  <c r="J211" i="7" a="1"/>
  <c r="J211" i="7"/>
  <c r="J212" i="7" a="1"/>
  <c r="J212" i="7"/>
  <c r="J213" i="7" a="1"/>
  <c r="J213" i="7"/>
  <c r="J214" i="7" a="1"/>
  <c r="J214" i="7"/>
  <c r="J215" i="7" a="1"/>
  <c r="J215" i="7"/>
  <c r="J216" i="7" a="1"/>
  <c r="J216" i="7"/>
  <c r="J217" i="7" a="1"/>
  <c r="J217" i="7"/>
  <c r="J218" i="7" a="1"/>
  <c r="J218" i="7"/>
  <c r="J219" i="7" a="1"/>
  <c r="J219" i="7"/>
  <c r="J220" i="7" a="1"/>
  <c r="J220" i="7"/>
  <c r="J221" i="7" a="1"/>
  <c r="J221" i="7"/>
  <c r="J222" i="7" a="1"/>
  <c r="J222" i="7"/>
  <c r="J223" i="7" a="1"/>
  <c r="J223" i="7"/>
  <c r="J224" i="7" a="1"/>
  <c r="J224" i="7"/>
  <c r="J225" i="7" a="1"/>
  <c r="J225" i="7"/>
  <c r="J226" i="7" a="1"/>
  <c r="J226" i="7"/>
  <c r="J227" i="7" a="1"/>
  <c r="J227" i="7"/>
  <c r="J228" i="7" a="1"/>
  <c r="J228" i="7"/>
  <c r="J229" i="7" a="1"/>
  <c r="J229" i="7"/>
  <c r="J230" i="7" a="1"/>
  <c r="J230" i="7"/>
  <c r="J231" i="7" a="1"/>
  <c r="J231" i="7"/>
  <c r="J232" i="7" a="1"/>
  <c r="J232" i="7" s="1"/>
  <c r="J233" i="7" a="1"/>
  <c r="J233" i="7" s="1"/>
  <c r="J234" i="7" a="1"/>
  <c r="J234" i="7" s="1"/>
  <c r="J235" i="7" a="1"/>
  <c r="J235" i="7"/>
  <c r="J236" i="7" a="1"/>
  <c r="J236" i="7" s="1"/>
  <c r="J237" i="7" a="1"/>
  <c r="J237" i="7" s="1"/>
  <c r="J238" i="7" a="1"/>
  <c r="J238" i="7" s="1"/>
  <c r="J239" i="7" a="1"/>
  <c r="J239" i="7" s="1"/>
  <c r="J240" i="7" a="1"/>
  <c r="J240" i="7" s="1"/>
  <c r="J241" i="7" a="1"/>
  <c r="J241" i="7" s="1"/>
  <c r="J242" i="7" a="1"/>
  <c r="J242" i="7" s="1"/>
  <c r="J243" i="7" a="1"/>
  <c r="J243" i="7" s="1"/>
  <c r="J244" i="7" a="1"/>
  <c r="J244" i="7" s="1"/>
  <c r="J245" i="7" a="1"/>
  <c r="J245" i="7" s="1"/>
  <c r="J246" i="7" a="1"/>
  <c r="J246" i="7" s="1"/>
  <c r="J247" i="7" a="1"/>
  <c r="J247" i="7" s="1"/>
  <c r="J248" i="7" a="1"/>
  <c r="J248" i="7" s="1"/>
  <c r="J249" i="7" a="1"/>
  <c r="J249" i="7"/>
  <c r="J250" i="7" a="1"/>
  <c r="J250" i="7" s="1"/>
  <c r="J251" i="7" a="1"/>
  <c r="J251" i="7" s="1"/>
  <c r="J252" i="7" a="1"/>
  <c r="J252" i="7" s="1"/>
  <c r="J253" i="7" a="1"/>
  <c r="J253" i="7" s="1"/>
  <c r="J254" i="7" a="1"/>
  <c r="J254" i="7" s="1"/>
  <c r="J255" i="7" a="1"/>
  <c r="J255" i="7" s="1"/>
  <c r="J256" i="7" a="1"/>
  <c r="J256" i="7" s="1"/>
  <c r="J257" i="7" a="1"/>
  <c r="J257" i="7" s="1"/>
  <c r="J258" i="7" a="1"/>
  <c r="J258" i="7" s="1"/>
  <c r="J259" i="7" a="1"/>
  <c r="J259" i="7" s="1"/>
  <c r="J260" i="7" a="1"/>
  <c r="J260" i="7" s="1"/>
  <c r="J261" i="7" a="1"/>
  <c r="J261" i="7"/>
  <c r="J262" i="7" a="1"/>
  <c r="J262" i="7"/>
  <c r="J263" i="7" a="1"/>
  <c r="J263" i="7"/>
  <c r="J264" i="7" a="1"/>
  <c r="J264" i="7"/>
  <c r="J265" i="7" a="1"/>
  <c r="J265" i="7"/>
  <c r="J266" i="7" a="1"/>
  <c r="J266" i="7"/>
  <c r="J267" i="7" a="1"/>
  <c r="J267" i="7"/>
  <c r="J268" i="7" a="1"/>
  <c r="J268" i="7"/>
  <c r="J269" i="7" a="1"/>
  <c r="J269" i="7"/>
  <c r="J270" i="7" a="1"/>
  <c r="J270" i="7"/>
  <c r="J271" i="7" a="1"/>
  <c r="J271" i="7"/>
  <c r="J272" i="7" a="1"/>
  <c r="J272" i="7"/>
  <c r="J273" i="7" a="1"/>
  <c r="J273" i="7"/>
  <c r="J274" i="7" a="1"/>
  <c r="J274" i="7"/>
  <c r="J275" i="7" a="1"/>
  <c r="J275" i="7"/>
  <c r="J276" i="7" a="1"/>
  <c r="J276" i="7"/>
  <c r="J277" i="7" a="1"/>
  <c r="J277" i="7"/>
  <c r="J278" i="7" a="1"/>
  <c r="J278" i="7"/>
  <c r="J279" i="7" a="1"/>
  <c r="J279" i="7"/>
  <c r="J280" i="7" a="1"/>
  <c r="J280" i="7"/>
  <c r="J281" i="7" a="1"/>
  <c r="J281" i="7"/>
  <c r="J282" i="7" a="1"/>
  <c r="J282" i="7"/>
  <c r="J283" i="7" a="1"/>
  <c r="J283" i="7"/>
  <c r="J284" i="7" a="1"/>
  <c r="J284" i="7"/>
  <c r="J285" i="7" a="1"/>
  <c r="J285" i="7"/>
  <c r="J286" i="7" a="1"/>
  <c r="J286" i="7"/>
  <c r="J287" i="7" a="1"/>
  <c r="J287" i="7"/>
  <c r="J288" i="7" a="1"/>
  <c r="J288" i="7"/>
  <c r="J289" i="7" a="1"/>
  <c r="J289" i="7"/>
  <c r="J290" i="7" a="1"/>
  <c r="J290" i="7"/>
  <c r="J291" i="7" a="1"/>
  <c r="J291" i="7"/>
  <c r="J292" i="7" a="1"/>
  <c r="J292" i="7"/>
  <c r="J293" i="7" a="1"/>
  <c r="J293" i="7"/>
  <c r="J294" i="7" a="1"/>
  <c r="J294" i="7"/>
  <c r="J295" i="7" a="1"/>
  <c r="J295" i="7"/>
  <c r="J296" i="7" a="1"/>
  <c r="J296" i="7"/>
  <c r="J297" i="7" a="1"/>
  <c r="J297" i="7"/>
  <c r="J298" i="7" a="1"/>
  <c r="J298" i="7"/>
  <c r="J299" i="7" a="1"/>
  <c r="J299" i="7"/>
  <c r="J300" i="7" a="1"/>
  <c r="J300" i="7"/>
  <c r="J301" i="7" a="1"/>
  <c r="J301" i="7"/>
  <c r="J302" i="7" a="1"/>
  <c r="J302" i="7"/>
  <c r="J303" i="7" a="1"/>
  <c r="J303" i="7"/>
  <c r="J304" i="7" a="1"/>
  <c r="J304" i="7"/>
  <c r="J305" i="7" a="1"/>
  <c r="J305" i="7"/>
  <c r="J306" i="7" a="1"/>
  <c r="J306" i="7"/>
  <c r="J307" i="7" a="1"/>
  <c r="J307" i="7"/>
  <c r="J308" i="7" a="1"/>
  <c r="J308" i="7"/>
  <c r="J309" i="7" a="1"/>
  <c r="J309" i="7"/>
  <c r="J310" i="7" a="1"/>
  <c r="J310" i="7"/>
  <c r="J311" i="7" a="1"/>
  <c r="J311" i="7"/>
  <c r="J312" i="7" a="1"/>
  <c r="J312" i="7"/>
  <c r="J313" i="7" a="1"/>
  <c r="J313" i="7"/>
  <c r="J314" i="7" a="1"/>
  <c r="J314" i="7"/>
  <c r="J315" i="7" a="1"/>
  <c r="J315" i="7"/>
  <c r="J316" i="7" a="1"/>
  <c r="J316" i="7"/>
  <c r="J317" i="7" a="1"/>
  <c r="J317" i="7"/>
  <c r="J318" i="7" a="1"/>
  <c r="J318" i="7"/>
  <c r="J319" i="7" a="1"/>
  <c r="J319" i="7"/>
  <c r="J320" i="7" a="1"/>
  <c r="J320" i="7"/>
  <c r="J321" i="7" a="1"/>
  <c r="J321" i="7"/>
  <c r="J322" i="7" a="1"/>
  <c r="J322" i="7"/>
  <c r="J323" i="7" a="1"/>
  <c r="J323" i="7"/>
  <c r="J324" i="7" a="1"/>
  <c r="J324" i="7"/>
  <c r="J325" i="7" a="1"/>
  <c r="J325" i="7"/>
  <c r="J326" i="7" a="1"/>
  <c r="J326" i="7"/>
  <c r="J327" i="7" a="1"/>
  <c r="J327" i="7"/>
  <c r="J328" i="7" a="1"/>
  <c r="J328" i="7"/>
  <c r="J329" i="7" a="1"/>
  <c r="J329" i="7"/>
  <c r="J330" i="7" a="1"/>
  <c r="J330" i="7"/>
  <c r="J331" i="7" a="1"/>
  <c r="J331" i="7"/>
  <c r="J332" i="7" a="1"/>
  <c r="J332" i="7"/>
  <c r="J333" i="7" a="1"/>
  <c r="J333" i="7"/>
  <c r="J334" i="7" a="1"/>
  <c r="J334" i="7"/>
  <c r="J335" i="7" a="1"/>
  <c r="J335" i="7"/>
  <c r="J336" i="7" a="1"/>
  <c r="J336" i="7"/>
  <c r="J337" i="7" a="1"/>
  <c r="J337" i="7"/>
  <c r="J338" i="7" a="1"/>
  <c r="J338" i="7"/>
  <c r="J339" i="7" a="1"/>
  <c r="J339" i="7"/>
  <c r="J340" i="7" a="1"/>
  <c r="J340" i="7"/>
  <c r="J341" i="7" a="1"/>
  <c r="J341" i="7"/>
  <c r="J342" i="7" a="1"/>
  <c r="J342" i="7"/>
  <c r="J343" i="7" a="1"/>
  <c r="J343" i="7"/>
  <c r="J344" i="7" a="1"/>
  <c r="J344" i="7"/>
  <c r="J345" i="7" a="1"/>
  <c r="J345" i="7"/>
  <c r="J346" i="7" a="1"/>
  <c r="J346" i="7"/>
  <c r="J347" i="7" a="1"/>
  <c r="J347" i="7"/>
  <c r="J348" i="7" a="1"/>
  <c r="J348" i="7"/>
  <c r="J349" i="7" a="1"/>
  <c r="J349" i="7"/>
  <c r="J350" i="7" a="1"/>
  <c r="J350" i="7"/>
  <c r="J351" i="7" a="1"/>
  <c r="J351" i="7"/>
  <c r="J352" i="7" a="1"/>
  <c r="J352" i="7"/>
  <c r="J353" i="7" a="1"/>
  <c r="J353" i="7"/>
  <c r="J354" i="7" a="1"/>
  <c r="J354" i="7"/>
  <c r="J355" i="7" a="1"/>
  <c r="J355" i="7"/>
  <c r="J356" i="7" a="1"/>
  <c r="J356" i="7"/>
  <c r="J357" i="7" a="1"/>
  <c r="J357" i="7"/>
  <c r="J358" i="7" a="1"/>
  <c r="J358" i="7"/>
  <c r="J359" i="7" a="1"/>
  <c r="J359" i="7"/>
  <c r="J360" i="7" a="1"/>
  <c r="J360" i="7"/>
  <c r="J361" i="7" a="1"/>
  <c r="J361" i="7"/>
  <c r="J362" i="7" a="1"/>
  <c r="J362" i="7"/>
  <c r="J363" i="7" a="1"/>
  <c r="J363" i="7"/>
  <c r="J364" i="7" a="1"/>
  <c r="J364" i="7" s="1"/>
  <c r="J365" i="7" a="1"/>
  <c r="J365" i="7" s="1"/>
  <c r="J366" i="7" a="1"/>
  <c r="J366" i="7" s="1"/>
  <c r="J367" i="7" a="1"/>
  <c r="J367" i="7" s="1"/>
  <c r="J368" i="7" a="1"/>
  <c r="J368" i="7" s="1"/>
  <c r="J369" i="7" a="1"/>
  <c r="J369" i="7" s="1"/>
  <c r="J370" i="7" a="1"/>
  <c r="J370" i="7" s="1"/>
  <c r="J371" i="7" a="1"/>
  <c r="J371" i="7" s="1"/>
  <c r="J372" i="7" a="1"/>
  <c r="J372" i="7" s="1"/>
  <c r="J373" i="7" a="1"/>
  <c r="J373" i="7" s="1"/>
  <c r="J374" i="7" a="1"/>
  <c r="J374" i="7" s="1"/>
  <c r="J375" i="7" a="1"/>
  <c r="J375" i="7" s="1"/>
  <c r="J376" i="7" a="1"/>
  <c r="J376" i="7" s="1"/>
  <c r="J377" i="7" a="1"/>
  <c r="J377" i="7" s="1"/>
  <c r="J378" i="7" a="1"/>
  <c r="J378" i="7" s="1"/>
  <c r="J379" i="7" a="1"/>
  <c r="J379" i="7" s="1"/>
  <c r="J380" i="7" a="1"/>
  <c r="J380" i="7" s="1"/>
  <c r="J381" i="7" a="1"/>
  <c r="J381" i="7" s="1"/>
  <c r="J382" i="7" a="1"/>
  <c r="J382" i="7" s="1"/>
  <c r="J383" i="7" a="1"/>
  <c r="J383" i="7" s="1"/>
  <c r="J384" i="7" a="1"/>
  <c r="J384" i="7" s="1"/>
  <c r="J385" i="7" a="1"/>
  <c r="J385" i="7" s="1"/>
  <c r="J386" i="7" a="1"/>
  <c r="J386" i="7" s="1"/>
  <c r="J387" i="7" a="1"/>
  <c r="J387" i="7" s="1"/>
  <c r="J388" i="7" a="1"/>
  <c r="J388" i="7" s="1"/>
  <c r="J389" i="7" a="1"/>
  <c r="J389" i="7"/>
  <c r="J390" i="7" a="1"/>
  <c r="J390" i="7"/>
  <c r="J391" i="7" a="1"/>
  <c r="J391" i="7"/>
  <c r="J392" i="7" a="1"/>
  <c r="J392" i="7"/>
  <c r="J393" i="7" a="1"/>
  <c r="J393" i="7"/>
  <c r="J394" i="7" a="1"/>
  <c r="J394" i="7"/>
  <c r="J395" i="7" a="1"/>
  <c r="J395" i="7"/>
  <c r="J396" i="7" a="1"/>
  <c r="J396" i="7"/>
  <c r="J397" i="7" a="1"/>
  <c r="J397" i="7"/>
  <c r="J398" i="7" a="1"/>
  <c r="J398" i="7"/>
  <c r="J399" i="7" a="1"/>
  <c r="J399" i="7"/>
  <c r="J400" i="7" a="1"/>
  <c r="J400" i="7"/>
  <c r="J401" i="7" a="1"/>
  <c r="J401" i="7"/>
  <c r="J402" i="7" a="1"/>
  <c r="J402" i="7"/>
  <c r="J403" i="7" a="1"/>
  <c r="J403" i="7"/>
  <c r="J404" i="7" a="1"/>
  <c r="J404" i="7"/>
  <c r="J405" i="7" a="1"/>
  <c r="J405" i="7"/>
  <c r="J406" i="7" a="1"/>
  <c r="J406" i="7"/>
  <c r="J407" i="7" a="1"/>
  <c r="J407" i="7"/>
  <c r="J408" i="7" a="1"/>
  <c r="J408" i="7"/>
  <c r="J409" i="7" a="1"/>
  <c r="J409" i="7"/>
  <c r="J410" i="7" a="1"/>
  <c r="J410" i="7"/>
  <c r="J411" i="7" a="1"/>
  <c r="J411" i="7"/>
  <c r="J412" i="7" a="1"/>
  <c r="J412" i="7"/>
  <c r="J413" i="7" a="1"/>
  <c r="J413" i="7"/>
  <c r="J414" i="7" a="1"/>
  <c r="J414" i="7"/>
  <c r="J415" i="7" a="1"/>
  <c r="J415" i="7"/>
  <c r="J416" i="7" a="1"/>
  <c r="J416" i="7"/>
  <c r="J417" i="7" a="1"/>
  <c r="J417" i="7"/>
  <c r="J418" i="7" a="1"/>
  <c r="J418" i="7"/>
  <c r="J419" i="7" a="1"/>
  <c r="J419" i="7"/>
  <c r="J420" i="7" a="1"/>
  <c r="J420" i="7"/>
  <c r="J421" i="7" a="1"/>
  <c r="J421" i="7"/>
  <c r="J422" i="7" a="1"/>
  <c r="J422" i="7"/>
  <c r="J423" i="7" a="1"/>
  <c r="J423" i="7"/>
  <c r="J424" i="7" a="1"/>
  <c r="J424" i="7"/>
  <c r="J425" i="7" a="1"/>
  <c r="J425" i="7"/>
  <c r="J426" i="7" a="1"/>
  <c r="J426" i="7"/>
  <c r="J427" i="7" a="1"/>
  <c r="J427" i="7"/>
  <c r="J428" i="7" a="1"/>
  <c r="J428" i="7"/>
  <c r="J429" i="7" a="1"/>
  <c r="J429" i="7"/>
  <c r="J430" i="7" a="1"/>
  <c r="J430" i="7"/>
  <c r="J431" i="7" a="1"/>
  <c r="J431" i="7"/>
  <c r="J432" i="7" a="1"/>
  <c r="J432" i="7"/>
  <c r="J433" i="7" a="1"/>
  <c r="J433" i="7"/>
  <c r="J434" i="7" a="1"/>
  <c r="J434" i="7"/>
  <c r="J435" i="7" a="1"/>
  <c r="J435" i="7"/>
  <c r="J436" i="7" a="1"/>
  <c r="J436" i="7"/>
  <c r="J437" i="7" a="1"/>
  <c r="J437" i="7"/>
  <c r="J438" i="7" a="1"/>
  <c r="J438" i="7"/>
  <c r="J439" i="7" a="1"/>
  <c r="J439" i="7"/>
  <c r="J440" i="7" a="1"/>
  <c r="J440" i="7"/>
  <c r="J441" i="7" a="1"/>
  <c r="J441" i="7"/>
  <c r="J442" i="7" a="1"/>
  <c r="J442" i="7"/>
  <c r="J443" i="7" a="1"/>
  <c r="J443" i="7"/>
  <c r="J444" i="7" a="1"/>
  <c r="J444" i="7"/>
  <c r="J445" i="7" a="1"/>
  <c r="J445" i="7"/>
  <c r="J446" i="7" a="1"/>
  <c r="J446" i="7"/>
  <c r="J447" i="7" a="1"/>
  <c r="J447" i="7"/>
  <c r="J448" i="7" a="1"/>
  <c r="J448" i="7"/>
  <c r="J449" i="7" a="1"/>
  <c r="J449" i="7"/>
  <c r="J450" i="7" a="1"/>
  <c r="J450" i="7"/>
  <c r="J451" i="7" a="1"/>
  <c r="J451" i="7"/>
  <c r="J452" i="7" a="1"/>
  <c r="J452" i="7"/>
  <c r="J453" i="7" a="1"/>
  <c r="J453" i="7"/>
  <c r="J454" i="7" a="1"/>
  <c r="J454" i="7"/>
  <c r="J455" i="7" a="1"/>
  <c r="J455" i="7"/>
  <c r="J456" i="7" a="1"/>
  <c r="J456" i="7"/>
  <c r="J457" i="7" a="1"/>
  <c r="J457" i="7"/>
  <c r="J458" i="7" a="1"/>
  <c r="J458" i="7"/>
  <c r="J459" i="7" a="1"/>
  <c r="J459" i="7"/>
  <c r="J460" i="7" a="1"/>
  <c r="J460" i="7"/>
  <c r="J461" i="7" a="1"/>
  <c r="J461" i="7"/>
  <c r="J462" i="7" a="1"/>
  <c r="J462" i="7"/>
  <c r="J463" i="7" a="1"/>
  <c r="J463" i="7"/>
  <c r="J464" i="7" a="1"/>
  <c r="J464" i="7"/>
  <c r="J465" i="7" a="1"/>
  <c r="J465" i="7"/>
  <c r="J466" i="7" a="1"/>
  <c r="J466" i="7"/>
  <c r="J467" i="7" a="1"/>
  <c r="J467" i="7"/>
  <c r="J468" i="7" a="1"/>
  <c r="J468" i="7"/>
  <c r="J469" i="7" a="1"/>
  <c r="J469" i="7"/>
  <c r="J470" i="7" a="1"/>
  <c r="J470" i="7"/>
  <c r="J471" i="7" a="1"/>
  <c r="J471" i="7"/>
  <c r="J472" i="7" a="1"/>
  <c r="J472" i="7"/>
  <c r="J473" i="7" a="1"/>
  <c r="J473" i="7"/>
  <c r="J474" i="7" a="1"/>
  <c r="J474" i="7"/>
  <c r="J475" i="7" a="1"/>
  <c r="J475" i="7"/>
  <c r="J476" i="7" a="1"/>
  <c r="J476" i="7"/>
  <c r="J477" i="7" a="1"/>
  <c r="J477" i="7"/>
  <c r="J478" i="7" a="1"/>
  <c r="J478" i="7"/>
  <c r="J479" i="7" a="1"/>
  <c r="J479" i="7"/>
  <c r="J480" i="7" a="1"/>
  <c r="J480" i="7"/>
  <c r="J481" i="7" a="1"/>
  <c r="J481" i="7"/>
  <c r="J482" i="7" a="1"/>
  <c r="J482" i="7"/>
  <c r="J483" i="7" a="1"/>
  <c r="J483" i="7" s="1"/>
  <c r="J484" i="7" a="1"/>
  <c r="J484" i="7" s="1"/>
  <c r="J485" i="7" a="1"/>
  <c r="J485" i="7" s="1"/>
  <c r="J486" i="7" a="1"/>
  <c r="J486" i="7" s="1"/>
  <c r="J487" i="7" a="1"/>
  <c r="J487" i="7" s="1"/>
  <c r="J488" i="7" a="1"/>
  <c r="J488" i="7" s="1"/>
  <c r="J489" i="7" a="1"/>
  <c r="J489" i="7" s="1"/>
  <c r="J490" i="7" a="1"/>
  <c r="J490" i="7" s="1"/>
  <c r="J491" i="7" a="1"/>
  <c r="J491" i="7" s="1"/>
  <c r="J492" i="7" a="1"/>
  <c r="J492" i="7" s="1"/>
  <c r="J493" i="7" a="1"/>
  <c r="J493" i="7" s="1"/>
  <c r="J494" i="7" a="1"/>
  <c r="J494" i="7" s="1"/>
  <c r="J495" i="7" a="1"/>
  <c r="J495" i="7" s="1"/>
  <c r="J496" i="7" a="1"/>
  <c r="J496" i="7" s="1"/>
  <c r="J497" i="7" a="1"/>
  <c r="J497" i="7" s="1"/>
  <c r="J498" i="7" a="1"/>
  <c r="J498" i="7" s="1"/>
  <c r="J499" i="7" a="1"/>
  <c r="J499" i="7" s="1"/>
  <c r="J500" i="7" a="1"/>
  <c r="J500" i="7" s="1"/>
  <c r="J501" i="7" a="1"/>
  <c r="J501" i="7" s="1"/>
  <c r="J502" i="7" a="1"/>
  <c r="J502" i="7" s="1"/>
  <c r="J503" i="7" a="1"/>
  <c r="J503" i="7" s="1"/>
  <c r="J504" i="7" a="1"/>
  <c r="J504" i="7" s="1"/>
  <c r="J505" i="7" a="1"/>
  <c r="J505" i="7" s="1"/>
  <c r="J506" i="7" a="1"/>
  <c r="J506" i="7" s="1"/>
  <c r="J507" i="7" a="1"/>
  <c r="J507" i="7" s="1"/>
  <c r="J508" i="7" a="1"/>
  <c r="J508" i="7" s="1"/>
  <c r="J509" i="7" a="1"/>
  <c r="J509" i="7" s="1"/>
  <c r="J510" i="7" a="1"/>
  <c r="J510" i="7" s="1"/>
  <c r="J511" i="7" a="1"/>
  <c r="J511" i="7" s="1"/>
  <c r="J512" i="7" a="1"/>
  <c r="J512" i="7" s="1"/>
  <c r="J513" i="7" a="1"/>
  <c r="J513" i="7" s="1"/>
  <c r="J514" i="7" a="1"/>
  <c r="J514" i="7" s="1"/>
  <c r="J515" i="7" a="1"/>
  <c r="J515" i="7" s="1"/>
  <c r="J516" i="7" a="1"/>
  <c r="J516" i="7" s="1"/>
  <c r="J517" i="7" a="1"/>
  <c r="J517" i="7" s="1"/>
  <c r="J518" i="7" a="1"/>
  <c r="J518" i="7" s="1"/>
  <c r="J519" i="7" a="1"/>
  <c r="J519" i="7" s="1"/>
  <c r="J520" i="7" a="1"/>
  <c r="J520" i="7" s="1"/>
  <c r="J521" i="7" a="1"/>
  <c r="J521" i="7" s="1"/>
  <c r="J522" i="7" a="1"/>
  <c r="J522" i="7" s="1"/>
  <c r="J523" i="7" a="1"/>
  <c r="J523" i="7" s="1"/>
  <c r="J524" i="7" a="1"/>
  <c r="J524" i="7" s="1"/>
  <c r="J525" i="7" a="1"/>
  <c r="J525" i="7" s="1"/>
  <c r="J526" i="7" a="1"/>
  <c r="J526" i="7" s="1"/>
  <c r="J527" i="7" a="1"/>
  <c r="J527" i="7" s="1"/>
  <c r="J528" i="7" a="1"/>
  <c r="J528" i="7" s="1"/>
  <c r="J529" i="7" a="1"/>
  <c r="J529" i="7" s="1"/>
  <c r="J530" i="7" a="1"/>
  <c r="J530" i="7" s="1"/>
  <c r="J531" i="7" a="1"/>
  <c r="J531" i="7" s="1"/>
  <c r="J532" i="7" a="1"/>
  <c r="J532" i="7" s="1"/>
  <c r="J533" i="7" a="1"/>
  <c r="J533" i="7" s="1"/>
  <c r="J534" i="7" a="1"/>
  <c r="J534" i="7" s="1"/>
  <c r="J535" i="7" a="1"/>
  <c r="J535" i="7" s="1"/>
  <c r="J536" i="7" a="1"/>
  <c r="J536" i="7" s="1"/>
  <c r="J537" i="7" a="1"/>
  <c r="J537" i="7" s="1"/>
  <c r="J538" i="7" a="1"/>
  <c r="J538" i="7" s="1"/>
  <c r="J539" i="7" a="1"/>
  <c r="J539" i="7" s="1"/>
  <c r="J540" i="7" a="1"/>
  <c r="J540" i="7" s="1"/>
  <c r="J541" i="7" a="1"/>
  <c r="J541" i="7" s="1"/>
  <c r="J542" i="7" a="1"/>
  <c r="J542" i="7" s="1"/>
  <c r="J543" i="7" a="1"/>
  <c r="J543" i="7" s="1"/>
  <c r="J544" i="7" a="1"/>
  <c r="J544" i="7" s="1"/>
  <c r="J545" i="7" a="1"/>
  <c r="J545" i="7" s="1"/>
  <c r="J546" i="7" a="1"/>
  <c r="J546" i="7" s="1"/>
  <c r="J547" i="7" a="1"/>
  <c r="J547" i="7" s="1"/>
  <c r="J548" i="7" a="1"/>
  <c r="J548" i="7" s="1"/>
  <c r="J549" i="7" a="1"/>
  <c r="J549" i="7" s="1"/>
  <c r="J550" i="7" a="1"/>
  <c r="J550" i="7" s="1"/>
  <c r="J551" i="7" a="1"/>
  <c r="J551" i="7" s="1"/>
  <c r="J552" i="7" a="1"/>
  <c r="J552" i="7" s="1"/>
  <c r="J553" i="7" a="1"/>
  <c r="J553" i="7" s="1"/>
  <c r="J554" i="7" a="1"/>
  <c r="J554" i="7" s="1"/>
  <c r="J555" i="7" a="1"/>
  <c r="J555" i="7" s="1"/>
  <c r="J556" i="7" a="1"/>
  <c r="J556" i="7" s="1"/>
  <c r="J557" i="7" a="1"/>
  <c r="J557" i="7" s="1"/>
  <c r="J558" i="7" a="1"/>
  <c r="J558" i="7" s="1"/>
  <c r="J559" i="7" a="1"/>
  <c r="J559" i="7" s="1"/>
  <c r="J560" i="7" a="1"/>
  <c r="J560" i="7" s="1"/>
  <c r="J561" i="7" a="1"/>
  <c r="J561" i="7" s="1"/>
  <c r="J562" i="7" a="1"/>
  <c r="J562" i="7" s="1"/>
  <c r="J563" i="7" a="1"/>
  <c r="J563" i="7" s="1"/>
  <c r="J564" i="7" a="1"/>
  <c r="J564" i="7" s="1"/>
  <c r="J565" i="7" a="1"/>
  <c r="J565" i="7" s="1"/>
  <c r="J566" i="7" a="1"/>
  <c r="J566" i="7" s="1"/>
  <c r="J567" i="7" a="1"/>
  <c r="J567" i="7" s="1"/>
  <c r="J568" i="7" a="1"/>
  <c r="J568" i="7" s="1"/>
  <c r="J569" i="7" a="1"/>
  <c r="J569" i="7" s="1"/>
  <c r="J570" i="7" a="1"/>
  <c r="J570" i="7" s="1"/>
  <c r="J571" i="7" a="1"/>
  <c r="J571" i="7" s="1"/>
  <c r="J572" i="7" a="1"/>
  <c r="J572" i="7" s="1"/>
  <c r="J573" i="7" a="1"/>
  <c r="J573" i="7" s="1"/>
  <c r="J574" i="7" a="1"/>
  <c r="J574" i="7" s="1"/>
  <c r="J575" i="7" a="1"/>
  <c r="J575" i="7" s="1"/>
  <c r="J576" i="7" a="1"/>
  <c r="J576" i="7" s="1"/>
  <c r="J577" i="7" a="1"/>
  <c r="J577" i="7" s="1"/>
  <c r="J578" i="7" a="1"/>
  <c r="J578" i="7" s="1"/>
  <c r="J579" i="7" a="1"/>
  <c r="J579" i="7" s="1"/>
  <c r="J580" i="7" a="1"/>
  <c r="J580" i="7" s="1"/>
  <c r="J581" i="7" a="1"/>
  <c r="J581" i="7" s="1"/>
  <c r="J582" i="7" a="1"/>
  <c r="J582" i="7" s="1"/>
  <c r="J583" i="7" a="1"/>
  <c r="J583" i="7" s="1"/>
  <c r="J584" i="7" a="1"/>
  <c r="J584" i="7" s="1"/>
  <c r="J585" i="7" a="1"/>
  <c r="J585" i="7" s="1"/>
  <c r="J586" i="7" a="1"/>
  <c r="J586" i="7" s="1"/>
  <c r="J587" i="7" a="1"/>
  <c r="J587" i="7" s="1"/>
  <c r="J588" i="7" a="1"/>
  <c r="J588" i="7" s="1"/>
  <c r="J589" i="7" a="1"/>
  <c r="J589" i="7" s="1"/>
  <c r="J590" i="7" a="1"/>
  <c r="J590" i="7" s="1"/>
  <c r="J591" i="7" a="1"/>
  <c r="J591" i="7" s="1"/>
  <c r="J592" i="7" a="1"/>
  <c r="J592" i="7" s="1"/>
  <c r="J593" i="7" a="1"/>
  <c r="J593" i="7" s="1"/>
  <c r="J594" i="7" a="1"/>
  <c r="J594" i="7" s="1"/>
  <c r="J595" i="7" a="1"/>
  <c r="J595" i="7" s="1"/>
  <c r="J596" i="7" a="1"/>
  <c r="J596" i="7" s="1"/>
  <c r="J597" i="7" a="1"/>
  <c r="J597" i="7" s="1"/>
  <c r="J598" i="7" a="1"/>
  <c r="J598" i="7" s="1"/>
  <c r="J599" i="7" a="1"/>
  <c r="J599" i="7" s="1"/>
  <c r="J600" i="7" a="1"/>
  <c r="J600" i="7" s="1"/>
  <c r="J601" i="7" a="1"/>
  <c r="J601" i="7" s="1"/>
  <c r="J602" i="7" a="1"/>
  <c r="J602" i="7" s="1"/>
  <c r="J603" i="7" a="1"/>
  <c r="J603" i="7" s="1"/>
  <c r="J604" i="7" a="1"/>
  <c r="J604" i="7" s="1"/>
  <c r="J605" i="7" a="1"/>
  <c r="J605" i="7" s="1"/>
  <c r="J606" i="7" a="1"/>
  <c r="J606" i="7" s="1"/>
  <c r="J607" i="7" a="1"/>
  <c r="J607" i="7" s="1"/>
  <c r="J608" i="7" a="1"/>
  <c r="J608" i="7" s="1"/>
  <c r="J609" i="7" a="1"/>
  <c r="J609" i="7" s="1"/>
  <c r="J610" i="7" a="1"/>
  <c r="J610" i="7" s="1"/>
  <c r="J611" i="7" a="1"/>
  <c r="J611" i="7" s="1"/>
  <c r="J612" i="7" a="1"/>
  <c r="J612" i="7" s="1"/>
  <c r="J613" i="7" a="1"/>
  <c r="J613" i="7" s="1"/>
  <c r="J614" i="7" a="1"/>
  <c r="J614" i="7" s="1"/>
  <c r="J615" i="7" a="1"/>
  <c r="J615" i="7" s="1"/>
  <c r="J616" i="7" a="1"/>
  <c r="J616" i="7" s="1"/>
  <c r="J617" i="7" a="1"/>
  <c r="J617" i="7" s="1"/>
  <c r="J618" i="7" a="1"/>
  <c r="J618" i="7" s="1"/>
  <c r="J619" i="7" a="1"/>
  <c r="J619" i="7" s="1"/>
  <c r="J620" i="7" a="1"/>
  <c r="J620" i="7" s="1"/>
  <c r="J621" i="7" a="1"/>
  <c r="J621" i="7" s="1"/>
  <c r="J622" i="7" a="1"/>
  <c r="J622" i="7" s="1"/>
  <c r="J623" i="7" a="1"/>
  <c r="J623" i="7" s="1"/>
  <c r="J624" i="7" a="1"/>
  <c r="J624" i="7" s="1"/>
  <c r="J625" i="7" a="1"/>
  <c r="J625" i="7" s="1"/>
  <c r="J626" i="7" a="1"/>
  <c r="J626" i="7" s="1"/>
  <c r="J627" i="7" a="1"/>
  <c r="J627" i="7" s="1"/>
  <c r="J628" i="7" a="1"/>
  <c r="J628" i="7" s="1"/>
  <c r="J629" i="7" a="1"/>
  <c r="J629" i="7" s="1"/>
  <c r="J630" i="7" a="1"/>
  <c r="J630" i="7" s="1"/>
  <c r="J631" i="7" a="1"/>
  <c r="J631" i="7" s="1"/>
  <c r="J632" i="7" a="1"/>
  <c r="J632" i="7" s="1"/>
  <c r="J633" i="7" a="1"/>
  <c r="J633" i="7" s="1"/>
  <c r="J634" i="7" a="1"/>
  <c r="J634" i="7" s="1"/>
  <c r="J635" i="7" a="1"/>
  <c r="J635" i="7" s="1"/>
  <c r="J636" i="7" a="1"/>
  <c r="J636" i="7" s="1"/>
  <c r="J637" i="7" a="1"/>
  <c r="J637" i="7" s="1"/>
  <c r="J638" i="7" a="1"/>
  <c r="J638" i="7" s="1"/>
  <c r="J639" i="7" a="1"/>
  <c r="J639" i="7" s="1"/>
  <c r="J640" i="7" a="1"/>
  <c r="J640" i="7" s="1"/>
  <c r="J641" i="7" a="1"/>
  <c r="J641" i="7" s="1"/>
  <c r="J642" i="7" a="1"/>
  <c r="J642" i="7" s="1"/>
  <c r="J643" i="7" a="1"/>
  <c r="J643" i="7" s="1"/>
  <c r="J644" i="7" a="1"/>
  <c r="J644" i="7" s="1"/>
  <c r="J645" i="7" a="1"/>
  <c r="J645" i="7" s="1"/>
  <c r="J646" i="7" a="1"/>
  <c r="J646" i="7" s="1"/>
  <c r="J647" i="7" a="1"/>
  <c r="J647" i="7" s="1"/>
  <c r="J648" i="7" a="1"/>
  <c r="J648" i="7" s="1"/>
  <c r="J649" i="7" a="1"/>
  <c r="J649" i="7" s="1"/>
  <c r="J650" i="7" a="1"/>
  <c r="J650" i="7" s="1"/>
  <c r="J651" i="7" a="1"/>
  <c r="J651" i="7" s="1"/>
  <c r="J652" i="7" a="1"/>
  <c r="J652" i="7" s="1"/>
  <c r="J653" i="7" a="1"/>
  <c r="J653" i="7" s="1"/>
  <c r="J654" i="7" a="1"/>
  <c r="J654" i="7" s="1"/>
  <c r="J655" i="7" a="1"/>
  <c r="J655" i="7" s="1"/>
  <c r="J656" i="7" a="1"/>
  <c r="J656" i="7" s="1"/>
  <c r="J657" i="7" a="1"/>
  <c r="J657" i="7" s="1"/>
  <c r="J658" i="7" a="1"/>
  <c r="J658" i="7" s="1"/>
  <c r="J659" i="7" a="1"/>
  <c r="J659" i="7" s="1"/>
  <c r="J660" i="7" a="1"/>
  <c r="J660" i="7" s="1"/>
  <c r="J661" i="7" a="1"/>
  <c r="J661" i="7" s="1"/>
  <c r="J662" i="7" a="1"/>
  <c r="J662" i="7" s="1"/>
  <c r="J663" i="7" a="1"/>
  <c r="J663" i="7" s="1"/>
  <c r="J664" i="7" a="1"/>
  <c r="J664" i="7" s="1"/>
  <c r="J665" i="7" a="1"/>
  <c r="J665" i="7" s="1"/>
  <c r="J666" i="7" a="1"/>
  <c r="J666" i="7" s="1"/>
  <c r="J667" i="7" a="1"/>
  <c r="J667" i="7" s="1"/>
  <c r="J668" i="7" a="1"/>
  <c r="J668" i="7" s="1"/>
  <c r="J669" i="7" a="1"/>
  <c r="J669" i="7" s="1"/>
  <c r="J670" i="7" a="1"/>
  <c r="J670" i="7" s="1"/>
  <c r="J671" i="7" a="1"/>
  <c r="J671" i="7" s="1"/>
  <c r="J672" i="7" a="1"/>
  <c r="J672" i="7" s="1"/>
  <c r="J673" i="7" a="1"/>
  <c r="J673" i="7" s="1"/>
  <c r="J674" i="7" a="1"/>
  <c r="J674" i="7" s="1"/>
  <c r="J675" i="7" a="1"/>
  <c r="J675" i="7" s="1"/>
  <c r="J676" i="7" a="1"/>
  <c r="J676" i="7" s="1"/>
  <c r="J677" i="7" a="1"/>
  <c r="J677" i="7" s="1"/>
  <c r="J678" i="7" a="1"/>
  <c r="J678" i="7" s="1"/>
  <c r="J679" i="7" a="1"/>
  <c r="J679" i="7" s="1"/>
  <c r="J680" i="7" a="1"/>
  <c r="J680" i="7" s="1"/>
  <c r="J681" i="7" a="1"/>
  <c r="J681" i="7" s="1"/>
  <c r="J682" i="7" a="1"/>
  <c r="J682" i="7" s="1"/>
  <c r="J683" i="7" a="1"/>
  <c r="J683" i="7" s="1"/>
  <c r="J684" i="7" a="1"/>
  <c r="J684" i="7" s="1"/>
  <c r="J685" i="7" a="1"/>
  <c r="J685" i="7" s="1"/>
  <c r="J686" i="7" a="1"/>
  <c r="J686" i="7" s="1"/>
  <c r="J687" i="7" a="1"/>
  <c r="J687" i="7" s="1"/>
  <c r="J688" i="7" a="1"/>
  <c r="J688" i="7" s="1"/>
  <c r="J689" i="7" a="1"/>
  <c r="J689" i="7" s="1"/>
  <c r="J690" i="7" a="1"/>
  <c r="J690" i="7" s="1"/>
  <c r="J691" i="7" a="1"/>
  <c r="J691" i="7" s="1"/>
  <c r="J692" i="7" a="1"/>
  <c r="J692" i="7" s="1"/>
  <c r="J693" i="7" a="1"/>
  <c r="J693" i="7" s="1"/>
  <c r="J694" i="7" a="1"/>
  <c r="J694" i="7" s="1"/>
  <c r="J695" i="7" a="1"/>
  <c r="J695" i="7" s="1"/>
  <c r="J696" i="7" a="1"/>
  <c r="J696" i="7" s="1"/>
  <c r="J697" i="7" a="1"/>
  <c r="J697" i="7" s="1"/>
  <c r="J698" i="7" a="1"/>
  <c r="J698" i="7" s="1"/>
  <c r="J699" i="7" a="1"/>
  <c r="J699" i="7" s="1"/>
  <c r="J700" i="7" a="1"/>
  <c r="J700" i="7" s="1"/>
  <c r="J701" i="7" a="1"/>
  <c r="J701" i="7" s="1"/>
  <c r="J702" i="7" a="1"/>
  <c r="J702" i="7" s="1"/>
  <c r="J703" i="7" a="1"/>
  <c r="J703" i="7" s="1"/>
  <c r="J704" i="7" a="1"/>
  <c r="J704" i="7" s="1"/>
  <c r="J705" i="7" a="1"/>
  <c r="J705" i="7" s="1"/>
  <c r="J706" i="7" a="1"/>
  <c r="J706" i="7" s="1"/>
  <c r="J707" i="7" a="1"/>
  <c r="J707" i="7" s="1"/>
  <c r="J708" i="7" a="1"/>
  <c r="J708" i="7" s="1"/>
  <c r="J709" i="7" a="1"/>
  <c r="J709" i="7" s="1"/>
  <c r="J710" i="7" a="1"/>
  <c r="J710" i="7" s="1"/>
  <c r="J711" i="7" a="1"/>
  <c r="J711" i="7" s="1"/>
  <c r="J712" i="7" a="1"/>
  <c r="J712" i="7" s="1"/>
  <c r="J713" i="7" a="1"/>
  <c r="J713" i="7" s="1"/>
  <c r="J714" i="7" a="1"/>
  <c r="J714" i="7" s="1"/>
  <c r="J715" i="7" a="1"/>
  <c r="J715" i="7" s="1"/>
  <c r="J716" i="7" a="1"/>
  <c r="J716" i="7" s="1"/>
  <c r="J717" i="7" a="1"/>
  <c r="J717" i="7" s="1"/>
  <c r="J718" i="7" a="1"/>
  <c r="J718" i="7" s="1"/>
  <c r="J719" i="7" a="1"/>
  <c r="J719" i="7" s="1"/>
  <c r="J720" i="7" a="1"/>
  <c r="J720" i="7" s="1"/>
  <c r="J721" i="7" a="1"/>
  <c r="J721" i="7" s="1"/>
  <c r="J722" i="7" a="1"/>
  <c r="J722" i="7" s="1"/>
  <c r="J723" i="7" a="1"/>
  <c r="J723" i="7" s="1"/>
  <c r="J724" i="7" a="1"/>
  <c r="J724" i="7" s="1"/>
  <c r="J725" i="7" a="1"/>
  <c r="J725" i="7" s="1"/>
  <c r="J726" i="7" a="1"/>
  <c r="J726" i="7" s="1"/>
  <c r="J727" i="7" a="1"/>
  <c r="J727" i="7" s="1"/>
  <c r="J728" i="7" a="1"/>
  <c r="J728" i="7" s="1"/>
  <c r="J729" i="7" a="1"/>
  <c r="J729" i="7" s="1"/>
  <c r="J730" i="7" a="1"/>
  <c r="J730" i="7" s="1"/>
  <c r="J731" i="7" a="1"/>
  <c r="J731" i="7" s="1"/>
  <c r="J732" i="7" a="1"/>
  <c r="J732" i="7" s="1"/>
  <c r="J733" i="7" a="1"/>
  <c r="J733" i="7" s="1"/>
  <c r="J734" i="7" a="1"/>
  <c r="J734" i="7" s="1"/>
  <c r="J735" i="7" a="1"/>
  <c r="J735" i="7" s="1"/>
  <c r="J736" i="7" a="1"/>
  <c r="J736" i="7" s="1"/>
  <c r="J737" i="7" a="1"/>
  <c r="J737" i="7" s="1"/>
  <c r="J738" i="7" a="1"/>
  <c r="J738" i="7" s="1"/>
  <c r="J739" i="7" a="1"/>
  <c r="J739" i="7" s="1"/>
  <c r="J740" i="7" a="1"/>
  <c r="J740" i="7" s="1"/>
  <c r="J741" i="7" a="1"/>
  <c r="J741" i="7" s="1"/>
  <c r="J742" i="7" a="1"/>
  <c r="J742" i="7" s="1"/>
  <c r="J743" i="7" a="1"/>
  <c r="J743" i="7" s="1"/>
  <c r="J744" i="7" a="1"/>
  <c r="J744" i="7" s="1"/>
  <c r="J745" i="7" a="1"/>
  <c r="J745" i="7" s="1"/>
  <c r="J746" i="7" a="1"/>
  <c r="J746" i="7" s="1"/>
  <c r="J747" i="7" a="1"/>
  <c r="J747" i="7" s="1"/>
  <c r="J748" i="7" a="1"/>
  <c r="J748" i="7" s="1"/>
  <c r="J749" i="7" a="1"/>
  <c r="J749" i="7" s="1"/>
  <c r="J750" i="7" a="1"/>
  <c r="J750" i="7" s="1"/>
  <c r="J751" i="7" a="1"/>
  <c r="J751" i="7" s="1"/>
  <c r="J752" i="7" a="1"/>
  <c r="J752" i="7" s="1"/>
  <c r="J753" i="7" a="1"/>
  <c r="J753" i="7" s="1"/>
  <c r="J754" i="7" a="1"/>
  <c r="J754" i="7" s="1"/>
  <c r="J755" i="7" a="1"/>
  <c r="J755" i="7" s="1"/>
  <c r="J756" i="7" a="1"/>
  <c r="J756" i="7" s="1"/>
  <c r="J757" i="7" a="1"/>
  <c r="J757" i="7" s="1"/>
  <c r="J758" i="7" a="1"/>
  <c r="J758" i="7" s="1"/>
  <c r="J759" i="7" a="1"/>
  <c r="J759" i="7" s="1"/>
  <c r="J760" i="7" a="1"/>
  <c r="J760" i="7" s="1"/>
  <c r="J761" i="7" a="1"/>
  <c r="J761" i="7" s="1"/>
  <c r="J762" i="7" a="1"/>
  <c r="J762" i="7" s="1"/>
  <c r="J763" i="7" a="1"/>
  <c r="J763" i="7" s="1"/>
  <c r="J764" i="7" a="1"/>
  <c r="J764" i="7" s="1"/>
  <c r="J765" i="7" a="1"/>
  <c r="J765" i="7" s="1"/>
  <c r="J766" i="7" a="1"/>
  <c r="J766" i="7" s="1"/>
  <c r="J767" i="7" a="1"/>
  <c r="J767" i="7" s="1"/>
  <c r="J768" i="7" a="1"/>
  <c r="J768" i="7" s="1"/>
  <c r="J769" i="7" a="1"/>
  <c r="J769" i="7" s="1"/>
  <c r="J770" i="7" a="1"/>
  <c r="J770" i="7" s="1"/>
  <c r="J771" i="7" a="1"/>
  <c r="J771" i="7" s="1"/>
  <c r="J772" i="7" a="1"/>
  <c r="J772" i="7" s="1"/>
  <c r="J773" i="7" a="1"/>
  <c r="J773" i="7" s="1"/>
  <c r="J774" i="7" a="1"/>
  <c r="J774" i="7" s="1"/>
  <c r="J775" i="7" a="1"/>
  <c r="J775" i="7" s="1"/>
  <c r="J776" i="7" a="1"/>
  <c r="J776" i="7" s="1"/>
  <c r="J777" i="7" a="1"/>
  <c r="J777" i="7" s="1"/>
  <c r="J778" i="7" a="1"/>
  <c r="J778" i="7" s="1"/>
  <c r="J779" i="7" a="1"/>
  <c r="J779" i="7" s="1"/>
  <c r="J780" i="7" a="1"/>
  <c r="J780" i="7" s="1"/>
  <c r="J781" i="7" a="1"/>
  <c r="J781" i="7" s="1"/>
  <c r="J782" i="7" a="1"/>
  <c r="J782" i="7" s="1"/>
  <c r="J783" i="7" a="1"/>
  <c r="J783" i="7" s="1"/>
  <c r="J784" i="7" a="1"/>
  <c r="J784" i="7" s="1"/>
  <c r="J785" i="7" a="1"/>
  <c r="J785" i="7" s="1"/>
  <c r="J786" i="7" a="1"/>
  <c r="J786" i="7" s="1"/>
  <c r="J787" i="7" a="1"/>
  <c r="J787" i="7" s="1"/>
  <c r="J788" i="7" a="1"/>
  <c r="J788" i="7" s="1"/>
  <c r="J789" i="7" a="1"/>
  <c r="J789" i="7" s="1"/>
  <c r="J790" i="7" a="1"/>
  <c r="J790" i="7" s="1"/>
  <c r="J791" i="7" a="1"/>
  <c r="J791" i="7" s="1"/>
  <c r="J792" i="7" a="1"/>
  <c r="J792" i="7" s="1"/>
  <c r="J793" i="7" a="1"/>
  <c r="J793" i="7" s="1"/>
  <c r="J794" i="7" a="1"/>
  <c r="J794" i="7" s="1"/>
  <c r="J795" i="7" a="1"/>
  <c r="J795" i="7" s="1"/>
  <c r="J796" i="7" a="1"/>
  <c r="J796" i="7" s="1"/>
  <c r="J797" i="7" a="1"/>
  <c r="J797" i="7" s="1"/>
  <c r="J798" i="7" a="1"/>
  <c r="J798" i="7" s="1"/>
  <c r="J799" i="7" a="1"/>
  <c r="J799" i="7" s="1"/>
  <c r="J800" i="7" a="1"/>
  <c r="J800" i="7" s="1"/>
  <c r="J801" i="7" a="1"/>
  <c r="J801" i="7" s="1"/>
  <c r="J802" i="7" a="1"/>
  <c r="J802" i="7" s="1"/>
  <c r="J803" i="7" a="1"/>
  <c r="J803" i="7" s="1"/>
  <c r="J804" i="7" a="1"/>
  <c r="J804" i="7" s="1"/>
  <c r="J805" i="7" a="1"/>
  <c r="J805" i="7" s="1"/>
  <c r="J806" i="7" a="1"/>
  <c r="J806" i="7" s="1"/>
  <c r="J807" i="7" a="1"/>
  <c r="J807" i="7" s="1"/>
  <c r="J808" i="7" a="1"/>
  <c r="J808" i="7" s="1"/>
  <c r="J809" i="7" a="1"/>
  <c r="J809" i="7" s="1"/>
  <c r="J810" i="7" a="1"/>
  <c r="J810" i="7" s="1"/>
  <c r="J811" i="7" a="1"/>
  <c r="J811" i="7" s="1"/>
  <c r="J812" i="7" a="1"/>
  <c r="J812" i="7" s="1"/>
  <c r="J813" i="7" a="1"/>
  <c r="J813" i="7" s="1"/>
  <c r="J814" i="7" a="1"/>
  <c r="J814" i="7" s="1"/>
  <c r="J815" i="7" a="1"/>
  <c r="J815" i="7" s="1"/>
  <c r="J816" i="7" a="1"/>
  <c r="J816" i="7" s="1"/>
  <c r="J817" i="7" a="1"/>
  <c r="J817" i="7" s="1"/>
  <c r="J818" i="7" a="1"/>
  <c r="J818" i="7" s="1"/>
  <c r="J819" i="7" a="1"/>
  <c r="J819" i="7" s="1"/>
  <c r="J820" i="7" a="1"/>
  <c r="J820" i="7" s="1"/>
  <c r="J821" i="7" a="1"/>
  <c r="J821" i="7" s="1"/>
  <c r="J822" i="7" a="1"/>
  <c r="J822" i="7" s="1"/>
  <c r="J823" i="7" a="1"/>
  <c r="J823" i="7" s="1"/>
  <c r="J824" i="7" a="1"/>
  <c r="J824" i="7" s="1"/>
  <c r="J825" i="7" a="1"/>
  <c r="J825" i="7" s="1"/>
  <c r="J826" i="7" a="1"/>
  <c r="J826" i="7" s="1"/>
  <c r="J827" i="7" a="1"/>
  <c r="J827" i="7" s="1"/>
  <c r="J828" i="7" a="1"/>
  <c r="J828" i="7" s="1"/>
  <c r="J829" i="7" a="1"/>
  <c r="J829" i="7" s="1"/>
  <c r="J830" i="7" a="1"/>
  <c r="J830" i="7" s="1"/>
  <c r="J831" i="7" a="1"/>
  <c r="J831" i="7" s="1"/>
  <c r="J832" i="7" a="1"/>
  <c r="J832" i="7" s="1"/>
  <c r="J833" i="7" a="1"/>
  <c r="J833" i="7" s="1"/>
  <c r="J834" i="7" a="1"/>
  <c r="J834" i="7" s="1"/>
  <c r="J835" i="7" a="1"/>
  <c r="J835" i="7" s="1"/>
  <c r="J836" i="7" a="1"/>
  <c r="J836" i="7" s="1"/>
  <c r="J837" i="7" a="1"/>
  <c r="J837" i="7" s="1"/>
  <c r="J838" i="7" a="1"/>
  <c r="J838" i="7" s="1"/>
  <c r="J839" i="7" a="1"/>
  <c r="J839" i="7" s="1"/>
  <c r="J840" i="7" a="1"/>
  <c r="J840" i="7" s="1"/>
  <c r="J841" i="7" a="1"/>
  <c r="J841" i="7" s="1"/>
  <c r="J842" i="7" a="1"/>
  <c r="J842" i="7" s="1"/>
  <c r="J843" i="7" a="1"/>
  <c r="J843" i="7" s="1"/>
  <c r="J844" i="7" a="1"/>
  <c r="J844" i="7" s="1"/>
  <c r="J845" i="7" a="1"/>
  <c r="J845" i="7" s="1"/>
  <c r="J846" i="7" a="1"/>
  <c r="J846" i="7" s="1"/>
  <c r="J847" i="7" a="1"/>
  <c r="J847" i="7" s="1"/>
  <c r="J848" i="7" a="1"/>
  <c r="J848" i="7" s="1"/>
  <c r="J849" i="7" a="1"/>
  <c r="J849" i="7" s="1"/>
  <c r="J850" i="7" a="1"/>
  <c r="J850" i="7" s="1"/>
  <c r="J851" i="7" a="1"/>
  <c r="J851" i="7" s="1"/>
  <c r="J852" i="7" a="1"/>
  <c r="J852" i="7" s="1"/>
  <c r="J853" i="7" a="1"/>
  <c r="J853" i="7" s="1"/>
  <c r="J854" i="7" a="1"/>
  <c r="J854" i="7" s="1"/>
  <c r="J855" i="7" a="1"/>
  <c r="J855" i="7" s="1"/>
  <c r="J856" i="7" a="1"/>
  <c r="J856" i="7" s="1"/>
  <c r="J857" i="7" a="1"/>
  <c r="J857" i="7" s="1"/>
  <c r="J858" i="7" a="1"/>
  <c r="J858" i="7" s="1"/>
  <c r="J859" i="7" a="1"/>
  <c r="J859" i="7" s="1"/>
  <c r="J860" i="7" a="1"/>
  <c r="J860" i="7" s="1"/>
  <c r="J861" i="7" a="1"/>
  <c r="J861" i="7" s="1"/>
  <c r="J862" i="7" a="1"/>
  <c r="J862" i="7" s="1"/>
  <c r="J863" i="7" a="1"/>
  <c r="J863" i="7" s="1"/>
  <c r="J864" i="7" a="1"/>
  <c r="J864" i="7" s="1"/>
  <c r="J865" i="7" a="1"/>
  <c r="J865" i="7" s="1"/>
  <c r="J866" i="7" a="1"/>
  <c r="J866" i="7" s="1"/>
  <c r="J867" i="7" a="1"/>
  <c r="J867" i="7" s="1"/>
  <c r="J868" i="7" a="1"/>
  <c r="J868" i="7" s="1"/>
  <c r="J869" i="7" a="1"/>
  <c r="J869" i="7" s="1"/>
  <c r="J870" i="7" a="1"/>
  <c r="J870" i="7" s="1"/>
  <c r="J871" i="7" a="1"/>
  <c r="J871" i="7" s="1"/>
  <c r="J872" i="7" a="1"/>
  <c r="J872" i="7" s="1"/>
  <c r="J873" i="7" a="1"/>
  <c r="J873" i="7" s="1"/>
  <c r="J874" i="7" a="1"/>
  <c r="J874" i="7" s="1"/>
  <c r="J875" i="7" a="1"/>
  <c r="J875" i="7" s="1"/>
  <c r="J876" i="7" a="1"/>
  <c r="J876" i="7" s="1"/>
  <c r="J877" i="7" a="1"/>
  <c r="J877" i="7" s="1"/>
  <c r="J878" i="7" a="1"/>
  <c r="J878" i="7" s="1"/>
  <c r="J879" i="7" a="1"/>
  <c r="J879" i="7" s="1"/>
  <c r="J880" i="7" a="1"/>
  <c r="J880" i="7" s="1"/>
  <c r="J881" i="7" a="1"/>
  <c r="J881" i="7" s="1"/>
  <c r="J882" i="7" a="1"/>
  <c r="J882" i="7" s="1"/>
  <c r="J883" i="7" a="1"/>
  <c r="J883" i="7" s="1"/>
  <c r="J884" i="7" a="1"/>
  <c r="J884" i="7" s="1"/>
  <c r="J885" i="7" a="1"/>
  <c r="J885" i="7" s="1"/>
  <c r="J886" i="7" a="1"/>
  <c r="J886" i="7" s="1"/>
  <c r="J887" i="7" a="1"/>
  <c r="J887" i="7" s="1"/>
  <c r="J888" i="7" a="1"/>
  <c r="J888" i="7" s="1"/>
  <c r="J889" i="7" a="1"/>
  <c r="J889" i="7" s="1"/>
  <c r="J890" i="7" a="1"/>
  <c r="J890" i="7" s="1"/>
  <c r="J891" i="7" a="1"/>
  <c r="J891" i="7" s="1"/>
  <c r="J892" i="7" a="1"/>
  <c r="J892" i="7" s="1"/>
  <c r="J893" i="7" a="1"/>
  <c r="J893" i="7" s="1"/>
  <c r="J894" i="7" a="1"/>
  <c r="J894" i="7" s="1"/>
  <c r="J895" i="7" a="1"/>
  <c r="J895" i="7" s="1"/>
  <c r="J896" i="7" a="1"/>
  <c r="J896" i="7" s="1"/>
  <c r="J897" i="7" a="1"/>
  <c r="J897" i="7" s="1"/>
  <c r="J898" i="7" a="1"/>
  <c r="J898" i="7" s="1"/>
  <c r="J899" i="7" a="1"/>
  <c r="J899" i="7" s="1"/>
  <c r="J900" i="7" a="1"/>
  <c r="J900" i="7" s="1"/>
  <c r="J901" i="7" a="1"/>
  <c r="J901" i="7" s="1"/>
  <c r="J902" i="7" a="1"/>
  <c r="J902" i="7" s="1"/>
  <c r="J903" i="7" a="1"/>
  <c r="J903" i="7" s="1"/>
  <c r="J904" i="7" a="1"/>
  <c r="J904" i="7" s="1"/>
  <c r="J905" i="7" a="1"/>
  <c r="J905" i="7" s="1"/>
  <c r="J906" i="7" a="1"/>
  <c r="J906" i="7" s="1"/>
  <c r="J907" i="7" a="1"/>
  <c r="J907" i="7" s="1"/>
  <c r="J908" i="7" a="1"/>
  <c r="J908" i="7" s="1"/>
  <c r="J909" i="7" a="1"/>
  <c r="J909" i="7" s="1"/>
  <c r="J910" i="7" a="1"/>
  <c r="J910" i="7" s="1"/>
  <c r="J911" i="7" a="1"/>
  <c r="J911" i="7" s="1"/>
  <c r="J912" i="7" a="1"/>
  <c r="J912" i="7" s="1"/>
  <c r="J913" i="7" a="1"/>
  <c r="J913" i="7" s="1"/>
  <c r="J914" i="7" a="1"/>
  <c r="J914" i="7" s="1"/>
  <c r="J915" i="7" a="1"/>
  <c r="J915" i="7" s="1"/>
  <c r="J916" i="7" a="1"/>
  <c r="J916" i="7" s="1"/>
  <c r="J917" i="7" a="1"/>
  <c r="J917" i="7" s="1"/>
  <c r="J918" i="7" a="1"/>
  <c r="J918" i="7" s="1"/>
  <c r="J919" i="7" a="1"/>
  <c r="J919" i="7" s="1"/>
  <c r="J920" i="7" a="1"/>
  <c r="J920" i="7" s="1"/>
  <c r="J921" i="7" a="1"/>
  <c r="J921" i="7" s="1"/>
  <c r="J922" i="7" a="1"/>
  <c r="J922" i="7" s="1"/>
  <c r="J923" i="7" a="1"/>
  <c r="J923" i="7" s="1"/>
  <c r="J924" i="7" a="1"/>
  <c r="J924" i="7" s="1"/>
  <c r="J925" i="7" a="1"/>
  <c r="J925" i="7" s="1"/>
  <c r="J926" i="7" a="1"/>
  <c r="J926" i="7" s="1"/>
  <c r="J927" i="7" a="1"/>
  <c r="J927" i="7" s="1"/>
  <c r="J928" i="7" a="1"/>
  <c r="J928" i="7" s="1"/>
  <c r="J929" i="7" a="1"/>
  <c r="J929" i="7" s="1"/>
  <c r="J930" i="7" a="1"/>
  <c r="J930" i="7" s="1"/>
  <c r="J931" i="7" a="1"/>
  <c r="J931" i="7" s="1"/>
  <c r="J932" i="7" a="1"/>
  <c r="J932" i="7" s="1"/>
  <c r="J933" i="7" a="1"/>
  <c r="J933" i="7" s="1"/>
  <c r="J934" i="7" a="1"/>
  <c r="J934" i="7" s="1"/>
  <c r="J935" i="7" a="1"/>
  <c r="J935" i="7" s="1"/>
  <c r="J936" i="7" a="1"/>
  <c r="J936" i="7" s="1"/>
  <c r="J937" i="7" a="1"/>
  <c r="J937" i="7" s="1"/>
  <c r="J938" i="7" a="1"/>
  <c r="J938" i="7" s="1"/>
  <c r="J939" i="7" a="1"/>
  <c r="J939" i="7" s="1"/>
  <c r="J940" i="7" a="1"/>
  <c r="J940" i="7" s="1"/>
  <c r="J941" i="7" a="1"/>
  <c r="J941" i="7" s="1"/>
  <c r="J942" i="7" a="1"/>
  <c r="J942" i="7" s="1"/>
  <c r="J943" i="7" a="1"/>
  <c r="J943" i="7" s="1"/>
  <c r="J944" i="7" a="1"/>
  <c r="J944" i="7" s="1"/>
  <c r="J945" i="7" a="1"/>
  <c r="J945" i="7" s="1"/>
  <c r="J946" i="7" a="1"/>
  <c r="J946" i="7" s="1"/>
  <c r="J947" i="7" a="1"/>
  <c r="J947" i="7" s="1"/>
  <c r="J948" i="7" a="1"/>
  <c r="J948" i="7" s="1"/>
  <c r="J949" i="7" a="1"/>
  <c r="J949" i="7" s="1"/>
  <c r="J950" i="7" a="1"/>
  <c r="J950" i="7" s="1"/>
  <c r="J951" i="7" a="1"/>
  <c r="J951" i="7" s="1"/>
  <c r="J952" i="7" a="1"/>
  <c r="J952" i="7" s="1"/>
  <c r="J953" i="7" a="1"/>
  <c r="J953" i="7" s="1"/>
  <c r="J954" i="7" a="1"/>
  <c r="J954" i="7" s="1"/>
  <c r="J955" i="7" a="1"/>
  <c r="J955" i="7" s="1"/>
  <c r="J956" i="7" a="1"/>
  <c r="J956" i="7" s="1"/>
  <c r="J957" i="7" a="1"/>
  <c r="J957" i="7" s="1"/>
  <c r="J958" i="7" a="1"/>
  <c r="J958" i="7" s="1"/>
  <c r="J959" i="7" a="1"/>
  <c r="J959" i="7" s="1"/>
  <c r="J960" i="7" a="1"/>
  <c r="J960" i="7" s="1"/>
  <c r="J961" i="7" a="1"/>
  <c r="J961" i="7" s="1"/>
  <c r="J962" i="7" a="1"/>
  <c r="J962" i="7" s="1"/>
  <c r="J963" i="7" a="1"/>
  <c r="J963" i="7" s="1"/>
  <c r="J964" i="7" a="1"/>
  <c r="J964" i="7" s="1"/>
  <c r="J965" i="7" a="1"/>
  <c r="J965" i="7" s="1"/>
  <c r="J966" i="7" a="1"/>
  <c r="J966" i="7" s="1"/>
  <c r="J967" i="7" a="1"/>
  <c r="J967" i="7" s="1"/>
  <c r="J968" i="7" a="1"/>
  <c r="J968" i="7" s="1"/>
  <c r="J969" i="7" a="1"/>
  <c r="J969" i="7" s="1"/>
  <c r="J970" i="7" a="1"/>
  <c r="J970" i="7" s="1"/>
  <c r="J971" i="7" a="1"/>
  <c r="J971" i="7" s="1"/>
  <c r="J972" i="7" a="1"/>
  <c r="J972" i="7" s="1"/>
  <c r="J973" i="7" a="1"/>
  <c r="J973" i="7" s="1"/>
  <c r="J974" i="7" a="1"/>
  <c r="J974" i="7" s="1"/>
  <c r="J975" i="7" a="1"/>
  <c r="J975" i="7" s="1"/>
  <c r="J976" i="7" a="1"/>
  <c r="J976" i="7" s="1"/>
  <c r="J977" i="7" a="1"/>
  <c r="J977" i="7" s="1"/>
  <c r="J978" i="7" a="1"/>
  <c r="J978" i="7" s="1"/>
  <c r="J979" i="7" a="1"/>
  <c r="J979" i="7" s="1"/>
  <c r="J980" i="7" a="1"/>
  <c r="J980" i="7" s="1"/>
  <c r="J981" i="7" a="1"/>
  <c r="J981" i="7" s="1"/>
  <c r="J982" i="7" a="1"/>
  <c r="J982" i="7" s="1"/>
  <c r="J983" i="7" a="1"/>
  <c r="J983" i="7" s="1"/>
  <c r="J984" i="7" a="1"/>
  <c r="J984" i="7" s="1"/>
  <c r="J985" i="7" a="1"/>
  <c r="J985" i="7" s="1"/>
  <c r="J986" i="7" a="1"/>
  <c r="J986" i="7" s="1"/>
  <c r="J987" i="7" a="1"/>
  <c r="J987" i="7" s="1"/>
  <c r="J988" i="7" a="1"/>
  <c r="J988" i="7" s="1"/>
  <c r="J989" i="7" a="1"/>
  <c r="J989" i="7" s="1"/>
  <c r="J990" i="7" a="1"/>
  <c r="J990" i="7" s="1"/>
  <c r="J991" i="7" a="1"/>
  <c r="J991" i="7" s="1"/>
  <c r="J992" i="7" a="1"/>
  <c r="J992" i="7" s="1"/>
  <c r="J993" i="7" a="1"/>
  <c r="J993" i="7" s="1"/>
  <c r="J994" i="7" a="1"/>
  <c r="J994" i="7" s="1"/>
  <c r="J995" i="7" a="1"/>
  <c r="J995" i="7" s="1"/>
  <c r="J996" i="7" a="1"/>
  <c r="J996" i="7" s="1"/>
  <c r="J997" i="7" a="1"/>
  <c r="J997" i="7" s="1"/>
  <c r="J998" i="7" a="1"/>
  <c r="J998" i="7" s="1"/>
  <c r="J999" i="7" a="1"/>
  <c r="J999" i="7" s="1"/>
  <c r="J1000" i="7" a="1"/>
  <c r="J1000" i="7" s="1"/>
  <c r="J1001" i="7" a="1"/>
  <c r="J1001" i="7" s="1"/>
  <c r="J1002" i="7" a="1"/>
  <c r="J1002" i="7" s="1"/>
  <c r="J1003" i="7" a="1"/>
  <c r="J1003" i="7" s="1"/>
  <c r="J1004" i="7" a="1"/>
  <c r="J1004" i="7" s="1"/>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C581" i="3" a="1"/>
  <c r="E577" i="3"/>
  <c r="D577" i="3"/>
  <c r="C447" i="3" a="1"/>
  <c r="C447" i="3" s="1"/>
  <c r="C423" i="3" a="1"/>
  <c r="C423" i="3" s="1"/>
  <c r="C394" i="3" a="1"/>
  <c r="C275" i="3" a="1"/>
  <c r="C275" i="3" s="1"/>
  <c r="C263" i="3" a="1"/>
  <c r="C263" i="3" s="1"/>
  <c r="D258" i="3" a="1"/>
  <c r="D258" i="3" s="1"/>
  <c r="D251" i="3" a="1"/>
  <c r="D251" i="3" s="1"/>
  <c r="D248" i="3" a="1"/>
  <c r="D248" i="3" s="1"/>
  <c r="D242" i="3" a="1"/>
  <c r="D242" i="3" s="1"/>
  <c r="E224" i="3" a="1"/>
  <c r="E224" i="3" s="1"/>
  <c r="E222" i="3" a="1"/>
  <c r="E222" i="3" s="1"/>
  <c r="E216" i="3"/>
  <c r="E219" i="3"/>
  <c r="E218" i="3"/>
  <c r="E217" i="3"/>
  <c r="D205" i="3"/>
  <c r="H196" i="3"/>
  <c r="H198" i="3" s="1"/>
  <c r="H195" i="3"/>
  <c r="H197" i="3" s="1"/>
  <c r="E198" i="3"/>
  <c r="E197" i="3"/>
  <c r="E196" i="3"/>
  <c r="E195" i="3"/>
  <c r="E171" i="3" a="1"/>
  <c r="G160" i="3" a="1"/>
  <c r="G160" i="3" s="1"/>
  <c r="G159" i="3" a="1"/>
  <c r="G159" i="3" s="1"/>
  <c r="G158" i="3" a="1"/>
  <c r="G158" i="3" s="1"/>
  <c r="G156" i="3" a="1"/>
  <c r="G156" i="3" s="1"/>
  <c r="G157" i="3" a="1"/>
  <c r="G157" i="3" s="1"/>
  <c r="F160" i="3" a="1"/>
  <c r="F160" i="3" s="1"/>
  <c r="F159" i="3" a="1"/>
  <c r="F159" i="3" s="1"/>
  <c r="F158" i="3" a="1"/>
  <c r="F158" i="3" s="1"/>
  <c r="F157" i="3" a="1"/>
  <c r="F157" i="3" s="1"/>
  <c r="F156" i="3" a="1"/>
  <c r="F156" i="3" s="1"/>
  <c r="G155" i="3"/>
  <c r="F155" i="3"/>
  <c r="G154" i="3"/>
  <c r="F154" i="3"/>
  <c r="E162" i="3" a="1"/>
  <c r="E162" i="3" s="1"/>
  <c r="E160" i="3"/>
  <c r="E159" i="3"/>
  <c r="E158" i="3"/>
  <c r="E157" i="3"/>
  <c r="E156" i="3"/>
  <c r="E155" i="3"/>
  <c r="E154" i="3"/>
  <c r="D128" i="3" a="1"/>
  <c r="D128" i="3" s="1"/>
  <c r="D129" i="3" a="1"/>
  <c r="D129" i="3" s="1"/>
  <c r="D75" i="3" a="1"/>
  <c r="D75" i="3" s="1"/>
  <c r="D76" i="3" a="1"/>
  <c r="D76" i="3" s="1"/>
  <c r="D22" i="3" a="1"/>
  <c r="D22" i="3" s="1"/>
  <c r="D23" i="3" a="1"/>
  <c r="D23" i="3" s="1"/>
  <c r="E18" i="3"/>
  <c r="E17" i="3"/>
  <c r="E16" i="3"/>
  <c r="E15" i="3"/>
  <c r="E14" i="3"/>
  <c r="E13" i="3"/>
  <c r="E12" i="3"/>
  <c r="E11" i="3"/>
  <c r="E10" i="3"/>
  <c r="E9" i="3"/>
  <c r="E8" i="3"/>
  <c r="G7" i="3" a="1"/>
  <c r="G7" i="3" s="1"/>
  <c r="F7" i="3" a="1"/>
  <c r="F7" i="3" s="1"/>
  <c r="E7" i="3"/>
  <c r="C581" i="3" l="1"/>
  <c r="H581" i="3" s="1" a="1"/>
  <c r="E581" i="3" a="1"/>
  <c r="D581" i="3" a="1"/>
  <c r="D581" i="3" s="1"/>
  <c r="E207" i="3" a="1"/>
  <c r="E207" i="3" s="1"/>
  <c r="E208" i="3" a="1"/>
  <c r="E208" i="3" s="1"/>
  <c r="C394" i="3"/>
  <c r="E171" i="3"/>
  <c r="F171" i="3"/>
  <c r="I581" i="3" l="1"/>
  <c r="H581" i="3"/>
  <c r="E581" i="3"/>
  <c r="F581" i="3" s="1" a="1"/>
  <c r="F581" i="3" l="1"/>
  <c r="G581" i="3" s="1" a="1"/>
  <c r="G581"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005EE6-56B4-45A5-B6CA-AD2BF9A6E425}" keepAlive="1" name="Query - Medals" description="Connection to the 'Medals' query in the workbook." type="5" refreshedVersion="8" background="1" saveData="1">
    <dbPr connection="Provider=Microsoft.Mashup.OleDb.1;Data Source=$Workbook$;Location=Medals;Extended Properties=&quot;&quot;" command="SELECT * FROM [Medals]"/>
  </connection>
  <connection id="2" xr16:uid="{F1316B4C-2B12-484C-964F-BC03321035C4}" keepAlive="1" name="Query - Staff" description="Connection to the 'Staff' query in the workbook." type="5" refreshedVersion="8" background="1" saveData="1">
    <dbPr connection="Provider=Microsoft.Mashup.OleDb.1;Data Source=$Workbook$;Location=Staff;Extended Properties=&quot;&quot;" command="SELECT * FROM [Staff]"/>
  </connection>
  <connection id="3" xr16:uid="{5FB3A581-5B3D-4707-BCD3-DCEEFEA868D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C82777C0-8FF7-4FBF-A03B-9E34DC2CF013}" name="WorksheetConnection_excel%20learning (Recovered).xlsx!CALLS" type="102" refreshedVersion="8" minRefreshableVersion="5">
    <extLst>
      <ext xmlns:x15="http://schemas.microsoft.com/office/spreadsheetml/2010/11/main" uri="{DE250136-89BD-433C-8126-D09CA5730AF9}">
        <x15:connection id="CALLS" autoDelete="1">
          <x15:rangePr sourceName="_xlcn.WorksheetConnection_excel20learningRecovered.xlsxCALLS1"/>
        </x15:connection>
      </ext>
    </extLst>
  </connection>
  <connection id="5" xr16:uid="{E7F70456-1371-4B86-8C9D-C7C4744666A1}" name="WorksheetConnection_excel%20learning (Recovered).xlsx!CUSTOMERS" type="102" refreshedVersion="8" minRefreshableVersion="5">
    <extLst>
      <ext xmlns:x15="http://schemas.microsoft.com/office/spreadsheetml/2010/11/main" uri="{DE250136-89BD-433C-8126-D09CA5730AF9}">
        <x15:connection id="CUSTOMERS">
          <x15:rangePr sourceName="_xlcn.WorksheetConnection_excel20learningRecovered.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<sst xmlns="http://schemas.openxmlformats.org/spreadsheetml/2006/main" count="6272" uniqueCount="2105">
  <si>
    <t>Emp ID</t>
  </si>
  <si>
    <t>Name</t>
  </si>
  <si>
    <t>Gender</t>
  </si>
  <si>
    <t>Department</t>
  </si>
  <si>
    <t>Salary</t>
  </si>
  <si>
    <t>Start Date</t>
  </si>
  <si>
    <t>FTE</t>
  </si>
  <si>
    <t>Employee type</t>
  </si>
  <si>
    <t>Work location</t>
  </si>
  <si>
    <t>PR00007</t>
  </si>
  <si>
    <t>Torrance  Collier</t>
  </si>
  <si>
    <t>Female</t>
  </si>
  <si>
    <t>Training</t>
  </si>
  <si>
    <t>Permanent</t>
  </si>
  <si>
    <t>Wellington, New Zealand</t>
  </si>
  <si>
    <t>PR00095</t>
  </si>
  <si>
    <t>Devrat Damarsingh</t>
  </si>
  <si>
    <t>Business Development</t>
  </si>
  <si>
    <t>Hyderabad, India</t>
  </si>
  <si>
    <t>PR00113</t>
  </si>
  <si>
    <t>Van Tuxwell</t>
  </si>
  <si>
    <t>Columbus, USA</t>
  </si>
  <si>
    <t>PR00147</t>
  </si>
  <si>
    <t>Minerva Ricardot</t>
  </si>
  <si>
    <t>Male</t>
  </si>
  <si>
    <t>???</t>
  </si>
  <si>
    <t>Remote</t>
  </si>
  <si>
    <t>PR00246</t>
  </si>
  <si>
    <t>Husein Augar</t>
  </si>
  <si>
    <t>Marketing</t>
  </si>
  <si>
    <t>PR00419</t>
  </si>
  <si>
    <t>Billi Fellgate</t>
  </si>
  <si>
    <t>PR00576</t>
  </si>
  <si>
    <t>Lalitchandra Vadali</t>
  </si>
  <si>
    <t>Legal</t>
  </si>
  <si>
    <t>PR00746</t>
  </si>
  <si>
    <t>Hogan Iles</t>
  </si>
  <si>
    <t>Accounting</t>
  </si>
  <si>
    <t>PR00770</t>
  </si>
  <si>
    <t>Beryl Burnsyde</t>
  </si>
  <si>
    <t>PR00882</t>
  </si>
  <si>
    <t xml:space="preserve"> Jill Shipsey</t>
  </si>
  <si>
    <t>PR00893</t>
  </si>
  <si>
    <t>Vasavi Veeravasarapu</t>
  </si>
  <si>
    <t>Human Resources</t>
  </si>
  <si>
    <t>PR00916</t>
  </si>
  <si>
    <t>Inger Chapelhow</t>
  </si>
  <si>
    <t>Research and Development</t>
  </si>
  <si>
    <t>PR01055</t>
  </si>
  <si>
    <t>Devasree Fullara Saurin</t>
  </si>
  <si>
    <t>Chennai, India</t>
  </si>
  <si>
    <t>PR01159</t>
  </si>
  <si>
    <t>Mollie  Hanway</t>
  </si>
  <si>
    <t>Seattle, USA</t>
  </si>
  <si>
    <t>PR01211</t>
  </si>
  <si>
    <t>Enoch Dowrey</t>
  </si>
  <si>
    <t>Auckland, New Zealand</t>
  </si>
  <si>
    <t>PR01269</t>
  </si>
  <si>
    <t>Eleonore Airdrie</t>
  </si>
  <si>
    <t>Engineering</t>
  </si>
  <si>
    <t>PR01306</t>
  </si>
  <si>
    <t>Patti Dradey</t>
  </si>
  <si>
    <t>Services</t>
  </si>
  <si>
    <t>PR01346</t>
  </si>
  <si>
    <t>Adolph McNalley</t>
  </si>
  <si>
    <t>PR01383</t>
  </si>
  <si>
    <t>Addi Studdeard</t>
  </si>
  <si>
    <t>Product Management</t>
  </si>
  <si>
    <t>PR01476</t>
  </si>
  <si>
    <t>Jaishree Atasi Yavatkar</t>
  </si>
  <si>
    <t>PR01662</t>
  </si>
  <si>
    <t>Genevra Friday</t>
  </si>
  <si>
    <t>PR01943</t>
  </si>
  <si>
    <t>Rameshwari Chikodi</t>
  </si>
  <si>
    <t>PR01956</t>
  </si>
  <si>
    <t xml:space="preserve"> Jamesy O'Ferris</t>
  </si>
  <si>
    <t>PR02010</t>
  </si>
  <si>
    <t>Prerana Nishita</t>
  </si>
  <si>
    <t>PR02016</t>
  </si>
  <si>
    <t>Iris  Wagg</t>
  </si>
  <si>
    <t>PR02113</t>
  </si>
  <si>
    <t>Beverie Moffet</t>
  </si>
  <si>
    <t>Support</t>
  </si>
  <si>
    <t>PR02140</t>
  </si>
  <si>
    <t>Anjushri Chandiramani</t>
  </si>
  <si>
    <t>PR02208</t>
  </si>
  <si>
    <t>Gowri Sankar Chakrala</t>
  </si>
  <si>
    <t>PR02275</t>
  </si>
  <si>
    <t>Louise Lamming</t>
  </si>
  <si>
    <t>Sales</t>
  </si>
  <si>
    <t>PR02288</t>
  </si>
  <si>
    <t>Althea  Bronger</t>
  </si>
  <si>
    <t>PR02321</t>
  </si>
  <si>
    <t>Evanne  Sheryn</t>
  </si>
  <si>
    <t>PR02436</t>
  </si>
  <si>
    <t>Marmaduke Worssam</t>
  </si>
  <si>
    <t>PR02603</t>
  </si>
  <si>
    <t>Dinanath Simhambhatla</t>
  </si>
  <si>
    <t>PR02782</t>
  </si>
  <si>
    <t>Isaak Rawne</t>
  </si>
  <si>
    <t>PR02957</t>
  </si>
  <si>
    <t>Vaughn Carvill</t>
  </si>
  <si>
    <t>PR03034</t>
  </si>
  <si>
    <t>Sreenivasa Naik Gudiwada</t>
  </si>
  <si>
    <t>PR03137</t>
  </si>
  <si>
    <t>Jagajeet Viraj</t>
  </si>
  <si>
    <t>PR03158</t>
  </si>
  <si>
    <t>Danica Nayshe</t>
  </si>
  <si>
    <t>PR03271</t>
  </si>
  <si>
    <t>Stan  Tolliday</t>
  </si>
  <si>
    <t>PR03445</t>
  </si>
  <si>
    <t>Myrle Prandoni</t>
  </si>
  <si>
    <t>PR03532</t>
  </si>
  <si>
    <t>Crawford Scad</t>
  </si>
  <si>
    <t>PR03804</t>
  </si>
  <si>
    <t>Pratigya Rema</t>
  </si>
  <si>
    <t>Sartaj Probal</t>
  </si>
  <si>
    <t>PR03844</t>
  </si>
  <si>
    <t>Brose MacCorkell</t>
  </si>
  <si>
    <t>PR03886</t>
  </si>
  <si>
    <t>Edd  MacKnockiter</t>
  </si>
  <si>
    <t>PR03980</t>
  </si>
  <si>
    <t xml:space="preserve"> Kath Bletsoe</t>
  </si>
  <si>
    <t>PR04366</t>
  </si>
  <si>
    <t>Carry Loblie</t>
  </si>
  <si>
    <t>PR04380</t>
  </si>
  <si>
    <t>PR04446</t>
  </si>
  <si>
    <t>Sameer Shashank Sapra</t>
  </si>
  <si>
    <t>PR04473</t>
  </si>
  <si>
    <t xml:space="preserve"> Wyn Treadger</t>
  </si>
  <si>
    <t>PR04601</t>
  </si>
  <si>
    <t>Yedukondalu Panditula</t>
  </si>
  <si>
    <t>PR04686</t>
  </si>
  <si>
    <t>Oona Donan</t>
  </si>
  <si>
    <t>PR04851</t>
  </si>
  <si>
    <t>Rodina Drinan</t>
  </si>
  <si>
    <t>SQ00022</t>
  </si>
  <si>
    <t>Carlin Demke</t>
  </si>
  <si>
    <t>SQ00070</t>
  </si>
  <si>
    <t>Larissa Ingledow</t>
  </si>
  <si>
    <t>Rank</t>
  </si>
  <si>
    <t>Country</t>
  </si>
  <si>
    <t>Gold</t>
  </si>
  <si>
    <t>Silver</t>
  </si>
  <si>
    <t>Bronze</t>
  </si>
  <si>
    <t>Total</t>
  </si>
  <si>
    <t>Division</t>
  </si>
  <si>
    <t>1</t>
  </si>
  <si>
    <t>United States</t>
  </si>
  <si>
    <t>2</t>
  </si>
  <si>
    <t>China</t>
  </si>
  <si>
    <t>3</t>
  </si>
  <si>
    <t>Japan</t>
  </si>
  <si>
    <t>4</t>
  </si>
  <si>
    <t>Great Britain</t>
  </si>
  <si>
    <t>5</t>
  </si>
  <si>
    <t>ROC</t>
  </si>
  <si>
    <t>6</t>
  </si>
  <si>
    <t>Australia</t>
  </si>
  <si>
    <t>7</t>
  </si>
  <si>
    <t>Netherlands</t>
  </si>
  <si>
    <t>8</t>
  </si>
  <si>
    <t>France</t>
  </si>
  <si>
    <t>9</t>
  </si>
  <si>
    <t>Germany</t>
  </si>
  <si>
    <t>10</t>
  </si>
  <si>
    <t>Italy</t>
  </si>
  <si>
    <t>11</t>
  </si>
  <si>
    <t>Canada</t>
  </si>
  <si>
    <t>12</t>
  </si>
  <si>
    <t>Brazil</t>
  </si>
  <si>
    <t>13</t>
  </si>
  <si>
    <t>New Zealand</t>
  </si>
  <si>
    <t>14</t>
  </si>
  <si>
    <t>Cuba</t>
  </si>
  <si>
    <t>15</t>
  </si>
  <si>
    <t>Hungary</t>
  </si>
  <si>
    <t>16</t>
  </si>
  <si>
    <t>South Korea</t>
  </si>
  <si>
    <t>17</t>
  </si>
  <si>
    <t>Poland</t>
  </si>
  <si>
    <t>18</t>
  </si>
  <si>
    <t>Czech Republic</t>
  </si>
  <si>
    <t>19</t>
  </si>
  <si>
    <t>Kenya</t>
  </si>
  <si>
    <t>20</t>
  </si>
  <si>
    <t>Norway</t>
  </si>
  <si>
    <t>21</t>
  </si>
  <si>
    <t>Jamaica</t>
  </si>
  <si>
    <t>22</t>
  </si>
  <si>
    <t>Spain</t>
  </si>
  <si>
    <t>23</t>
  </si>
  <si>
    <t>Sweden</t>
  </si>
  <si>
    <t>24</t>
  </si>
  <si>
    <t>Switzerland</t>
  </si>
  <si>
    <t>25</t>
  </si>
  <si>
    <t>Denmark</t>
  </si>
  <si>
    <t>26</t>
  </si>
  <si>
    <t>Croatia</t>
  </si>
  <si>
    <t>27</t>
  </si>
  <si>
    <t>Iran</t>
  </si>
  <si>
    <t>28</t>
  </si>
  <si>
    <t>Serbia</t>
  </si>
  <si>
    <t>29</t>
  </si>
  <si>
    <t>Belgium</t>
  </si>
  <si>
    <t>30</t>
  </si>
  <si>
    <t>Bulgaria</t>
  </si>
  <si>
    <t>31</t>
  </si>
  <si>
    <t>Slovenia</t>
  </si>
  <si>
    <t>32</t>
  </si>
  <si>
    <t>Uzbekistan</t>
  </si>
  <si>
    <t>33</t>
  </si>
  <si>
    <t>Georgia</t>
  </si>
  <si>
    <t>34</t>
  </si>
  <si>
    <t>Chinese Taipei</t>
  </si>
  <si>
    <t>35</t>
  </si>
  <si>
    <t>Turkey</t>
  </si>
  <si>
    <t>36</t>
  </si>
  <si>
    <t>Greece</t>
  </si>
  <si>
    <t>Uganda</t>
  </si>
  <si>
    <t>38</t>
  </si>
  <si>
    <t>Ecuador</t>
  </si>
  <si>
    <t>39</t>
  </si>
  <si>
    <t>Ireland</t>
  </si>
  <si>
    <t>Israel</t>
  </si>
  <si>
    <t>41</t>
  </si>
  <si>
    <t>Qatar</t>
  </si>
  <si>
    <t>42</t>
  </si>
  <si>
    <t>Bahamas</t>
  </si>
  <si>
    <t>Kosovo</t>
  </si>
  <si>
    <t>44</t>
  </si>
  <si>
    <t>Ukraine</t>
  </si>
  <si>
    <t>45</t>
  </si>
  <si>
    <t>Belarus</t>
  </si>
  <si>
    <t>46</t>
  </si>
  <si>
    <t>Romania</t>
  </si>
  <si>
    <t>Venezuela</t>
  </si>
  <si>
    <t>48</t>
  </si>
  <si>
    <t>India</t>
  </si>
  <si>
    <t>49</t>
  </si>
  <si>
    <t>Hong Kong</t>
  </si>
  <si>
    <t>50</t>
  </si>
  <si>
    <t>Philippines</t>
  </si>
  <si>
    <t>Slovakia</t>
  </si>
  <si>
    <t>52</t>
  </si>
  <si>
    <t>South Africa</t>
  </si>
  <si>
    <t>53</t>
  </si>
  <si>
    <t>Austria</t>
  </si>
  <si>
    <t>54</t>
  </si>
  <si>
    <t>Egypt</t>
  </si>
  <si>
    <t>55</t>
  </si>
  <si>
    <t>Indonesia</t>
  </si>
  <si>
    <t>56</t>
  </si>
  <si>
    <t>Ethiopia</t>
  </si>
  <si>
    <t>Portugal</t>
  </si>
  <si>
    <t>58</t>
  </si>
  <si>
    <t>Tunisia</t>
  </si>
  <si>
    <t>59</t>
  </si>
  <si>
    <t>Estonia</t>
  </si>
  <si>
    <t>Fiji</t>
  </si>
  <si>
    <t>Latvia</t>
  </si>
  <si>
    <t>Thailand</t>
  </si>
  <si>
    <t>63</t>
  </si>
  <si>
    <t>Bermuda</t>
  </si>
  <si>
    <t>Morocco</t>
  </si>
  <si>
    <t>Puerto Rico</t>
  </si>
  <si>
    <t>66</t>
  </si>
  <si>
    <t>Colombia</t>
  </si>
  <si>
    <t>67</t>
  </si>
  <si>
    <t>Azerbaijan</t>
  </si>
  <si>
    <t>68</t>
  </si>
  <si>
    <t>Dominican Republic</t>
  </si>
  <si>
    <t>69</t>
  </si>
  <si>
    <t>Armenia</t>
  </si>
  <si>
    <t>70</t>
  </si>
  <si>
    <t>Kyrgyzstan</t>
  </si>
  <si>
    <t>71</t>
  </si>
  <si>
    <t>Mongolia</t>
  </si>
  <si>
    <t>72</t>
  </si>
  <si>
    <t>Argentina</t>
  </si>
  <si>
    <t>San Marino</t>
  </si>
  <si>
    <t>74</t>
  </si>
  <si>
    <t>Jordan</t>
  </si>
  <si>
    <t>Malaysia</t>
  </si>
  <si>
    <t>Nigeria</t>
  </si>
  <si>
    <t>77</t>
  </si>
  <si>
    <t>Bahrain</t>
  </si>
  <si>
    <t>Lithuania</t>
  </si>
  <si>
    <t>Namibia</t>
  </si>
  <si>
    <t>North Macedonia</t>
  </si>
  <si>
    <t>Saudi Arabia</t>
  </si>
  <si>
    <t>Turkmenistan</t>
  </si>
  <si>
    <t>83</t>
  </si>
  <si>
    <t>Kazakhstan</t>
  </si>
  <si>
    <t>84</t>
  </si>
  <si>
    <t>Mexico</t>
  </si>
  <si>
    <t>85</t>
  </si>
  <si>
    <t>Finland</t>
  </si>
  <si>
    <t>86</t>
  </si>
  <si>
    <t>Botswana</t>
  </si>
  <si>
    <t>Burkina Faso</t>
  </si>
  <si>
    <t>Ghana</t>
  </si>
  <si>
    <t>Grenada</t>
  </si>
  <si>
    <t>Ivory Coast</t>
  </si>
  <si>
    <t>Kuwait</t>
  </si>
  <si>
    <t>Moldova</t>
  </si>
  <si>
    <t>Syria</t>
  </si>
  <si>
    <t>First name</t>
  </si>
  <si>
    <t>Last name</t>
  </si>
  <si>
    <t>Salary bucket</t>
  </si>
  <si>
    <t>Work type</t>
  </si>
  <si>
    <t>Age</t>
  </si>
  <si>
    <t>Total Years</t>
  </si>
  <si>
    <t>Minerva</t>
  </si>
  <si>
    <t>Ricardot</t>
  </si>
  <si>
    <t>Above 100k</t>
  </si>
  <si>
    <t>Full time</t>
  </si>
  <si>
    <t>Oona</t>
  </si>
  <si>
    <t>Donan</t>
  </si>
  <si>
    <t>50k to 100k</t>
  </si>
  <si>
    <t>Part time</t>
  </si>
  <si>
    <t>SQ04612</t>
  </si>
  <si>
    <t>Mick</t>
  </si>
  <si>
    <t>Spraberry</t>
  </si>
  <si>
    <t>VT01803</t>
  </si>
  <si>
    <t>Freddy</t>
  </si>
  <si>
    <t>Linford</t>
  </si>
  <si>
    <t>Fixed Term</t>
  </si>
  <si>
    <t>TN02749</t>
  </si>
  <si>
    <t>Parasuramudu</t>
  </si>
  <si>
    <t>Jamakayala</t>
  </si>
  <si>
    <t>SQ00144</t>
  </si>
  <si>
    <t>Collen</t>
  </si>
  <si>
    <t>Dunbleton</t>
  </si>
  <si>
    <t>Yedukondalu</t>
  </si>
  <si>
    <t>Panditula</t>
  </si>
  <si>
    <t>Missing</t>
  </si>
  <si>
    <t>SQ01854</t>
  </si>
  <si>
    <t>Jessica</t>
  </si>
  <si>
    <t>Callcott</t>
  </si>
  <si>
    <t>SQ00612</t>
  </si>
  <si>
    <t>Leena</t>
  </si>
  <si>
    <t>Bruckshaw</t>
  </si>
  <si>
    <t>Billi</t>
  </si>
  <si>
    <t>Fellgate</t>
  </si>
  <si>
    <t>VT00578</t>
  </si>
  <si>
    <t>Magnum</t>
  </si>
  <si>
    <t>Locksley</t>
  </si>
  <si>
    <t>under 50k</t>
  </si>
  <si>
    <t>TN01281</t>
  </si>
  <si>
    <t>Cletus</t>
  </si>
  <si>
    <t>McGarahan</t>
  </si>
  <si>
    <t>Wyn</t>
  </si>
  <si>
    <t>Treadger</t>
  </si>
  <si>
    <t>VT02417</t>
  </si>
  <si>
    <t>Evangelina</t>
  </si>
  <si>
    <t>Lergan</t>
  </si>
  <si>
    <t>Temporary</t>
  </si>
  <si>
    <t>SQ00691</t>
  </si>
  <si>
    <t>Verla</t>
  </si>
  <si>
    <t>Timmis</t>
  </si>
  <si>
    <t>TN00214</t>
  </si>
  <si>
    <t>Devsena</t>
  </si>
  <si>
    <t>Veluvalapalli</t>
  </si>
  <si>
    <t>VT02539</t>
  </si>
  <si>
    <t>Devinne</t>
  </si>
  <si>
    <t>Tuny</t>
  </si>
  <si>
    <t>SQ04598</t>
  </si>
  <si>
    <t>Pearla</t>
  </si>
  <si>
    <t>Beteriss</t>
  </si>
  <si>
    <t>TN00464</t>
  </si>
  <si>
    <t>Gopal</t>
  </si>
  <si>
    <t>Venkata</t>
  </si>
  <si>
    <t>Vasavi</t>
  </si>
  <si>
    <t>Veeravasarapu</t>
  </si>
  <si>
    <t>Jill</t>
  </si>
  <si>
    <t>Shipsey</t>
  </si>
  <si>
    <t>Myrle</t>
  </si>
  <si>
    <t>Prandoni</t>
  </si>
  <si>
    <t>TN03416</t>
  </si>
  <si>
    <t>Seward</t>
  </si>
  <si>
    <t>Kubera</t>
  </si>
  <si>
    <t>TN00890</t>
  </si>
  <si>
    <t>Mayur</t>
  </si>
  <si>
    <t>Kousika</t>
  </si>
  <si>
    <t>VT04137</t>
  </si>
  <si>
    <t>Marissa</t>
  </si>
  <si>
    <t>Infante</t>
  </si>
  <si>
    <t>Dinanath</t>
  </si>
  <si>
    <t>Simhambhatla</t>
  </si>
  <si>
    <t>Danica</t>
  </si>
  <si>
    <t>Nayshe</t>
  </si>
  <si>
    <t>Althea</t>
  </si>
  <si>
    <t>Bronger</t>
  </si>
  <si>
    <t>VT03849</t>
  </si>
  <si>
    <t>Leonidas</t>
  </si>
  <si>
    <t>Cavaney</t>
  </si>
  <si>
    <t>SQ01395</t>
  </si>
  <si>
    <t>Dennison</t>
  </si>
  <si>
    <t>Crosswaite</t>
  </si>
  <si>
    <t>SQ02559</t>
  </si>
  <si>
    <t>Aldrich</t>
  </si>
  <si>
    <t>Glenny</t>
  </si>
  <si>
    <t>VT04627</t>
  </si>
  <si>
    <t>Yvette</t>
  </si>
  <si>
    <t>Bett</t>
  </si>
  <si>
    <t>VT03537</t>
  </si>
  <si>
    <t>Renaldo</t>
  </si>
  <si>
    <t>Thomassin</t>
  </si>
  <si>
    <t>Genevra</t>
  </si>
  <si>
    <t>Friday</t>
  </si>
  <si>
    <t>VT02313</t>
  </si>
  <si>
    <t>Thekla</t>
  </si>
  <si>
    <t>Lynnett</t>
  </si>
  <si>
    <t>SQ01620</t>
  </si>
  <si>
    <t>Westbrook</t>
  </si>
  <si>
    <t>Brandino</t>
  </si>
  <si>
    <t>VT04681</t>
  </si>
  <si>
    <t>Nickolai</t>
  </si>
  <si>
    <t>Artin</t>
  </si>
  <si>
    <t>TN04246</t>
  </si>
  <si>
    <t>Shaylyn</t>
  </si>
  <si>
    <t>Ransbury</t>
  </si>
  <si>
    <t>TN02570</t>
  </si>
  <si>
    <t>Grady</t>
  </si>
  <si>
    <t>Rochelle</t>
  </si>
  <si>
    <t>VT02801</t>
  </si>
  <si>
    <t>Shellysheldon</t>
  </si>
  <si>
    <t>Mahady</t>
  </si>
  <si>
    <t>SQ01177</t>
  </si>
  <si>
    <t>Nazeer</t>
  </si>
  <si>
    <t>Basha</t>
  </si>
  <si>
    <t>VT01740</t>
  </si>
  <si>
    <t>Ginger</t>
  </si>
  <si>
    <t>Myott</t>
  </si>
  <si>
    <t>TN01876</t>
  </si>
  <si>
    <t>Aileen</t>
  </si>
  <si>
    <t>McCritchie</t>
  </si>
  <si>
    <t>VT03988</t>
  </si>
  <si>
    <t>Venkat</t>
  </si>
  <si>
    <t>Kodi</t>
  </si>
  <si>
    <t>TN00227</t>
  </si>
  <si>
    <t>Raghuveer</t>
  </si>
  <si>
    <t>Yettugunna</t>
  </si>
  <si>
    <t>VT01092</t>
  </si>
  <si>
    <t>Tabby</t>
  </si>
  <si>
    <t>Astall</t>
  </si>
  <si>
    <t>TN03169</t>
  </si>
  <si>
    <t>Doe</t>
  </si>
  <si>
    <t>Clubley</t>
  </si>
  <si>
    <t>SQ01402</t>
  </si>
  <si>
    <t>Sahaj</t>
  </si>
  <si>
    <t>Jonnalagadda</t>
  </si>
  <si>
    <t>SQ00360</t>
  </si>
  <si>
    <t>Orlando</t>
  </si>
  <si>
    <t>Gorstidge</t>
  </si>
  <si>
    <t>Gowri</t>
  </si>
  <si>
    <t>Sankar</t>
  </si>
  <si>
    <t>SQ01637</t>
  </si>
  <si>
    <t>Joaquin</t>
  </si>
  <si>
    <t>McVitty</t>
  </si>
  <si>
    <t>TN03210</t>
  </si>
  <si>
    <t>Suman</t>
  </si>
  <si>
    <t>Katte</t>
  </si>
  <si>
    <t>Brose</t>
  </si>
  <si>
    <t>MacCorkell</t>
  </si>
  <si>
    <t>VT04093</t>
  </si>
  <si>
    <t>Prasanna</t>
  </si>
  <si>
    <t>Lakshmi</t>
  </si>
  <si>
    <t>SQ02246</t>
  </si>
  <si>
    <t>Matias</t>
  </si>
  <si>
    <t>Cormack</t>
  </si>
  <si>
    <t>TN03032</t>
  </si>
  <si>
    <t>Jaipal</t>
  </si>
  <si>
    <t>Potanapudi</t>
  </si>
  <si>
    <t>SQ00914</t>
  </si>
  <si>
    <t>Duran</t>
  </si>
  <si>
    <t>Appala</t>
  </si>
  <si>
    <t>SQ02525</t>
  </si>
  <si>
    <t>Mickie</t>
  </si>
  <si>
    <t>Dagwell</t>
  </si>
  <si>
    <t>Isaak</t>
  </si>
  <si>
    <t>Rawne</t>
  </si>
  <si>
    <t>TN03331</t>
  </si>
  <si>
    <t>Crawford</t>
  </si>
  <si>
    <t>Scad</t>
  </si>
  <si>
    <t>VT01249</t>
  </si>
  <si>
    <t>Brendan</t>
  </si>
  <si>
    <t>Edgeller</t>
  </si>
  <si>
    <t>Lalitchandra</t>
  </si>
  <si>
    <t>Vadali</t>
  </si>
  <si>
    <t>VT02260</t>
  </si>
  <si>
    <t>Rhiamon</t>
  </si>
  <si>
    <t>Mollison</t>
  </si>
  <si>
    <t>TN02883</t>
  </si>
  <si>
    <t>John</t>
  </si>
  <si>
    <t>Joseph</t>
  </si>
  <si>
    <t>SQ03024</t>
  </si>
  <si>
    <t>Inge</t>
  </si>
  <si>
    <t>Creer</t>
  </si>
  <si>
    <t>TN04428</t>
  </si>
  <si>
    <t>Tadio</t>
  </si>
  <si>
    <t>Audritt</t>
  </si>
  <si>
    <t>SQ03350</t>
  </si>
  <si>
    <t>Felice</t>
  </si>
  <si>
    <t>McMurty</t>
  </si>
  <si>
    <t>VT03421</t>
  </si>
  <si>
    <t>Alic</t>
  </si>
  <si>
    <t>Bagg</t>
  </si>
  <si>
    <t>Adolph</t>
  </si>
  <si>
    <t>McNalley</t>
  </si>
  <si>
    <t>VT02118</t>
  </si>
  <si>
    <t>Oorjit</t>
  </si>
  <si>
    <t>Nandanavanam</t>
  </si>
  <si>
    <t>TN02496</t>
  </si>
  <si>
    <t>Ponnan</t>
  </si>
  <si>
    <t>Delhi</t>
  </si>
  <si>
    <t>VT02491</t>
  </si>
  <si>
    <t>Alexis</t>
  </si>
  <si>
    <t>Gotfrey</t>
  </si>
  <si>
    <t>Kath</t>
  </si>
  <si>
    <t>Bletsoe</t>
  </si>
  <si>
    <t>VT03307</t>
  </si>
  <si>
    <t>Tallie</t>
  </si>
  <si>
    <t>Chaikovski</t>
  </si>
  <si>
    <t>TN04058</t>
  </si>
  <si>
    <t>Subbarao</t>
  </si>
  <si>
    <t>Malladi</t>
  </si>
  <si>
    <t>VT03993</t>
  </si>
  <si>
    <t>Dulce</t>
  </si>
  <si>
    <t>Colbeck</t>
  </si>
  <si>
    <t>VT02663</t>
  </si>
  <si>
    <t>Sravanthi</t>
  </si>
  <si>
    <t>Chalaki</t>
  </si>
  <si>
    <t>Sreenivasa</t>
  </si>
  <si>
    <t>Naik</t>
  </si>
  <si>
    <t>Mollie</t>
  </si>
  <si>
    <t>Hanway</t>
  </si>
  <si>
    <t>SQ03476</t>
  </si>
  <si>
    <t>Ramalingam</t>
  </si>
  <si>
    <t>Kothapeta</t>
  </si>
  <si>
    <t>Van</t>
  </si>
  <si>
    <t>Tuxwell</t>
  </si>
  <si>
    <t>TN00182</t>
  </si>
  <si>
    <t>Camilla</t>
  </si>
  <si>
    <t>Castle</t>
  </si>
  <si>
    <t>VT01523</t>
  </si>
  <si>
    <t>Charmane</t>
  </si>
  <si>
    <t>Heistermann</t>
  </si>
  <si>
    <t>Inger</t>
  </si>
  <si>
    <t>Chapelhow</t>
  </si>
  <si>
    <t>Enoch</t>
  </si>
  <si>
    <t>Dowrey</t>
  </si>
  <si>
    <t>VT01684</t>
  </si>
  <si>
    <t>Audry</t>
  </si>
  <si>
    <t>Yu</t>
  </si>
  <si>
    <t>TN04740</t>
  </si>
  <si>
    <t>Tristam</t>
  </si>
  <si>
    <t>Cuming</t>
  </si>
  <si>
    <t>TN03575</t>
  </si>
  <si>
    <t>Janina</t>
  </si>
  <si>
    <t>Wolverson</t>
  </si>
  <si>
    <t>VT04984</t>
  </si>
  <si>
    <t>Dell</t>
  </si>
  <si>
    <t>Molloy</t>
  </si>
  <si>
    <t>Devrat</t>
  </si>
  <si>
    <t>Damarsingh</t>
  </si>
  <si>
    <t>SQ03546</t>
  </si>
  <si>
    <t>Amlankusum</t>
  </si>
  <si>
    <t>Rajabhushan</t>
  </si>
  <si>
    <t>VT02374</t>
  </si>
  <si>
    <t>Delphine</t>
  </si>
  <si>
    <t>Jewis</t>
  </si>
  <si>
    <t>SQ00450</t>
  </si>
  <si>
    <t>Louise</t>
  </si>
  <si>
    <t>Lamming</t>
  </si>
  <si>
    <t>Pratigya</t>
  </si>
  <si>
    <t>Rema</t>
  </si>
  <si>
    <t>SQ04488</t>
  </si>
  <si>
    <t>Ramnath</t>
  </si>
  <si>
    <t>Ravuri</t>
  </si>
  <si>
    <t>TN00735</t>
  </si>
  <si>
    <t>Caresa</t>
  </si>
  <si>
    <t>Christer</t>
  </si>
  <si>
    <t>VT01893</t>
  </si>
  <si>
    <t>Lindy</t>
  </si>
  <si>
    <t>Guillet</t>
  </si>
  <si>
    <t>SQ02223</t>
  </si>
  <si>
    <t>Pippy</t>
  </si>
  <si>
    <t>Shepperd</t>
  </si>
  <si>
    <t>Prerana</t>
  </si>
  <si>
    <t>Nishita</t>
  </si>
  <si>
    <t>SQ00498</t>
  </si>
  <si>
    <t>Amery</t>
  </si>
  <si>
    <t>Ofer</t>
  </si>
  <si>
    <t>Beverie</t>
  </si>
  <si>
    <t>Moffet</t>
  </si>
  <si>
    <t>TN00727</t>
  </si>
  <si>
    <t>Dulsea</t>
  </si>
  <si>
    <t>Folkes</t>
  </si>
  <si>
    <t>SQ01697</t>
  </si>
  <si>
    <t>Makshi</t>
  </si>
  <si>
    <t>Vinutha</t>
  </si>
  <si>
    <t>SQ01519</t>
  </si>
  <si>
    <t>Caron</t>
  </si>
  <si>
    <t>Kolakovic</t>
  </si>
  <si>
    <t>VT03500</t>
  </si>
  <si>
    <t>Shiuli</t>
  </si>
  <si>
    <t>Sapna</t>
  </si>
  <si>
    <t>TN01210</t>
  </si>
  <si>
    <t>Alyosha</t>
  </si>
  <si>
    <t>Riquet</t>
  </si>
  <si>
    <t>SQ03321</t>
  </si>
  <si>
    <t>Gradey</t>
  </si>
  <si>
    <t>Litton</t>
  </si>
  <si>
    <t>Vasu</t>
  </si>
  <si>
    <t>Nandin</t>
  </si>
  <si>
    <t>SQ00841</t>
  </si>
  <si>
    <t>Bhuvan</t>
  </si>
  <si>
    <t>Pals</t>
  </si>
  <si>
    <t>SQ04603</t>
  </si>
  <si>
    <t>Natalee</t>
  </si>
  <si>
    <t>Craiker</t>
  </si>
  <si>
    <t>TN01028</t>
  </si>
  <si>
    <t>Alicea</t>
  </si>
  <si>
    <t>Pudsall</t>
  </si>
  <si>
    <t>VT04028</t>
  </si>
  <si>
    <t>Michale</t>
  </si>
  <si>
    <t>Rolf</t>
  </si>
  <si>
    <t>TN03068</t>
  </si>
  <si>
    <t>Gumwant</t>
  </si>
  <si>
    <t>Veera</t>
  </si>
  <si>
    <t>VT03701</t>
  </si>
  <si>
    <t>Narois</t>
  </si>
  <si>
    <t>Motiwala</t>
  </si>
  <si>
    <t>TN04101</t>
  </si>
  <si>
    <t>Marline</t>
  </si>
  <si>
    <t>Wahncke</t>
  </si>
  <si>
    <t>TN01632</t>
  </si>
  <si>
    <t>Katya</t>
  </si>
  <si>
    <t>Hundy</t>
  </si>
  <si>
    <t>Jamesy</t>
  </si>
  <si>
    <t>O'Ferris</t>
  </si>
  <si>
    <t>Anjushri</t>
  </si>
  <si>
    <t>Chandiramani</t>
  </si>
  <si>
    <t>SQ03626</t>
  </si>
  <si>
    <t>Krishnakanta</t>
  </si>
  <si>
    <t>Vellanki</t>
  </si>
  <si>
    <t>VT01610</t>
  </si>
  <si>
    <t>Dhruv</t>
  </si>
  <si>
    <t>Manjunath</t>
  </si>
  <si>
    <t>TN01340</t>
  </si>
  <si>
    <t>Granny</t>
  </si>
  <si>
    <t>Spencelayh</t>
  </si>
  <si>
    <t>TN00698</t>
  </si>
  <si>
    <t>Barbara-anne</t>
  </si>
  <si>
    <t>Kenchington</t>
  </si>
  <si>
    <t>SQ00960</t>
  </si>
  <si>
    <t>Calvin</t>
  </si>
  <si>
    <t>O'Carroll</t>
  </si>
  <si>
    <t>SQ01998</t>
  </si>
  <si>
    <t>Vanmala</t>
  </si>
  <si>
    <t>Shriharsha</t>
  </si>
  <si>
    <t>Sameer</t>
  </si>
  <si>
    <t>Shashank</t>
  </si>
  <si>
    <t>SQ01283</t>
  </si>
  <si>
    <t>Barr</t>
  </si>
  <si>
    <t>Faughny</t>
  </si>
  <si>
    <t>SQ01026</t>
  </si>
  <si>
    <t>Anumati</t>
  </si>
  <si>
    <t>Shyamari</t>
  </si>
  <si>
    <t>TN01912</t>
  </si>
  <si>
    <t>Fred</t>
  </si>
  <si>
    <t>Dudeney</t>
  </si>
  <si>
    <t>VT02319</t>
  </si>
  <si>
    <t>Tarala</t>
  </si>
  <si>
    <t>Vishaal</t>
  </si>
  <si>
    <t>SQ04960</t>
  </si>
  <si>
    <t>Shubhra</t>
  </si>
  <si>
    <t>Potla</t>
  </si>
  <si>
    <t>SQ01829</t>
  </si>
  <si>
    <t>Mabel</t>
  </si>
  <si>
    <t>Orrow</t>
  </si>
  <si>
    <t>Carlin</t>
  </si>
  <si>
    <t>Demke</t>
  </si>
  <si>
    <t>Hemavati</t>
  </si>
  <si>
    <t>Muthiah</t>
  </si>
  <si>
    <t>TN02798</t>
  </si>
  <si>
    <t>Krittika</t>
  </si>
  <si>
    <t>Gaekwad</t>
  </si>
  <si>
    <t>VT02532</t>
  </si>
  <si>
    <t>Adey</t>
  </si>
  <si>
    <t>Ryal</t>
  </si>
  <si>
    <t>Evanne</t>
  </si>
  <si>
    <t>Sheryn</t>
  </si>
  <si>
    <t>SQ03116</t>
  </si>
  <si>
    <t>Syd</t>
  </si>
  <si>
    <t>Fearn</t>
  </si>
  <si>
    <t>SQ02638</t>
  </si>
  <si>
    <t>Cara</t>
  </si>
  <si>
    <t>Havers</t>
  </si>
  <si>
    <t>VT03704</t>
  </si>
  <si>
    <t>Egor</t>
  </si>
  <si>
    <t>Minto</t>
  </si>
  <si>
    <t>VT04552</t>
  </si>
  <si>
    <t>Theresita</t>
  </si>
  <si>
    <t>Chasmer</t>
  </si>
  <si>
    <t>SQ04665</t>
  </si>
  <si>
    <t>Collin</t>
  </si>
  <si>
    <t>Jagson</t>
  </si>
  <si>
    <t>VT00336</t>
  </si>
  <si>
    <t>Shevantilal</t>
  </si>
  <si>
    <t>Muppala</t>
  </si>
  <si>
    <t>TN01256</t>
  </si>
  <si>
    <t>Shattesh</t>
  </si>
  <si>
    <t>Utpat</t>
  </si>
  <si>
    <t>Stan</t>
  </si>
  <si>
    <t>Tolliday</t>
  </si>
  <si>
    <t>VT01101</t>
  </si>
  <si>
    <t>Adela</t>
  </si>
  <si>
    <t>Dowsett</t>
  </si>
  <si>
    <t>TN04660</t>
  </si>
  <si>
    <t>Thedrick</t>
  </si>
  <si>
    <t>Bothwell</t>
  </si>
  <si>
    <t>VT00596</t>
  </si>
  <si>
    <t>Letisha</t>
  </si>
  <si>
    <t>Carrett</t>
  </si>
  <si>
    <t>VT03552</t>
  </si>
  <si>
    <t>Kamalakshi</t>
  </si>
  <si>
    <t>Mukundan</t>
  </si>
  <si>
    <t>TN00083</t>
  </si>
  <si>
    <t>Chandana</t>
  </si>
  <si>
    <t>Sannidhi</t>
  </si>
  <si>
    <t>SQ02643</t>
  </si>
  <si>
    <t>Indu</t>
  </si>
  <si>
    <t>Varada</t>
  </si>
  <si>
    <t>Karuna</t>
  </si>
  <si>
    <t>Pashupathy</t>
  </si>
  <si>
    <t>TN02674</t>
  </si>
  <si>
    <t>Antonetta</t>
  </si>
  <si>
    <t>Coggeshall</t>
  </si>
  <si>
    <t>TN02727</t>
  </si>
  <si>
    <t>Wald</t>
  </si>
  <si>
    <t>Bountiff</t>
  </si>
  <si>
    <t>VT01323</t>
  </si>
  <si>
    <t>Mardav</t>
  </si>
  <si>
    <t>Ramaswami</t>
  </si>
  <si>
    <t>Edd</t>
  </si>
  <si>
    <t>MacKnockiter</t>
  </si>
  <si>
    <t>Hogan</t>
  </si>
  <si>
    <t>Iles</t>
  </si>
  <si>
    <t>SQ03387</t>
  </si>
  <si>
    <t>Robinia</t>
  </si>
  <si>
    <t>Scholling</t>
  </si>
  <si>
    <t>SQ00105</t>
  </si>
  <si>
    <t>Sarayu</t>
  </si>
  <si>
    <t>Ragunathan</t>
  </si>
  <si>
    <t>SQ02424</t>
  </si>
  <si>
    <t>Kevalkumar</t>
  </si>
  <si>
    <t>Solanki</t>
  </si>
  <si>
    <t>VT01703</t>
  </si>
  <si>
    <t>Upendra</t>
  </si>
  <si>
    <t>Swati</t>
  </si>
  <si>
    <t>SQ02703</t>
  </si>
  <si>
    <t>Deepit</t>
  </si>
  <si>
    <t>Ranjana</t>
  </si>
  <si>
    <t>VT04373</t>
  </si>
  <si>
    <t>Edi</t>
  </si>
  <si>
    <t>Hofton</t>
  </si>
  <si>
    <t>SQ03733</t>
  </si>
  <si>
    <t>Revkah</t>
  </si>
  <si>
    <t>Antonacci</t>
  </si>
  <si>
    <t>VT04467</t>
  </si>
  <si>
    <t>Amal</t>
  </si>
  <si>
    <t>Nimesh</t>
  </si>
  <si>
    <t>Kunja</t>
  </si>
  <si>
    <t>Prashanta</t>
  </si>
  <si>
    <t>Iris</t>
  </si>
  <si>
    <t>Wagg</t>
  </si>
  <si>
    <t>VT04415</t>
  </si>
  <si>
    <t>Malory</t>
  </si>
  <si>
    <t>Biles</t>
  </si>
  <si>
    <t>TN04067</t>
  </si>
  <si>
    <t>Lea</t>
  </si>
  <si>
    <t>Chaplin</t>
  </si>
  <si>
    <t>TN04175</t>
  </si>
  <si>
    <t>Hinda</t>
  </si>
  <si>
    <t>Label</t>
  </si>
  <si>
    <t>VT00687</t>
  </si>
  <si>
    <t>Godavari</t>
  </si>
  <si>
    <t>Veena</t>
  </si>
  <si>
    <t>Eleonore</t>
  </si>
  <si>
    <t>Airdrie</t>
  </si>
  <si>
    <t>TN00579</t>
  </si>
  <si>
    <t>Rafaelita</t>
  </si>
  <si>
    <t>Blaksland</t>
  </si>
  <si>
    <t>TN03097</t>
  </si>
  <si>
    <t>Bendite</t>
  </si>
  <si>
    <t>Bloan</t>
  </si>
  <si>
    <t>SQ02174</t>
  </si>
  <si>
    <t>Sidoney</t>
  </si>
  <si>
    <t>Yitzhok</t>
  </si>
  <si>
    <t>Vaughn</t>
  </si>
  <si>
    <t>Carvill</t>
  </si>
  <si>
    <t>TN01601</t>
  </si>
  <si>
    <t>Melva</t>
  </si>
  <si>
    <t>Jickells</t>
  </si>
  <si>
    <t>SQ01730</t>
  </si>
  <si>
    <t>Austine</t>
  </si>
  <si>
    <t>Littlewood</t>
  </si>
  <si>
    <t>TN03355</t>
  </si>
  <si>
    <t>Ruby</t>
  </si>
  <si>
    <t>Cracie</t>
  </si>
  <si>
    <t>VT01246</t>
  </si>
  <si>
    <t>Zach</t>
  </si>
  <si>
    <t>Polon</t>
  </si>
  <si>
    <t>TN04166</t>
  </si>
  <si>
    <t>Dowdle</t>
  </si>
  <si>
    <t>Larissa</t>
  </si>
  <si>
    <t>Ingledow</t>
  </si>
  <si>
    <t>TN01701</t>
  </si>
  <si>
    <t>Yves</t>
  </si>
  <si>
    <t>Pawlik</t>
  </si>
  <si>
    <t>VT03298</t>
  </si>
  <si>
    <t>Nonah</t>
  </si>
  <si>
    <t>Bissell</t>
  </si>
  <si>
    <t>TN04892</t>
  </si>
  <si>
    <t>Luca</t>
  </si>
  <si>
    <t>Wolstenholme</t>
  </si>
  <si>
    <t>Devasree</t>
  </si>
  <si>
    <t>Fullara</t>
  </si>
  <si>
    <t>SQ04437</t>
  </si>
  <si>
    <t>Hephzibah</t>
  </si>
  <si>
    <t>Summerell</t>
  </si>
  <si>
    <t>Beryl</t>
  </si>
  <si>
    <t>Burnsyde</t>
  </si>
  <si>
    <t>VT01762</t>
  </si>
  <si>
    <t>Geena</t>
  </si>
  <si>
    <t>Raghavanpillai</t>
  </si>
  <si>
    <t>VT04273</t>
  </si>
  <si>
    <t>Brad</t>
  </si>
  <si>
    <t>Gumb</t>
  </si>
  <si>
    <t>SQ00187</t>
  </si>
  <si>
    <t>Rupak</t>
  </si>
  <si>
    <t>Mehra</t>
  </si>
  <si>
    <t>Addi</t>
  </si>
  <si>
    <t>Studdeard</t>
  </si>
  <si>
    <t>TN00258</t>
  </si>
  <si>
    <t>Joyce</t>
  </si>
  <si>
    <t>Leyband</t>
  </si>
  <si>
    <t>VT00476</t>
  </si>
  <si>
    <t>Hartin</t>
  </si>
  <si>
    <t>Sawini</t>
  </si>
  <si>
    <t>Chandan</t>
  </si>
  <si>
    <t>Baruna</t>
  </si>
  <si>
    <t>Ogale</t>
  </si>
  <si>
    <t>TN01566</t>
  </si>
  <si>
    <t>Fonzie</t>
  </si>
  <si>
    <t>O'Shea</t>
  </si>
  <si>
    <t>Rodina</t>
  </si>
  <si>
    <t>Drinan</t>
  </si>
  <si>
    <t>Torrance</t>
  </si>
  <si>
    <t>Collier</t>
  </si>
  <si>
    <t>SQ03491</t>
  </si>
  <si>
    <t>Freda</t>
  </si>
  <si>
    <t>Legan</t>
  </si>
  <si>
    <t>SQ02465</t>
  </si>
  <si>
    <t>Bernie</t>
  </si>
  <si>
    <t>Gorges</t>
  </si>
  <si>
    <t>VT00194</t>
  </si>
  <si>
    <t>Violante</t>
  </si>
  <si>
    <t>Courtonne</t>
  </si>
  <si>
    <t>TN00328</t>
  </si>
  <si>
    <t>Jeannie</t>
  </si>
  <si>
    <t>Petracco</t>
  </si>
  <si>
    <t>Jagajeet</t>
  </si>
  <si>
    <t>Viraj</t>
  </si>
  <si>
    <t>Husein</t>
  </si>
  <si>
    <t>Augar</t>
  </si>
  <si>
    <t>SQ02371</t>
  </si>
  <si>
    <t>Alida</t>
  </si>
  <si>
    <t>Welman</t>
  </si>
  <si>
    <t>VT04350</t>
  </si>
  <si>
    <t>Kulbhushan</t>
  </si>
  <si>
    <t>Moorthy</t>
  </si>
  <si>
    <t>SQ02035</t>
  </si>
  <si>
    <t>Anni</t>
  </si>
  <si>
    <t>Izzard</t>
  </si>
  <si>
    <t>SQ00286</t>
  </si>
  <si>
    <t>Ilesh</t>
  </si>
  <si>
    <t>Dasgupta</t>
  </si>
  <si>
    <t>TN02205</t>
  </si>
  <si>
    <t>Madhumati</t>
  </si>
  <si>
    <t>Gazala</t>
  </si>
  <si>
    <t>VT00740</t>
  </si>
  <si>
    <t>Chitrasen</t>
  </si>
  <si>
    <t>Laul</t>
  </si>
  <si>
    <t>Jaishree</t>
  </si>
  <si>
    <t>Atasi</t>
  </si>
  <si>
    <t>SQ03112</t>
  </si>
  <si>
    <t>Kantimoy</t>
  </si>
  <si>
    <t>Pritish</t>
  </si>
  <si>
    <t>Rameshwari</t>
  </si>
  <si>
    <t>Chikodi</t>
  </si>
  <si>
    <t>Lalit</t>
  </si>
  <si>
    <t>Kothari</t>
  </si>
  <si>
    <t>VT01996</t>
  </si>
  <si>
    <t>Hali</t>
  </si>
  <si>
    <t>Behnecke</t>
  </si>
  <si>
    <t>Sahas</t>
  </si>
  <si>
    <t>Sanabhi</t>
  </si>
  <si>
    <t>SQ02624</t>
  </si>
  <si>
    <t>Gwenneth</t>
  </si>
  <si>
    <t>Fealey</t>
  </si>
  <si>
    <t>SQ02565</t>
  </si>
  <si>
    <t>Konstantin</t>
  </si>
  <si>
    <t>Timblett</t>
  </si>
  <si>
    <t>SQ02582</t>
  </si>
  <si>
    <t>Kaishori</t>
  </si>
  <si>
    <t>Harathi</t>
  </si>
  <si>
    <t>TN02397</t>
  </si>
  <si>
    <t>Mendel</t>
  </si>
  <si>
    <t>Gentsch</t>
  </si>
  <si>
    <t>TN04265</t>
  </si>
  <si>
    <t>Rushil</t>
  </si>
  <si>
    <t>Kripa</t>
  </si>
  <si>
    <t>TN02204</t>
  </si>
  <si>
    <t>Patti</t>
  </si>
  <si>
    <t>Dradey</t>
  </si>
  <si>
    <t>VT03771</t>
  </si>
  <si>
    <t>Marjie</t>
  </si>
  <si>
    <t>Bamford</t>
  </si>
  <si>
    <t>SQ04613</t>
  </si>
  <si>
    <t>Sarojini</t>
  </si>
  <si>
    <t>Naueshwara</t>
  </si>
  <si>
    <t>Marmaduke</t>
  </si>
  <si>
    <t>Worssam</t>
  </si>
  <si>
    <t>VT00534</t>
  </si>
  <si>
    <t>Roselle</t>
  </si>
  <si>
    <t>Wandrach</t>
  </si>
  <si>
    <t>Sartaj</t>
  </si>
  <si>
    <t>Probal</t>
  </si>
  <si>
    <t>TN01396</t>
  </si>
  <si>
    <t>Koral</t>
  </si>
  <si>
    <t>Gerriet</t>
  </si>
  <si>
    <t>TN02377</t>
  </si>
  <si>
    <t>Anjela</t>
  </si>
  <si>
    <t>Spancock</t>
  </si>
  <si>
    <t>TN02988</t>
  </si>
  <si>
    <t>Mahindra</t>
  </si>
  <si>
    <t>Sreedharan</t>
  </si>
  <si>
    <t>VT04905</t>
  </si>
  <si>
    <t>Suchira</t>
  </si>
  <si>
    <t>Bhanupriya</t>
  </si>
  <si>
    <t>Carry</t>
  </si>
  <si>
    <t>Loblie</t>
  </si>
  <si>
    <t>Sushanti</t>
  </si>
  <si>
    <t>TN04775</t>
  </si>
  <si>
    <t>Hridaynath</t>
  </si>
  <si>
    <t>Tendulkar</t>
  </si>
  <si>
    <t>SQ03625</t>
  </si>
  <si>
    <t>Fidela</t>
  </si>
  <si>
    <t>Artis</t>
  </si>
  <si>
    <t>Head count</t>
  </si>
  <si>
    <t>Total salary</t>
  </si>
  <si>
    <t>All employees with more than 100k salary</t>
  </si>
  <si>
    <t>All employees with &gt;100k salary with columns 1,2,3,5,6</t>
  </si>
  <si>
    <t>All employees with &gt;100k salary with columns 1,2,3,4,5,6</t>
  </si>
  <si>
    <t>MIN,MAX,LARGE,SORT,TAKE</t>
  </si>
  <si>
    <t>Lowest salary</t>
  </si>
  <si>
    <t>Highest salary</t>
  </si>
  <si>
    <t>Top 5 salaries</t>
  </si>
  <si>
    <t>with sort and take</t>
  </si>
  <si>
    <t>All employees</t>
  </si>
  <si>
    <t>List  of all departments</t>
  </si>
  <si>
    <t>count</t>
  </si>
  <si>
    <t>LOOKUP</t>
  </si>
  <si>
    <t>VLOOKUP</t>
  </si>
  <si>
    <t>Employee id</t>
  </si>
  <si>
    <t>PR00883</t>
  </si>
  <si>
    <t>INDEX ,MATCH</t>
  </si>
  <si>
    <t xml:space="preserve">Last name </t>
  </si>
  <si>
    <t>callcott</t>
  </si>
  <si>
    <t>employee id</t>
  </si>
  <si>
    <t>department</t>
  </si>
  <si>
    <t>XLOOKUP</t>
  </si>
  <si>
    <t>ENTIRE DATA</t>
  </si>
  <si>
    <t>TO DISPLAY IN VERTICAL</t>
  </si>
  <si>
    <t>all employees with salary 120000</t>
  </si>
  <si>
    <t>to know highest salary of one person</t>
  </si>
  <si>
    <t>all person</t>
  </si>
  <si>
    <t>to join two names by using comma</t>
  </si>
  <si>
    <t>employees name start with "h"</t>
  </si>
  <si>
    <t>Persons join after 1.1.20</t>
  </si>
  <si>
    <t>displays people who join in march</t>
  </si>
  <si>
    <t>persons who join in  march displays from emp id to last name</t>
  </si>
  <si>
    <t>Department report of headcount,salaries &amp;% diff from overall report</t>
  </si>
  <si>
    <t>All department</t>
  </si>
  <si>
    <t>Headcount</t>
  </si>
  <si>
    <t>Avg salary</t>
  </si>
  <si>
    <t>%diff from overall avg</t>
  </si>
  <si>
    <t>bar chart</t>
  </si>
  <si>
    <t>Median salary</t>
  </si>
  <si>
    <t>Pivot Tables in Excel</t>
  </si>
  <si>
    <t>Analysis Themes:</t>
  </si>
  <si>
    <t>Concepts introduced:</t>
  </si>
  <si>
    <t>How many calls we are getting by customer?</t>
  </si>
  <si>
    <t>Pivoting data</t>
  </si>
  <si>
    <t>How satisfied are our customers?</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</si>
  <si>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</si>
  <si>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</si>
  <si>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</si>
  <si>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</si>
  <si>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</si>
  <si>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</si>
  <si>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</si>
  <si>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</si>
  <si>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</si>
  <si>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YTD Sales Analysis</t>
  </si>
  <si>
    <t>Value settings</t>
  </si>
  <si>
    <t>Which days of week are the busiest?</t>
  </si>
  <si>
    <t>Conditional formatting</t>
  </si>
  <si>
    <t>Is there a link between call duration and satisfaction rating?</t>
  </si>
  <si>
    <t>Adding columns, refresh, scatter graph</t>
  </si>
  <si>
    <t>Should we hire extra people in any specific months?</t>
  </si>
  <si>
    <t>H1</t>
  </si>
  <si>
    <t>Time wasters: Which customers call most but buy least?</t>
  </si>
  <si>
    <t>H2</t>
  </si>
  <si>
    <t>Rep training: Which rep(s) could use satisfaction training program?</t>
  </si>
  <si>
    <t>Call number</t>
  </si>
  <si>
    <t>Customer ID</t>
  </si>
  <si>
    <t>Duration</t>
  </si>
  <si>
    <t>Representative</t>
  </si>
  <si>
    <t>Date of Call</t>
  </si>
  <si>
    <t>Purchase Amount</t>
  </si>
  <si>
    <t>Satisfaction Rating</t>
  </si>
  <si>
    <t>Call_7271</t>
  </si>
  <si>
    <t>C0003</t>
  </si>
  <si>
    <t>R05</t>
  </si>
  <si>
    <t>Call_7272</t>
  </si>
  <si>
    <t>C0004</t>
  </si>
  <si>
    <t>Call_7273</t>
  </si>
  <si>
    <t>C0005</t>
  </si>
  <si>
    <t>R02</t>
  </si>
  <si>
    <t>Call_7274</t>
  </si>
  <si>
    <t>C0014</t>
  </si>
  <si>
    <t>Call_7275</t>
  </si>
  <si>
    <t>C0011</t>
  </si>
  <si>
    <t>R01</t>
  </si>
  <si>
    <t>Call_7276</t>
  </si>
  <si>
    <t>Call_7277</t>
  </si>
  <si>
    <t>C0007</t>
  </si>
  <si>
    <t>Call_7278</t>
  </si>
  <si>
    <t>R04</t>
  </si>
  <si>
    <t>Call_7279</t>
  </si>
  <si>
    <t>Call_7280</t>
  </si>
  <si>
    <t>C0010</t>
  </si>
  <si>
    <t>R03</t>
  </si>
  <si>
    <t>Call_7281</t>
  </si>
  <si>
    <t>Call_7282</t>
  </si>
  <si>
    <t>C0013</t>
  </si>
  <si>
    <t>Call_7283</t>
  </si>
  <si>
    <t>C0002</t>
  </si>
  <si>
    <t>Call_7284</t>
  </si>
  <si>
    <t>Call_7285</t>
  </si>
  <si>
    <t>Call_7286</t>
  </si>
  <si>
    <t>Call_7287</t>
  </si>
  <si>
    <t>Call_7288</t>
  </si>
  <si>
    <t>C0009</t>
  </si>
  <si>
    <t>Call_7289</t>
  </si>
  <si>
    <t>Call_7290</t>
  </si>
  <si>
    <t>C0006</t>
  </si>
  <si>
    <t>Call_7291</t>
  </si>
  <si>
    <t>Call_7292</t>
  </si>
  <si>
    <t>Call_7293</t>
  </si>
  <si>
    <t>Call_7294</t>
  </si>
  <si>
    <t>C0015</t>
  </si>
  <si>
    <t>Call_7295</t>
  </si>
  <si>
    <t>Call_7296</t>
  </si>
  <si>
    <t>C0012</t>
  </si>
  <si>
    <t>Call_7297</t>
  </si>
  <si>
    <t>Call_7298</t>
  </si>
  <si>
    <t>Call_7299</t>
  </si>
  <si>
    <t>Call_7300</t>
  </si>
  <si>
    <t>Call_7301</t>
  </si>
  <si>
    <t>Call_7302</t>
  </si>
  <si>
    <t>Call_7303</t>
  </si>
  <si>
    <t>Call_7304</t>
  </si>
  <si>
    <t>Call_7305</t>
  </si>
  <si>
    <t>C0001</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</si>
  <si>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</si>
  <si>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</si>
  <si>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</si>
  <si>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</si>
  <si>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</si>
  <si>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</si>
  <si>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</si>
  <si>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</si>
  <si>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</si>
  <si>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</si>
  <si>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</si>
  <si>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</si>
  <si>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</si>
  <si>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</si>
  <si>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</si>
  <si>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</si>
  <si>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</si>
  <si>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</si>
  <si>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</si>
  <si>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C0008</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</si>
  <si>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</si>
  <si>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</si>
  <si>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</si>
  <si>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</si>
  <si>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</si>
  <si>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</si>
  <si>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</si>
  <si>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</si>
  <si>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</si>
  <si>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</si>
  <si>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</si>
  <si>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</si>
  <si>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</si>
  <si>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</si>
  <si>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</si>
  <si>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</si>
  <si>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</si>
  <si>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</si>
  <si>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</si>
  <si>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</si>
  <si>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</si>
  <si>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</si>
  <si>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</si>
  <si>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</si>
  <si>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</si>
  <si>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</si>
  <si>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</si>
  <si>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</si>
  <si>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</si>
  <si>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</si>
  <si>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</si>
  <si>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</si>
  <si>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</si>
  <si>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</si>
  <si>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</si>
  <si>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</si>
  <si>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</si>
  <si>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</si>
  <si>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</si>
  <si>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</si>
  <si>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</si>
  <si>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</si>
  <si>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</si>
  <si>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</si>
  <si>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</si>
  <si>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</si>
  <si>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</si>
  <si>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</si>
  <si>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</si>
  <si>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</si>
  <si>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</si>
  <si>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</si>
  <si>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</si>
  <si>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</si>
  <si>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</si>
  <si>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</si>
  <si>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</si>
  <si>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</si>
  <si>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</si>
  <si>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</si>
  <si>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</si>
  <si>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</si>
  <si>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</si>
  <si>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</si>
  <si>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</si>
  <si>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</si>
  <si>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</si>
  <si>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</si>
  <si>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</si>
  <si>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</si>
  <si>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</si>
  <si>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</si>
  <si>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</si>
  <si>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</si>
  <si>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</si>
  <si>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</si>
  <si>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</si>
  <si>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</si>
  <si>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</si>
  <si>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</si>
  <si>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</si>
  <si>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</si>
  <si>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</si>
  <si>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</si>
  <si>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</si>
  <si>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</si>
  <si>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</si>
  <si>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</si>
  <si>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</si>
  <si>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</si>
  <si>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</si>
  <si>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</si>
  <si>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</si>
  <si>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</si>
  <si>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</si>
  <si>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</si>
  <si>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</si>
  <si>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</si>
  <si>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</si>
  <si>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</si>
  <si>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</si>
  <si>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</si>
  <si>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</si>
  <si>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</si>
  <si>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</si>
  <si>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</si>
  <si>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</si>
  <si>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</si>
  <si>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</si>
  <si>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</si>
  <si>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</si>
  <si>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</si>
  <si>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</si>
  <si>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</si>
  <si>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</si>
  <si>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</si>
  <si>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</si>
  <si>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</si>
  <si>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</si>
  <si>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</si>
  <si>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</si>
  <si>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</si>
  <si>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</si>
  <si>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</si>
  <si>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</si>
  <si>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</si>
  <si>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</si>
  <si>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</si>
  <si>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</si>
  <si>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</si>
  <si>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</si>
  <si>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</si>
  <si>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</si>
  <si>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</si>
  <si>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</si>
  <si>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</si>
  <si>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</si>
  <si>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</si>
  <si>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</si>
  <si>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</si>
  <si>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</si>
  <si>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</si>
  <si>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</si>
  <si>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</si>
  <si>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</si>
  <si>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</si>
  <si>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</si>
  <si>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</si>
  <si>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</si>
  <si>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</si>
  <si>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</si>
  <si>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</si>
  <si>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</si>
  <si>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</si>
  <si>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</si>
  <si>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</si>
  <si>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</si>
  <si>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</si>
  <si>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</si>
  <si>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</si>
  <si>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</si>
  <si>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</si>
  <si>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</si>
  <si>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</si>
  <si>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</si>
  <si>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</si>
  <si>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</si>
  <si>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</si>
  <si>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</si>
  <si>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</si>
  <si>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</si>
  <si>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</si>
  <si>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</si>
  <si>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</si>
  <si>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</si>
  <si>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</si>
  <si>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</si>
  <si>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</si>
  <si>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</si>
  <si>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</si>
  <si>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</si>
  <si>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</si>
  <si>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</si>
  <si>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</si>
  <si>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</si>
  <si>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</si>
  <si>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</si>
  <si>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</si>
  <si>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</si>
  <si>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</si>
  <si>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</si>
  <si>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</si>
  <si>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</si>
  <si>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</si>
  <si>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</si>
  <si>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</si>
  <si>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</si>
  <si>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</si>
  <si>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</si>
  <si>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</si>
  <si>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</si>
  <si>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</si>
  <si>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</si>
  <si>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</si>
  <si>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</si>
  <si>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</si>
  <si>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</si>
  <si>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</si>
  <si>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</si>
  <si>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</si>
  <si>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</si>
  <si>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</si>
  <si>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</si>
  <si>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</si>
  <si>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</si>
  <si>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</si>
  <si>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</si>
  <si>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</si>
  <si>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</si>
  <si>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</si>
  <si>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</si>
  <si>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</si>
  <si>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</si>
  <si>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</si>
  <si>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</si>
  <si>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</si>
  <si>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</si>
  <si>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</si>
  <si>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</si>
  <si>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</si>
  <si>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</si>
  <si>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</si>
  <si>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</si>
  <si>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</si>
  <si>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</si>
  <si>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</si>
  <si>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</si>
  <si>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</si>
  <si>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</si>
  <si>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</si>
  <si>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</si>
  <si>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</si>
  <si>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</si>
  <si>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</si>
  <si>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</si>
  <si>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</si>
  <si>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</si>
  <si>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</si>
  <si>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</si>
  <si>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</si>
  <si>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</si>
  <si>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</si>
  <si>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</si>
  <si>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</si>
  <si>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</si>
  <si>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</si>
  <si>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</si>
  <si>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</si>
  <si>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</si>
  <si>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</si>
  <si>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</si>
  <si>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</si>
  <si>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</si>
  <si>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</si>
  <si>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</si>
  <si>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</si>
  <si>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</si>
  <si>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</si>
  <si>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</si>
  <si>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</si>
  <si>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</si>
  <si>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</si>
  <si>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</si>
  <si>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</si>
  <si>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</si>
  <si>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</si>
  <si>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</si>
  <si>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</si>
  <si>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</si>
  <si>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</si>
  <si>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</si>
  <si>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</si>
  <si>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</si>
  <si>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</si>
  <si>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</si>
  <si>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</si>
  <si>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</si>
  <si>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</si>
  <si>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</si>
  <si>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</si>
  <si>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</si>
  <si>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</si>
  <si>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</si>
  <si>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</si>
  <si>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</si>
  <si>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</si>
  <si>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</si>
  <si>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</si>
  <si>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</si>
  <si>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</si>
  <si>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</si>
  <si>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</si>
  <si>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</si>
  <si>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</si>
  <si>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</si>
  <si>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</si>
  <si>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</si>
  <si>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</si>
  <si>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</si>
  <si>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</si>
  <si>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</si>
  <si>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</si>
  <si>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</si>
  <si>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</si>
  <si>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</si>
  <si>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</si>
  <si>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</si>
  <si>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</si>
  <si>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</si>
  <si>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</si>
  <si>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</si>
  <si>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</si>
  <si>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</si>
  <si>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</si>
  <si>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</si>
  <si>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</si>
  <si>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</si>
  <si>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</si>
  <si>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</si>
  <si>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</si>
  <si>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</si>
  <si>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</si>
  <si>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</si>
  <si>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</si>
  <si>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</si>
  <si>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</si>
  <si>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</si>
  <si>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</si>
  <si>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</si>
  <si>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</si>
  <si>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</si>
  <si>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</si>
  <si>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</si>
  <si>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</si>
  <si>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</si>
  <si>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</si>
  <si>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</si>
  <si>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</si>
  <si>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</si>
  <si>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</si>
  <si>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</si>
  <si>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</si>
  <si>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</si>
  <si>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</si>
  <si>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</si>
  <si>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</si>
  <si>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</si>
  <si>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</si>
  <si>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</si>
  <si>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</si>
  <si>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</si>
  <si>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</si>
  <si>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</si>
  <si>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</si>
  <si>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</si>
  <si>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</si>
  <si>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</si>
  <si>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</si>
  <si>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</si>
  <si>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</si>
  <si>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</si>
  <si>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</si>
  <si>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</si>
  <si>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</si>
  <si>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</si>
  <si>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</si>
  <si>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</si>
  <si>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</si>
  <si>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</si>
  <si>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</si>
  <si>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</si>
  <si>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</si>
  <si>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</si>
  <si>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</si>
  <si>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</si>
  <si>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</si>
  <si>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</si>
  <si>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</si>
  <si>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</si>
  <si>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</si>
  <si>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</si>
  <si>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</si>
  <si>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</si>
  <si>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</si>
  <si>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</si>
  <si>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</si>
  <si>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</si>
  <si>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</si>
  <si>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</si>
  <si>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</si>
  <si>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</si>
  <si>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</si>
  <si>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</si>
  <si>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</si>
  <si>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</si>
  <si>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</si>
  <si>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</si>
  <si>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</si>
  <si>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</si>
  <si>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</si>
  <si>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</si>
  <si>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</si>
  <si>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</si>
  <si>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</si>
  <si>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</si>
  <si>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</si>
  <si>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</si>
  <si>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</si>
  <si>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</si>
  <si>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</si>
  <si>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</si>
  <si>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</si>
  <si>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</si>
  <si>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</si>
  <si>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</si>
  <si>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</si>
  <si>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</si>
  <si>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</si>
  <si>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</si>
  <si>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</si>
  <si>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</si>
  <si>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</si>
  <si>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</si>
  <si>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</si>
  <si>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</si>
  <si>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</si>
  <si>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</si>
  <si>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</si>
  <si>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</si>
  <si>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</si>
  <si>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</si>
  <si>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</si>
  <si>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</si>
  <si>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</si>
  <si>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</si>
  <si>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</si>
  <si>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</si>
  <si>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</si>
  <si>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</si>
  <si>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</si>
  <si>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</si>
  <si>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</si>
  <si>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</si>
  <si>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</si>
  <si>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</si>
  <si>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</si>
  <si>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</si>
  <si>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</si>
  <si>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</si>
  <si>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</si>
  <si>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</si>
  <si>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</si>
  <si>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</si>
  <si>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</si>
  <si>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</si>
  <si>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</si>
  <si>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</si>
  <si>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</si>
  <si>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</si>
  <si>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</si>
  <si>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</si>
  <si>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</si>
  <si>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</si>
  <si>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</si>
  <si>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</si>
  <si>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</si>
  <si>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</si>
  <si>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</si>
  <si>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</si>
  <si>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</si>
  <si>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</si>
  <si>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</si>
  <si>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</si>
  <si>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</si>
  <si>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</si>
  <si>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</si>
  <si>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</si>
  <si>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</si>
  <si>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</si>
  <si>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</si>
  <si>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</si>
  <si>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</si>
  <si>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</si>
  <si>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</si>
  <si>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</si>
  <si>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</si>
  <si>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</si>
  <si>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</si>
  <si>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</si>
  <si>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</si>
  <si>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</si>
  <si>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</si>
  <si>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</si>
  <si>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</si>
  <si>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</si>
  <si>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</si>
  <si>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</si>
  <si>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</si>
  <si>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</si>
  <si>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</si>
  <si>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</si>
  <si>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</si>
  <si>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</si>
  <si>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</si>
  <si>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</si>
  <si>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</si>
  <si>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</si>
  <si>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</si>
  <si>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</si>
  <si>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</si>
  <si>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</si>
  <si>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</si>
  <si>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</si>
  <si>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</si>
  <si>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</si>
  <si>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</si>
  <si>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</si>
  <si>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</si>
  <si>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</si>
  <si>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</si>
  <si>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</si>
  <si>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</si>
  <si>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</si>
  <si>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</si>
  <si>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</si>
  <si>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</si>
  <si>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</si>
  <si>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</si>
  <si>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</si>
  <si>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</si>
  <si>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</si>
  <si>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</si>
  <si>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</si>
  <si>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</si>
  <si>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</si>
  <si>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</si>
  <si>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</si>
  <si>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</si>
  <si>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</si>
  <si>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</si>
  <si>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</si>
  <si>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</si>
  <si>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</si>
  <si>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</si>
  <si>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</si>
  <si>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</si>
  <si>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</si>
  <si>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</si>
  <si>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</si>
  <si>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</si>
  <si>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</si>
  <si>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</si>
  <si>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</si>
  <si>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</si>
  <si>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</si>
  <si>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</si>
  <si>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</si>
  <si>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</si>
  <si>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</si>
  <si>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</si>
  <si>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</si>
  <si>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</si>
  <si>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</si>
  <si>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</si>
  <si>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</si>
  <si>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</si>
  <si>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</si>
  <si>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</si>
  <si>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</si>
  <si>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</si>
  <si>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</si>
  <si>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</si>
  <si>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</si>
  <si>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</si>
  <si>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</si>
  <si>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</si>
  <si>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</si>
  <si>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</si>
  <si>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</si>
  <si>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</si>
  <si>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</si>
  <si>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</si>
  <si>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</si>
  <si>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</si>
  <si>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</si>
  <si>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</si>
  <si>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</si>
  <si>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</si>
  <si>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</si>
  <si>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</si>
  <si>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</si>
  <si>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</si>
  <si>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</si>
  <si>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</si>
  <si>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</si>
  <si>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</si>
  <si>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</si>
  <si>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</si>
  <si>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</si>
  <si>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</si>
  <si>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</si>
  <si>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</si>
  <si>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</si>
  <si>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</si>
  <si>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</si>
  <si>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</si>
  <si>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</si>
  <si>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</si>
  <si>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</si>
  <si>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</si>
  <si>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</si>
  <si>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</si>
  <si>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</si>
  <si>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</si>
  <si>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</si>
  <si>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</si>
  <si>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</si>
  <si>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</si>
  <si>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</si>
  <si>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</si>
  <si>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</si>
  <si>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</si>
  <si>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</si>
  <si>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</si>
  <si>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</si>
  <si>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</si>
  <si>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</si>
  <si>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</si>
  <si>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</si>
  <si>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</si>
  <si>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</si>
  <si>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</si>
  <si>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</si>
  <si>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</si>
  <si>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</si>
  <si>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</si>
  <si>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</si>
  <si>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</si>
  <si>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</si>
  <si>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</si>
  <si>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</si>
  <si>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</si>
  <si>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</si>
  <si>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</si>
  <si>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</si>
  <si>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</si>
  <si>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</si>
  <si>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</si>
  <si>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</si>
  <si>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</si>
  <si>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</si>
  <si>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</si>
  <si>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</si>
  <si>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</si>
  <si>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</si>
  <si>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</si>
  <si>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</si>
  <si>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</si>
  <si>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</si>
  <si>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</si>
  <si>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</si>
  <si>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</si>
  <si>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</si>
  <si>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</si>
  <si>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</si>
  <si>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</si>
  <si>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</si>
  <si>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</si>
  <si>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</si>
  <si>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</si>
  <si>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</si>
  <si>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</si>
  <si>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</si>
  <si>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</si>
  <si>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</si>
  <si>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</si>
  <si>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</si>
  <si>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</si>
  <si>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</si>
  <si>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</si>
  <si>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</si>
  <si>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</si>
  <si>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</si>
  <si>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</si>
  <si>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</si>
  <si>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</si>
  <si>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</si>
  <si>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</si>
  <si>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</si>
  <si>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</si>
  <si>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</si>
  <si>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</si>
  <si>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</si>
  <si>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</si>
  <si>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</si>
  <si>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</si>
  <si>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</si>
  <si>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</si>
  <si>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</si>
  <si>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</si>
  <si>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</si>
  <si>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</si>
  <si>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</si>
  <si>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</si>
  <si>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</si>
  <si>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</si>
  <si>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</si>
  <si>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</si>
  <si>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</si>
  <si>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</si>
  <si>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</si>
  <si>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</si>
  <si>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</si>
  <si>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</si>
  <si>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</si>
  <si>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</si>
  <si>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</si>
  <si>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</si>
  <si>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</si>
  <si>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</si>
  <si>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</si>
  <si>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</si>
  <si>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</si>
  <si>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</si>
  <si>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</si>
  <si>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</si>
  <si>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</si>
  <si>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</si>
  <si>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</si>
  <si>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</si>
  <si>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</si>
  <si>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</si>
  <si>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</si>
  <si>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</si>
  <si>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</si>
  <si>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</si>
  <si>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</si>
  <si>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</si>
  <si>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</si>
  <si>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</si>
  <si>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</si>
  <si>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</si>
  <si>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</si>
  <si>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</si>
  <si>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</si>
  <si>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</si>
  <si>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</si>
  <si>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</si>
  <si>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</si>
  <si>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</si>
  <si>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</si>
  <si>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</si>
  <si>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</si>
  <si>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</si>
  <si>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</si>
  <si>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</si>
  <si>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</si>
  <si>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</si>
  <si>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</si>
  <si>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</si>
  <si>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</si>
  <si>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</si>
  <si>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</si>
  <si>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</si>
  <si>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</si>
  <si>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</si>
  <si>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</si>
  <si>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</si>
  <si>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</si>
  <si>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</si>
  <si>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</si>
  <si>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</si>
  <si>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</si>
  <si>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</si>
  <si>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</si>
  <si>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</si>
  <si>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</si>
  <si>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</si>
  <si>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</si>
  <si>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</si>
  <si>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</si>
  <si>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</si>
  <si>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</si>
  <si>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</si>
  <si>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</si>
  <si>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</si>
  <si>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</si>
  <si>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</si>
  <si>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</si>
  <si>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</si>
  <si>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</si>
  <si>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</si>
  <si>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</si>
  <si>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</si>
  <si>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</si>
  <si>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</si>
  <si>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</si>
  <si>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</si>
  <si>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</si>
  <si>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</si>
  <si>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</si>
  <si>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</si>
  <si>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</si>
  <si>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</si>
  <si>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</si>
  <si>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</si>
  <si>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</si>
  <si>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</si>
  <si>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</si>
  <si>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</si>
  <si>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</si>
  <si>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</si>
  <si>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</si>
  <si>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</si>
  <si>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</si>
  <si>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</si>
  <si>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</si>
  <si>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</si>
  <si>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</si>
  <si>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</si>
  <si>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</si>
  <si>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</si>
  <si>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</si>
  <si>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</si>
  <si>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</si>
  <si>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</si>
  <si>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</si>
  <si>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</si>
  <si>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</si>
  <si>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</si>
  <si>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</si>
  <si>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</si>
  <si>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</si>
  <si>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</si>
  <si>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</si>
  <si>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</si>
  <si>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</si>
  <si>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</si>
  <si>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</si>
  <si>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</si>
  <si>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</si>
  <si>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</si>
  <si>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</si>
  <si>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</si>
  <si>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</si>
  <si>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</si>
  <si>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</si>
  <si>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</si>
  <si>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</si>
  <si>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</si>
  <si>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</si>
  <si>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</si>
  <si>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</si>
  <si>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</si>
  <si>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</si>
  <si>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</si>
  <si>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</si>
  <si>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</si>
  <si>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</si>
  <si>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</si>
  <si>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</si>
  <si>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</si>
  <si>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</si>
  <si>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</si>
  <si>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</si>
  <si>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</si>
  <si>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</si>
  <si>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</si>
  <si>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</si>
  <si>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</si>
  <si>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</si>
  <si>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</si>
  <si>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</si>
  <si>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</si>
  <si>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</si>
  <si>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</si>
  <si>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</si>
  <si>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</si>
  <si>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</si>
  <si>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</si>
  <si>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</si>
  <si>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</si>
  <si>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</si>
  <si>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</si>
  <si>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</si>
  <si>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</si>
  <si>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</si>
  <si>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</si>
  <si>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</si>
  <si>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</si>
  <si>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</si>
  <si>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</si>
  <si>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</si>
  <si>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</si>
  <si>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</si>
  <si>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</si>
  <si>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</si>
  <si>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</si>
  <si>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</si>
  <si>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</si>
  <si>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</si>
  <si>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</si>
  <si>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</si>
  <si>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</si>
  <si>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</si>
  <si>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</si>
  <si>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</si>
  <si>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</si>
  <si>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</si>
  <si>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</si>
  <si>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</si>
  <si>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</si>
  <si>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</si>
  <si>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</si>
  <si>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</si>
  <si>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</si>
  <si>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</si>
  <si>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</si>
  <si>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</si>
  <si>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</si>
  <si>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</si>
  <si>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</si>
  <si>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</si>
  <si>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</si>
  <si>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</si>
  <si>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</si>
  <si>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</si>
  <si>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</si>
  <si>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</si>
  <si>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</si>
  <si>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</si>
  <si>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</si>
  <si>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</si>
  <si>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</si>
  <si>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</si>
  <si>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</si>
  <si>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Row Labels</t>
  </si>
  <si>
    <t>Grand Total</t>
  </si>
  <si>
    <t>Count of Call number</t>
  </si>
  <si>
    <t>Average of Satisfaction Rating</t>
  </si>
  <si>
    <t xml:space="preserve"> </t>
  </si>
  <si>
    <t>Sum of Purchase Amount</t>
  </si>
  <si>
    <t>Jan</t>
  </si>
  <si>
    <t>Feb</t>
  </si>
  <si>
    <t>Mar</t>
  </si>
  <si>
    <t>Apr</t>
  </si>
  <si>
    <t>May</t>
  </si>
  <si>
    <t>Jun</t>
  </si>
  <si>
    <t>Jul</t>
  </si>
  <si>
    <t>Aug</t>
  </si>
  <si>
    <t>Sep</t>
  </si>
  <si>
    <t>Oct</t>
  </si>
  <si>
    <t>Nov</t>
  </si>
  <si>
    <t>Dec</t>
  </si>
  <si>
    <t>FY</t>
  </si>
  <si>
    <t>DAY OF WEEK</t>
  </si>
  <si>
    <t>Column Labels</t>
  </si>
  <si>
    <t>Sunday</t>
  </si>
  <si>
    <t>Monday</t>
  </si>
  <si>
    <t>Tuesday</t>
  </si>
  <si>
    <t>Wednesday</t>
  </si>
  <si>
    <t>Thursday</t>
  </si>
  <si>
    <t>Saturday</t>
  </si>
  <si>
    <t>DURATION BUCKET</t>
  </si>
  <si>
    <t>ROUND OFF</t>
  </si>
  <si>
    <t>1 TO 2 HRS</t>
  </si>
  <si>
    <t>10 TO 30 MINS</t>
  </si>
  <si>
    <t>30 TO 60 MINS</t>
  </si>
  <si>
    <t>MORE THAN 2 HRS</t>
  </si>
  <si>
    <t>UNDER 10 MINS</t>
  </si>
  <si>
    <t>Gedner</t>
  </si>
  <si>
    <t>City</t>
  </si>
  <si>
    <t>Columbus</t>
  </si>
  <si>
    <t>Cleveland</t>
  </si>
  <si>
    <t>Cincinnati</t>
  </si>
  <si>
    <t>CALL COUNT</t>
  </si>
  <si>
    <t>TOTAL AMOUNT</t>
  </si>
  <si>
    <t>TOTAL DURATION</t>
  </si>
  <si>
    <t>AVERAGE RATING</t>
  </si>
  <si>
    <t>5*CALLS</t>
  </si>
  <si>
    <t>rep</t>
  </si>
  <si>
    <t>calls</t>
  </si>
  <si>
    <t>amount</t>
  </si>
  <si>
    <t>sel.calls</t>
  </si>
  <si>
    <t>sel.amount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</si>
</sst>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00_);[Red]\(&quot;$&quot;#,##0.00\)"/>
    <numFmt numFmtId="165" formatCode="[$-409]d\-mmm\-yy;@"/>
    <numFmt numFmtId="166" formatCode="0.0"/>
    <numFmt numFmtId="167" formatCode="&quot;₹&quot;\ #,##0"/>
    <numFmt numFmtId="168" formatCode="&quot;₹&quot;\ #,##0;#,##0\ \-&quot;₹&quot;;&quot;₹&quot;\ #,##0"/>
    <numFmt numFmtId="169" formatCode="\$#,###.0,&quot;k&quot;"/>
    <numFmt numFmtId="170" formatCode="[$$-1004]#,##0"/>
  </numFmts>
  <fonts count="9" x14ac:knownFonts="1">
    <font>
      <sz val="11"/>
      <color theme="1"/>
      <name val="Aptos Narrow"/>
      <family val="2"/>
      <scheme val="minor"/>
    </font>
    <font>
      <b/>
      <sz val="11"/>
      <color theme="1"/>
      <name val="Aptos Narrow"/>
      <family val="2"/>
      <scheme val="minor"/>
    </font>
    <font>
      <sz val="14"/>
      <color theme="1"/>
      <name val="Aptos Narrow"/>
      <family val="2"/>
      <scheme val="minor"/>
    </font>
    <font>
      <b/>
      <sz val="11"/>
      <name val="Aptos Narrow"/>
      <family val="2"/>
      <scheme val="minor"/>
    </font>
    <font>
      <sz val="28"/>
      <color theme="1"/>
      <name val="Aptos ExtraBold"/>
      <family val="2"/>
    </font>
    <font>
      <sz val="16"/>
      <color theme="1"/>
      <name val="Aptos ExtraBold"/>
      <family val="2"/>
    </font>
    <font>
      <sz val="14"/>
      <color theme="1" tint="0.499984740745262"/>
      <name val="Aptos Narrow"/>
      <family val="2"/>
      <scheme val="minor"/>
    </font>
    <font>
      <sz val="11"/>
      <color theme="1"/>
      <name val="Aptos Display"/>
      <family val="2"/>
      <scheme val="major"/>
    </font>
    <font>
      <sz val="11"/>
      <color rgb="FF00B050"/>
      <name val="Aptos Narrow"/>
      <family val="2"/>
      <scheme val="minor"/>
    </font>
  </fonts>
  <fills count="12">
    <fill>
      <patternFill patternType="none"/>
    </fill>
    <fill>
      <patternFill patternType="gray125"/>
    </fill>
    <fill>
      <patternFill patternType="solid">
        <fgColor theme="7"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theme="5"/>
        <bgColor indexed="64"/>
      </patternFill>
    </fill>
    <fill>
      <patternFill patternType="solid">
        <fgColor theme="9"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rgb="FF92D05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theme="9" tint="0.39997558519241921"/>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s>
  <cellStyleXfs count="2">
    <xf numFmtId="0" fontId="0" fillId="0" borderId="0"/>
    <xf numFmtId="0" fontId="2" fillId="0" borderId="0"/>
  </cellStyleXfs>
  <cellXfs count="79">
    <xf numFmtId="0" fontId="0" fillId="0" borderId="0" xfId="0"/>
    <xf numFmtId="0" fontId="2" fillId="0" borderId="0" xfId="1"/>
    <xf numFmtId="0" fontId="1" fillId="2" borderId="0" xfId="1" applyFont="1" applyFill="1"/>
    <xf numFmtId="0" fontId="1" fillId="2" borderId="0" xfId="1" applyFont="1" applyFill="1" applyAlignment="1">
      <alignment horizontal="right"/>
    </xf>
    <xf numFmtId="0" fontId="1" fillId="2" borderId="0" xfId="1" applyFont="1" applyFill="1" applyAlignment="1">
      <alignment horizontal="center"/>
    </xf>
    <xf numFmtId="164" fontId="2" fillId="0" borderId="0" xfId="1" applyNumberFormat="1"/>
    <xf numFmtId="14" fontId="2" fillId="0" borderId="0" xfId="1" applyNumberFormat="1" applyAlignment="1">
      <alignment horizontal="right"/>
    </xf>
    <xf numFmtId="0" fontId="2" fillId="0" borderId="0" xfId="1" applyAlignment="1">
      <alignment horizontal="center"/>
    </xf>
    <xf numFmtId="10" fontId="0" fillId="0" borderId="0" xfId="0" applyNumberFormat="1"/>
    <xf numFmtId="14" fontId="0" fillId="0" borderId="0" xfId="0" applyNumberFormat="1"/>
    <xf numFmtId="0" fontId="0" fillId="0" borderId="1" xfId="0" applyBorder="1"/>
    <xf numFmtId="0" fontId="0" fillId="0" borderId="2" xfId="0" applyBorder="1"/>
    <xf numFmtId="0" fontId="0" fillId="0" borderId="1" xfId="0" applyBorder="1" applyAlignment="1">
      <alignment horizontal="left"/>
    </xf>
    <xf numFmtId="0" fontId="3" fillId="0" borderId="1" xfId="0" applyFont="1" applyBorder="1" applyAlignment="1">
      <alignment horizontal="left"/>
    </xf>
    <xf numFmtId="0" fontId="1" fillId="0" borderId="1" xfId="0" applyFont="1" applyBorder="1" applyAlignment="1">
      <alignment horizontal="left"/>
    </xf>
    <xf numFmtId="0" fontId="1" fillId="0" borderId="1" xfId="0" applyFont="1" applyBorder="1"/>
    <xf numFmtId="0" fontId="0" fillId="0" borderId="0" xfId="0" applyAlignment="1">
      <alignment horizontal="left"/>
    </xf>
    <xf numFmtId="14" fontId="0" fillId="0" borderId="1" xfId="0" applyNumberFormat="1" applyBorder="1"/>
    <xf numFmtId="0" fontId="0" fillId="3" borderId="1" xfId="0" applyFill="1" applyBorder="1"/>
    <xf numFmtId="0" fontId="0" fillId="4" borderId="1" xfId="0" applyFill="1" applyBorder="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1" fontId="0" fillId="0" borderId="0" xfId="0" applyNumberFormat="1"/>
    <xf numFmtId="0" fontId="0" fillId="9" borderId="0" xfId="0" applyFill="1"/>
    <xf numFmtId="0" fontId="4" fillId="9" borderId="0" xfId="0" applyFont="1" applyFill="1" applyAlignment="1">
      <alignment vertical="center"/>
    </xf>
    <xf numFmtId="0" fontId="2" fillId="0" borderId="3" xfId="0" applyFont="1" applyBorder="1" applyAlignment="1">
      <alignment vertical="center"/>
    </xf>
    <xf numFmtId="0" fontId="8" fillId="0" borderId="3" xfId="0" applyFont="1" applyBorder="1" applyAlignment="1">
      <alignment vertical="center"/>
    </xf>
    <xf numFmtId="0" fontId="2" fillId="0" borderId="4" xfId="0" applyFont="1" applyBorder="1" applyAlignment="1">
      <alignment vertical="center"/>
    </xf>
    <xf numFmtId="0" fontId="8" fillId="0" borderId="4" xfId="0" applyFont="1" applyBorder="1" applyAlignment="1">
      <alignment vertical="center"/>
    </xf>
    <xf numFmtId="0" fontId="2" fillId="0" borderId="5" xfId="0" applyFont="1" applyBorder="1" applyAlignment="1">
      <alignment vertical="center"/>
    </xf>
    <xf numFmtId="0" fontId="8" fillId="0" borderId="5" xfId="0" applyFont="1" applyBorder="1" applyAlignment="1">
      <alignment vertical="center"/>
    </xf>
    <xf numFmtId="0" fontId="6" fillId="9" borderId="3" xfId="0" applyFont="1" applyFill="1" applyBorder="1" applyAlignment="1">
      <alignment horizontal="center" vertical="center"/>
    </xf>
    <xf numFmtId="0" fontId="6" fillId="9" borderId="4" xfId="0" applyFont="1" applyFill="1" applyBorder="1" applyAlignment="1">
      <alignment horizontal="center" vertical="center"/>
    </xf>
    <xf numFmtId="0" fontId="6" fillId="9" borderId="5" xfId="0" applyFont="1" applyFill="1" applyBorder="1" applyAlignment="1">
      <alignment horizontal="center" vertical="center"/>
    </xf>
    <xf numFmtId="0" fontId="5" fillId="0" borderId="0" xfId="0" applyFont="1"/>
    <xf numFmtId="0" fontId="7" fillId="0" borderId="0" xfId="0" applyFont="1"/>
    <xf numFmtId="2" fontId="0" fillId="0" borderId="1" xfId="0" applyNumberFormat="1" applyBorder="1" applyAlignment="1">
      <alignment horizontal="center"/>
    </xf>
    <xf numFmtId="165" fontId="0" fillId="0" borderId="1" xfId="0" applyNumberFormat="1" applyBorder="1" applyAlignment="1">
      <alignment horizontal="center"/>
    </xf>
    <xf numFmtId="0" fontId="0" fillId="0" borderId="6" xfId="0" applyBorder="1"/>
    <xf numFmtId="0" fontId="0" fillId="0" borderId="7" xfId="0" applyBorder="1"/>
    <xf numFmtId="0" fontId="1" fillId="0" borderId="8" xfId="0" applyFont="1" applyBorder="1"/>
    <xf numFmtId="0" fontId="1" fillId="0" borderId="9" xfId="0" applyFont="1" applyBorder="1"/>
    <xf numFmtId="0" fontId="1" fillId="0" borderId="9" xfId="0" applyFont="1" applyBorder="1" applyAlignment="1">
      <alignment horizontal="right"/>
    </xf>
    <xf numFmtId="0" fontId="1" fillId="0" borderId="9" xfId="0" applyFont="1" applyBorder="1" applyAlignment="1">
      <alignment horizontal="center"/>
    </xf>
    <xf numFmtId="0" fontId="1" fillId="0" borderId="10" xfId="0" applyFont="1" applyBorder="1"/>
    <xf numFmtId="0" fontId="0" fillId="0" borderId="11" xfId="0" applyBorder="1"/>
    <xf numFmtId="0" fontId="0" fillId="0" borderId="12" xfId="0" applyBorder="1"/>
    <xf numFmtId="2" fontId="0" fillId="0" borderId="12" xfId="0" applyNumberFormat="1" applyBorder="1" applyAlignment="1">
      <alignment horizontal="center"/>
    </xf>
    <xf numFmtId="165" fontId="0" fillId="0" borderId="12" xfId="0" applyNumberFormat="1" applyBorder="1" applyAlignment="1">
      <alignment horizontal="center"/>
    </xf>
    <xf numFmtId="0" fontId="0" fillId="0" borderId="13" xfId="0" applyBorder="1"/>
    <xf numFmtId="0" fontId="0" fillId="0" borderId="0" xfId="0" pivotButton="1"/>
    <xf numFmtId="166" fontId="0" fillId="0" borderId="0" xfId="0" applyNumberFormat="1"/>
    <xf numFmtId="167" fontId="0" fillId="0" borderId="0" xfId="0" applyNumberFormat="1"/>
    <xf numFmtId="0" fontId="1" fillId="0" borderId="14" xfId="0" applyFont="1" applyBorder="1"/>
    <xf numFmtId="0" fontId="0" fillId="0" borderId="14" xfId="0" applyBorder="1"/>
    <xf numFmtId="0" fontId="0" fillId="10" borderId="0" xfId="0" applyFill="1"/>
    <xf numFmtId="9" fontId="0" fillId="0" borderId="1" xfId="0" applyNumberFormat="1" applyBorder="1"/>
    <xf numFmtId="9" fontId="0" fillId="0" borderId="12" xfId="0" applyNumberFormat="1" applyBorder="1"/>
    <xf numFmtId="3" fontId="0" fillId="0" borderId="0" xfId="0" applyNumberFormat="1"/>
    <xf numFmtId="168" fontId="0" fillId="0" borderId="0" xfId="0" applyNumberFormat="1"/>
    <xf numFmtId="169" fontId="0" fillId="0" borderId="0" xfId="0" applyNumberFormat="1" applyAlignment="1">
      <alignment horizontal="left"/>
    </xf>
    <xf numFmtId="0" fontId="0" fillId="0" borderId="0" xfId="0" applyAlignment="1">
      <alignment horizontal="left" indent="1"/>
    </xf>
    <xf numFmtId="170" fontId="0" fillId="0" borderId="0" xfId="0" applyNumberFormat="1"/>
    <xf numFmtId="0" fontId="0" fillId="10" borderId="13" xfId="0" applyFill="1" applyBorder="1"/>
    <xf numFmtId="0" fontId="0" fillId="10" borderId="16" xfId="0" applyFill="1" applyBorder="1"/>
    <xf numFmtId="0" fontId="0" fillId="10" borderId="17" xfId="0" applyFill="1" applyBorder="1"/>
    <xf numFmtId="170" fontId="0" fillId="10" borderId="0" xfId="0" applyNumberFormat="1" applyFill="1"/>
    <xf numFmtId="170" fontId="0" fillId="10" borderId="17" xfId="0" applyNumberFormat="1" applyFill="1" applyBorder="1"/>
    <xf numFmtId="0" fontId="0" fillId="10" borderId="10" xfId="0" applyFill="1" applyBorder="1"/>
    <xf numFmtId="170" fontId="0" fillId="10" borderId="14" xfId="0" applyNumberFormat="1" applyFill="1" applyBorder="1"/>
    <xf numFmtId="170" fontId="0" fillId="10" borderId="8" xfId="0" applyNumberFormat="1" applyFill="1" applyBorder="1"/>
    <xf numFmtId="0" fontId="1" fillId="10" borderId="15" xfId="0" applyFont="1" applyFill="1" applyBorder="1" applyAlignment="1">
      <alignment horizontal="right"/>
    </xf>
    <xf numFmtId="0" fontId="1" fillId="10" borderId="11" xfId="0" applyFont="1" applyFill="1" applyBorder="1" applyAlignment="1">
      <alignment horizontal="right"/>
    </xf>
    <xf numFmtId="0" fontId="1" fillId="10" borderId="16" xfId="0" applyFont="1" applyFill="1" applyBorder="1"/>
    <xf numFmtId="0" fontId="0" fillId="11" borderId="0" xfId="0" applyFill="1" applyAlignment="1">
      <alignment horizontal="left"/>
    </xf>
    <xf numFmtId="0" fontId="0" fillId="11" borderId="0" xfId="0" applyFill="1"/>
  </cellXfs>
  <cellStyles count="2">
    <cellStyle name="Normal" xfId="0" builtinId="0"/>
    <cellStyle name="Normal 2" xfId="1" xr:uid="{8C633035-3297-4628-9A66-1F974EE7AB04}"/>
  </cellStyles>
  <dxfs count="40">
    <dxf>
      <fill>
        <patternFill>
          <bgColor theme="6" tint="0.79998168889431442"/>
        </patternFill>
      </fill>
    </dxf>
    <dxf>
      <fill>
        <patternFill>
          <bgColor theme="6" tint="0.79998168889431442"/>
        </patternFill>
      </fill>
    </dxf>
    <dxf>
      <font>
        <color rgb="FF9C0006"/>
      </font>
      <fill>
        <patternFill>
          <bgColor rgb="FFFFC7CE"/>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70" formatCode="[$$-1004]#,##0"/>
    </dxf>
    <dxf>
      <numFmt numFmtId="170" formatCode="[$$-1004]#,##0"/>
    </dxf>
    <dxf>
      <numFmt numFmtId="170" formatCode="[$$-1004]#,##0"/>
    </dxf>
    <dxf>
      <numFmt numFmtId="170" formatCode="[$$-1004]#,##0"/>
    </dxf>
    <dxf>
      <numFmt numFmtId="170" formatCode="[$$-1004]#,##0"/>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5940097E-E5FE-4D2F-89ED-BEFFAD1A7718}">
      <tableStyleElement type="wholeTable" dxfId="39"/>
    </tableStyle>
  </tableStyles>
  <colors>
    <mruColors>
      <color rgb="FFEBF7F9"/>
      <color rgb="FFCCFFFF"/>
      <color rgb="FFEBF8F9"/>
      <color rgb="FFF2F2F2"/>
      <color rgb="FFCCFAF5"/>
      <color rgb="FFCCF8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21" Type="http://schemas.openxmlformats.org/officeDocument/2006/relationships/pivotCacheDefinition" Target="pivotCache/pivotCacheDefinition6.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styles" Target="styles.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microsoft.com/office/2007/relationships/slicerCache" Target="slicerCaches/slicerCache2.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microsoft.com/office/2007/relationships/slicerCache" Target="slicerCaches/slicerCache1.xml"/><Relationship Id="rId30" Type="http://schemas.openxmlformats.org/officeDocument/2006/relationships/theme" Target="theme/theme1.xml"/><Relationship Id="rId35" Type="http://schemas.openxmlformats.org/officeDocument/2006/relationships/powerPivotData" Target="model/item.data"/><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[excel%20learning (Recovered).xlsx]3&amp;4!PivotTable2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'3&amp;4'!$B$3</c:f>
              <c:strCache>
                <c:ptCount val="1"/>
                <c:pt idx="0">
                  <c:v>Total</c:v>
                </c:pt>
              </c:strCache>
            </c:strRef>
          </c:tx>
          <c:spPr>
            <a:solidFill>
              <a:schemeClr val="accent1"/>
            </a:solidFill>
            <a:ln>
              <a:noFill/>
            </a:ln>
            <a:effectLst/>
          </c:spPr>
          <c:invertIfNegative val="0"/>
          <c:cat>
            <c:strRef>
              <c:f>'3&amp;4'!$A$4:$A$14</c:f>
              <c:strCache>
                <c:ptCount val="10"/>
                <c:pt idx="0">
                  <c:v>C0012</c:v>
                </c:pt>
                <c:pt idx="1">
                  <c:v>C0011</c:v>
                </c:pt>
                <c:pt idx="2">
                  <c:v>C0004</c:v>
                </c:pt>
                <c:pt idx="3">
                  <c:v>C0013</c:v>
                </c:pt>
                <c:pt idx="4">
                  <c:v>C0009</c:v>
                </c:pt>
                <c:pt idx="5">
                  <c:v>C0002</c:v>
                </c:pt>
                <c:pt idx="6">
                  <c:v>C0006</c:v>
                </c:pt>
                <c:pt idx="7">
                  <c:v>C0007</c:v>
                </c:pt>
                <c:pt idx="8">
                  <c:v>C0005</c:v>
                </c:pt>
                <c:pt idx="9">
                  <c:v>C0008</c:v>
                </c:pt>
              </c:strCache>
            </c:strRef>
          </c:cat>
          <c:val>
            <c:numRef>
              <c:f>'3&amp;4'!$B$4:$B$14</c:f>
              <c:numCache>
                <c:formatCode>"₹"\ #,##0</c:formatCode>
                <c:ptCount val="10"/>
                <c:pt idx="0">
                  <c:v>2070</c:v>
                </c:pt>
                <c:pt idx="1">
                  <c:v>1747</c:v>
                </c:pt>
                <c:pt idx="2">
                  <c:v>1722</c:v>
                </c:pt>
                <c:pt idx="3">
                  <c:v>1722</c:v>
                </c:pt>
                <c:pt idx="4">
                  <c:v>1566</c:v>
                </c:pt>
                <c:pt idx="5">
                  <c:v>1508</c:v>
                </c:pt>
                <c:pt idx="6">
                  <c:v>1484</c:v>
                </c:pt>
                <c:pt idx="7">
                  <c:v>1416</c:v>
                </c:pt>
                <c:pt idx="8">
                  <c:v>1196</c:v>
                </c:pt>
                <c:pt idx="9">
                  <c:v>1193</c:v>
                </c:pt>
              </c:numCache>
            </c:numRef>
          </c:val>
          <c:extLst>
            <c:ext xmlns:c16="http://schemas.microsoft.com/office/drawing/2014/chart" uri="{C3380CC4-5D6E-409C-BE32-E72D297353CC}">
              <c16:uniqueId val="{00000000-CF8B-4F7E-9F90-D2027184E9C4}"/>
            </c:ext>
          </c:extLst>
        </c:ser>
        <c:dLbls>
          <c:showLegendKey val="0"/>
          <c:showVal val="0"/>
          <c:showCatName val="0"/>
          <c:showSerName val="0"/>
          <c:showPercent val="0"/>
          <c:showBubbleSize val="0"/>
        </c:dLbls>
        <c:gapWidth val="219"/>
        <c:overlap val="-27"/>
        <c:axId val="191255088"/>
        <c:axId val="191243568"/>
      </c:barChart>
      <c:catAx>
        <c:axId val="19125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43568"/>
        <c:crosses val="autoZero"/>
        <c:auto val="1"/>
        <c:lblAlgn val="ctr"/>
        <c:lblOffset val="100"/>
        <c:noMultiLvlLbl val="0"/>
      </c:catAx>
      <c:valAx>
        <c:axId val="191243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5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[excel%20learning (Recovered).xlsx]6&amp;7!PivotTable4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'6&amp;7'!$B$3</c:f>
              <c:strCache>
                <c:ptCount val="1"/>
                <c:pt idx="0">
                  <c:v>Total</c:v>
                </c:pt>
              </c:strCache>
            </c:strRef>
          </c:tx>
          <c:spPr>
            <a:ln w="28575" cap="rnd">
              <a:solidFill>
                <a:schemeClr val="accent1"/>
              </a:solidFill>
              <a:round/>
            </a:ln>
            <a:effectLst/>
          </c:spPr>
          <c:marker>
            <c:symbol val="none"/>
          </c:marker>
          <c:cat>
            <c:strRef>
              <c:f>'6&amp;7'!$A$4:$A$16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'6&amp;7'!$B$4:$B$16</c:f>
              <c:numCache>
                <c:formatCode>General</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0-447C-48A5-A40F-7548D479AAB6}"/>
            </c:ext>
          </c:extLst>
        </c:ser>
        <c:dLbls>
          <c:showLegendKey val="0"/>
          <c:showVal val="0"/>
          <c:showCatName val="0"/>
          <c:showSerName val="0"/>
          <c:showPercent val="0"/>
          <c:showBubbleSize val="0"/>
        </c:dLbls>
        <c:smooth val="0"/>
        <c:axId val="301573760"/>
        <c:axId val="301574240"/>
      </c:lineChart>
      <c:catAx>
        <c:axId val="30157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574240"/>
        <c:crosses val="autoZero"/>
        <c:auto val="1"/>
        <c:lblAlgn val="ctr"/>
        <c:lblOffset val="100"/>
        <c:noMultiLvlLbl val="0"/>
      </c:catAx>
      <c:valAx>
        <c:axId val="30157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57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[excel%20learning (Recovered).xlsx]Sheet2!PivotTable1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Call Trend</a:t>
            </a:r>
            <a:endParaRPr lang="en-IN"/>
          </a:p>
        </c:rich>
      </c:tx>
      <c:layout>
        <c:manualLayout>
          <c:xMode val="edge"/>
          <c:yMode val="edge"/>
          <c:x val="4.3300619250109126E-2"/>
          <c:y val="2.90360046457607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lt1"/>
          </a:solidFill>
          <a:ln w="19050" cap="flat" cmpd="sng" algn="ctr">
            <a:solidFill>
              <a:schemeClr val="accen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Sheet2!$B$15</c:f>
              <c:strCache>
                <c:ptCount val="1"/>
                <c:pt idx="0">
                  <c:v>Total</c:v>
                </c:pt>
              </c:strCache>
            </c:strRef>
          </c:tx>
          <c:spPr>
            <a:solidFill>
              <a:schemeClr val="accent1"/>
            </a:solidFill>
            <a:ln>
              <a:noFill/>
            </a:ln>
            <a:effectLst/>
          </c:spPr>
          <c:cat>
            <c:strRef>
              <c:f>Sheet2!$A$16:$A$28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Sheet2!$B$16:$B$28</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71EA-4491-B018-7053852BB992}"/>
            </c:ext>
          </c:extLst>
        </c:ser>
        <c:dLbls>
          <c:showLegendKey val="0"/>
          <c:showVal val="0"/>
          <c:showCatName val="0"/>
          <c:showSerName val="0"/>
          <c:showPercent val="0"/>
          <c:showBubbleSize val="0"/>
        </c:dLbls>
        <c:axId val="1197406752"/>
        <c:axId val="1197390432"/>
      </c:areaChart>
      <c:catAx>
        <c:axId val="119740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390432"/>
        <c:crosses val="autoZero"/>
        <c:auto val="1"/>
        <c:lblAlgn val="ctr"/>
        <c:lblOffset val="100"/>
        <c:noMultiLvlLbl val="0"/>
      </c:catAx>
      <c:valAx>
        <c:axId val="1197390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40675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EBF8F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[excel%20learning (Recovered).xlsx]Sheet2!PivotTable2</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Sheet2!$E$15</c:f>
              <c:strCache>
                <c:ptCount val="1"/>
                <c:pt idx="0">
                  <c:v>Total</c:v>
                </c:pt>
              </c:strCache>
            </c:strRef>
          </c:tx>
          <c:spPr>
            <a:solidFill>
              <a:schemeClr val="accent1"/>
            </a:solidFill>
            <a:ln>
              <a:noFill/>
            </a:ln>
            <a:effectLst/>
          </c:spPr>
          <c:invertIfNegative val="0"/>
          <c:cat>
            <c:strRef>
              <c:f>Sheet2!$D$16:$D$23</c:f>
              <c:strCache>
                <c:ptCount val="7"/>
                <c:pt idx="0">
                  <c:v>Sunday</c:v>
                </c:pt>
                <c:pt idx="1">
                  <c:v>Monday</c:v>
                </c:pt>
                <c:pt idx="2">
                  <c:v>Tuesday</c:v>
                </c:pt>
                <c:pt idx="3">
                  <c:v>Wednesday</c:v>
                </c:pt>
                <c:pt idx="4">
                  <c:v>Thursday</c:v>
                </c:pt>
                <c:pt idx="5">
                  <c:v>Friday</c:v>
                </c:pt>
                <c:pt idx="6">
                  <c:v>Saturday</c:v>
                </c:pt>
              </c:strCache>
            </c:strRef>
          </c:cat>
          <c:val>
            <c:numRef>
              <c:f>Sheet2!$E$16:$E$23</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D569-4114-BA4D-555CB03F228E}"/>
            </c:ext>
          </c:extLst>
        </c:ser>
        <c:dLbls>
          <c:showLegendKey val="0"/>
          <c:showVal val="0"/>
          <c:showCatName val="0"/>
          <c:showSerName val="0"/>
          <c:showPercent val="0"/>
          <c:showBubbleSize val="0"/>
        </c:dLbls>
        <c:gapWidth val="150"/>
        <c:overlap val="100"/>
        <c:axId val="1236152224"/>
        <c:axId val="1236162304"/>
      </c:barChart>
      <c:catAx>
        <c:axId val="123615222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162304"/>
        <c:crosses val="autoZero"/>
        <c:auto val="1"/>
        <c:lblAlgn val="ctr"/>
        <c:lblOffset val="100"/>
        <c:noMultiLvlLbl val="0"/>
      </c:catAx>
      <c:valAx>
        <c:axId val="1236162304"/>
        <c:scaling>
          <c:orientation val="minMax"/>
        </c:scaling>
        <c:delete val="0"/>
        <c:axPos val="t"/>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152224"/>
        <c:crosses val="autoZero"/>
        <c:crossBetween val="between"/>
      </c:valAx>
      <c:spPr>
        <a:solidFill>
          <a:srgbClr val="EBF8F9">
            <a:alpha val="97000"/>
          </a:srgb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F7F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Calls</a:t>
            </a:r>
          </a:p>
        </c:rich>
      </c:tx>
      <c:layout>
        <c:manualLayout>
          <c:xMode val="edge"/>
          <c:yMode val="edge"/>
          <c:x val="0.12432774075281866"/>
          <c:y val="1.56249935921122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28827692814641"/>
          <c:y val="0.11250774585476302"/>
          <c:w val="0.83019544942503098"/>
          <c:h val="0.80982013535933428"/>
        </c:manualLayout>
      </c:layout>
      <c:barChart>
        <c:barDir val="bar"/>
        <c:grouping val="clustered"/>
        <c:varyColors val="0"/>
        <c:ser>
          <c:idx val="0"/>
          <c:order val="0"/>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Sheet2!$F$36:$F$40</c:f>
              <c:strCache>
                <c:ptCount val="5"/>
                <c:pt idx="0">
                  <c:v>R01</c:v>
                </c:pt>
                <c:pt idx="1">
                  <c:v>R02</c:v>
                </c:pt>
                <c:pt idx="2">
                  <c:v>R03</c:v>
                </c:pt>
                <c:pt idx="3">
                  <c:v>R04</c:v>
                </c:pt>
                <c:pt idx="4">
                  <c:v>R05</c:v>
                </c:pt>
              </c:strCache>
            </c:strRef>
          </c:cat>
          <c:val>
            <c:numRef>
              <c:f>Sheet2!$G$36:$G$40</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579D-4362-B2E2-149738C3AEB4}"/>
            </c:ext>
          </c:extLst>
        </c:ser>
        <c:ser>
          <c:idx val="1"/>
          <c:order val="1"/>
          <c:tx>
            <c:strRef>
              <c:f>Sheet2!$I$34</c:f>
              <c:strCache>
                <c:ptCount val="1"/>
                <c:pt idx="0">
                  <c:v>sel.calls</c:v>
                </c:pt>
              </c:strCache>
            </c:strRef>
          </c:tx>
          <c:spPr>
            <a:solidFill>
              <a:schemeClr val="accent1">
                <a:shade val="76000"/>
              </a:schemeClr>
            </a:solidFill>
            <a:ln>
              <a:noFill/>
            </a:ln>
            <a:effectLst/>
          </c:spPr>
          <c:invertIfNegative val="0"/>
          <c:dLbls>
            <c:delete val="1"/>
          </c:dLbls>
          <c:val>
            <c:numRef>
              <c:f>Sheet2!$I$36:$I$40</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579D-4362-B2E2-149738C3AEB4}"/>
            </c:ext>
          </c:extLst>
        </c:ser>
        <c:dLbls>
          <c:dLblPos val="outEnd"/>
          <c:showLegendKey val="0"/>
          <c:showVal val="1"/>
          <c:showCatName val="0"/>
          <c:showSerName val="0"/>
          <c:showPercent val="0"/>
          <c:showBubbleSize val="0"/>
        </c:dLbls>
        <c:gapWidth val="185"/>
        <c:overlap val="100"/>
        <c:axId val="1236198304"/>
        <c:axId val="1236200224"/>
      </c:barChart>
      <c:catAx>
        <c:axId val="123619830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200224"/>
        <c:crosses val="autoZero"/>
        <c:auto val="1"/>
        <c:lblAlgn val="ctr"/>
        <c:lblOffset val="100"/>
        <c:noMultiLvlLbl val="0"/>
      </c:catAx>
      <c:valAx>
        <c:axId val="1236200224"/>
        <c:scaling>
          <c:orientation val="minMax"/>
          <c:min val="0"/>
        </c:scaling>
        <c:delete val="1"/>
        <c:axPos val="t"/>
        <c:numFmt formatCode="General" sourceLinked="1"/>
        <c:majorTickMark val="out"/>
        <c:minorTickMark val="none"/>
        <c:tickLblPos val="nextTo"/>
        <c:crossAx val="1236198304"/>
        <c:crosses val="autoZero"/>
        <c:crossBetween val="between"/>
      </c:valAx>
      <c:spPr>
        <a:solidFill>
          <a:srgbClr val="EBF8F9"/>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F8F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Amount</a:t>
            </a:r>
          </a:p>
        </c:rich>
      </c:tx>
      <c:layout>
        <c:manualLayout>
          <c:xMode val="edge"/>
          <c:yMode val="edge"/>
          <c:x val="0.10991703358460539"/>
          <c:y val="2.10304942166140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Sheet2!$F$36:$F$40</c:f>
              <c:strCache>
                <c:ptCount val="5"/>
                <c:pt idx="0">
                  <c:v>R01</c:v>
                </c:pt>
                <c:pt idx="1">
                  <c:v>R02</c:v>
                </c:pt>
                <c:pt idx="2">
                  <c:v>R03</c:v>
                </c:pt>
                <c:pt idx="3">
                  <c:v>R04</c:v>
                </c:pt>
                <c:pt idx="4">
                  <c:v>R05</c:v>
                </c:pt>
              </c:strCache>
            </c:strRef>
          </c:cat>
          <c:val>
            <c:numRef>
              <c:f>Sheet2!$H$36:$H$40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7D86-4CA1-8D34-DB73722054E9}"/>
            </c:ext>
          </c:extLst>
        </c:ser>
        <c:ser>
          <c:idx val="1"/>
          <c:order val="1"/>
          <c:tx>
            <c:strRef>
              <c:f>Sheet2!$J$34</c:f>
              <c:strCache>
                <c:ptCount val="1"/>
                <c:pt idx="0">
                  <c:v>sel.amount</c:v>
                </c:pt>
              </c:strCache>
            </c:strRef>
          </c:tx>
          <c:spPr>
            <a:solidFill>
              <a:schemeClr val="accent2"/>
            </a:solidFill>
            <a:ln>
              <a:noFill/>
            </a:ln>
            <a:effectLst/>
          </c:spPr>
          <c:invertIfNegative val="0"/>
          <c:dLbls>
            <c:delete val="1"/>
          </c:dLbls>
          <c:val>
            <c:numRef>
              <c:f>Sheet2!$J$36:$J$40</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7D86-4CA1-8D34-DB73722054E9}"/>
            </c:ext>
          </c:extLst>
        </c:ser>
        <c:dLbls>
          <c:dLblPos val="outEnd"/>
          <c:showLegendKey val="0"/>
          <c:showVal val="1"/>
          <c:showCatName val="0"/>
          <c:showSerName val="0"/>
          <c:showPercent val="0"/>
          <c:showBubbleSize val="0"/>
        </c:dLbls>
        <c:gapWidth val="182"/>
        <c:overlap val="100"/>
        <c:axId val="1236206944"/>
        <c:axId val="1236207424"/>
      </c:barChart>
      <c:catAx>
        <c:axId val="123620694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207424"/>
        <c:crosses val="autoZero"/>
        <c:auto val="1"/>
        <c:lblAlgn val="ctr"/>
        <c:lblOffset val="100"/>
        <c:noMultiLvlLbl val="0"/>
      </c:catAx>
      <c:valAx>
        <c:axId val="1236207424"/>
        <c:scaling>
          <c:orientation val="minMax"/>
        </c:scaling>
        <c:delete val="1"/>
        <c:axPos val="t"/>
        <c:numFmt formatCode="\$#,###.0,&quot;k&quot;" sourceLinked="1"/>
        <c:majorTickMark val="none"/>
        <c:minorTickMark val="none"/>
        <c:tickLblPos val="nextTo"/>
        <c:crossAx val="123620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F8F9"/>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[excel%20learning (Recovered).xlsx]Sheet2!PivotTable6</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a:t>Female</a:t>
            </a:r>
            <a:r>
              <a:rPr lang="en-IN" sz="1100" baseline="0"/>
              <a:t> vs Male callers</a:t>
            </a:r>
            <a:endParaRPr lang="en-IN" sz="1100"/>
          </a:p>
        </c:rich>
      </c:tx>
      <c:layout>
        <c:manualLayout>
          <c:xMode val="edge"/>
          <c:yMode val="edge"/>
          <c:x val="5.8723974270055629E-2"/>
          <c:y val="6.1274509803921568E-3"/>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348484848484848E-2"/>
          <c:y val="9.2936802973977689E-2"/>
          <c:w val="0.89583333333333337"/>
          <c:h val="0.78861048502766151"/>
        </c:manualLayout>
      </c:layout>
      <c:barChart>
        <c:barDir val="col"/>
        <c:grouping val="percentStacked"/>
        <c:varyColors val="0"/>
        <c:ser>
          <c:idx val="0"/>
          <c:order val="0"/>
          <c:tx>
            <c:strRef>
              <c:f>Sheet2!$B$58:$B$59</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Sheet2!$A$60:$A$63</c:f>
              <c:strCache>
                <c:ptCount val="3"/>
                <c:pt idx="0">
                  <c:v>Cincinnati</c:v>
                </c:pt>
                <c:pt idx="1">
                  <c:v>Cleveland</c:v>
                </c:pt>
                <c:pt idx="2">
                  <c:v>Columbus</c:v>
                </c:pt>
              </c:strCache>
            </c:strRef>
          </c:cat>
          <c:val>
            <c:numRef>
              <c:f>Sheet2!$B$60:$B$63</c:f>
              <c:numCache>
                <c:formatCode>General</c:formatCode>
                <c:ptCount val="3"/>
                <c:pt idx="0">
                  <c:v>144</c:v>
                </c:pt>
                <c:pt idx="1">
                  <c:v>326</c:v>
                </c:pt>
                <c:pt idx="2">
                  <c:v>129</c:v>
                </c:pt>
              </c:numCache>
            </c:numRef>
          </c:val>
          <c:extLst>
            <c:ext xmlns:c16="http://schemas.microsoft.com/office/drawing/2014/chart" uri="{C3380CC4-5D6E-409C-BE32-E72D297353CC}">
              <c16:uniqueId val="{00000000-8827-4076-B4B2-73E2E5C3D0DE}"/>
            </c:ext>
          </c:extLst>
        </c:ser>
        <c:ser>
          <c:idx val="1"/>
          <c:order val="1"/>
          <c:tx>
            <c:strRef>
              <c:f>Sheet2!$C$58:$C$59</c:f>
              <c:strCache>
                <c:ptCount val="1"/>
                <c:pt idx="0">
                  <c:v>Male</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Sheet2!$A$60:$A$63</c:f>
              <c:strCache>
                <c:ptCount val="3"/>
                <c:pt idx="0">
                  <c:v>Cincinnati</c:v>
                </c:pt>
                <c:pt idx="1">
                  <c:v>Cleveland</c:v>
                </c:pt>
                <c:pt idx="2">
                  <c:v>Columbus</c:v>
                </c:pt>
              </c:strCache>
            </c:strRef>
          </c:cat>
          <c:val>
            <c:numRef>
              <c:f>Sheet2!$C$60:$C$63</c:f>
              <c:numCache>
                <c:formatCode>General</c:formatCode>
                <c:ptCount val="3"/>
                <c:pt idx="0">
                  <c:v>132</c:v>
                </c:pt>
                <c:pt idx="1">
                  <c:v>63</c:v>
                </c:pt>
                <c:pt idx="2">
                  <c:v>206</c:v>
                </c:pt>
              </c:numCache>
            </c:numRef>
          </c:val>
          <c:extLst>
            <c:ext xmlns:c16="http://schemas.microsoft.com/office/drawing/2014/chart" uri="{C3380CC4-5D6E-409C-BE32-E72D297353CC}">
              <c16:uniqueId val="{00000001-8827-4076-B4B2-73E2E5C3D0DE}"/>
            </c:ext>
          </c:extLst>
        </c:ser>
        <c:dLbls>
          <c:dLblPos val="ctr"/>
          <c:showLegendKey val="0"/>
          <c:showVal val="1"/>
          <c:showCatName val="0"/>
          <c:showSerName val="0"/>
          <c:showPercent val="0"/>
          <c:showBubbleSize val="0"/>
        </c:dLbls>
        <c:gapWidth val="150"/>
        <c:overlap val="100"/>
        <c:axId val="1197421152"/>
        <c:axId val="1197420672"/>
      </c:barChart>
      <c:catAx>
        <c:axId val="1197421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420672"/>
        <c:crosses val="autoZero"/>
        <c:auto val="1"/>
        <c:lblAlgn val="ctr"/>
        <c:lblOffset val="100"/>
        <c:noMultiLvlLbl val="0"/>
      </c:catAx>
      <c:valAx>
        <c:axId val="1197420672"/>
        <c:scaling>
          <c:orientation val="minMax"/>
        </c:scaling>
        <c:delete val="1"/>
        <c:axPos val="l"/>
        <c:numFmt formatCode="0%" sourceLinked="1"/>
        <c:majorTickMark val="out"/>
        <c:minorTickMark val="none"/>
        <c:tickLblPos val="nextTo"/>
        <c:crossAx val="1197421152"/>
        <c:crosses val="autoZero"/>
        <c:crossBetween val="between"/>
      </c:valAx>
      <c:spPr>
        <a:solidFill>
          <a:srgbClr val="EBF8F9">
            <a:alpha val="89804"/>
          </a:srgb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F7F9">
        <a:alpha val="89804"/>
      </a:srgbClr>
    </a:solidFill>
    <a:ln w="9525" cap="flat" cmpd="sng" algn="ctr">
      <a:solidFill>
        <a:schemeClr val="accent2">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[excel%20learning (Recovered).xlsx]Sheet2!PivotTable7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165898617511524E-2"/>
          <c:y val="5.1759834368530024E-2"/>
          <c:w val="0.83102918586789554"/>
          <c:h val="0.88612836438923392"/>
        </c:manualLayout>
      </c:layout>
      <c:barChart>
        <c:barDir val="col"/>
        <c:grouping val="clustered"/>
        <c:varyColors val="0"/>
        <c:ser>
          <c:idx val="0"/>
          <c:order val="0"/>
          <c:tx>
            <c:strRef>
              <c:f>Sheet2!$B$68</c:f>
              <c:strCache>
                <c:ptCount val="1"/>
                <c:pt idx="0">
                  <c:v>Total</c:v>
                </c:pt>
              </c:strCache>
            </c:strRef>
          </c:tx>
          <c:spPr>
            <a:solidFill>
              <a:schemeClr val="accent1"/>
            </a:solidFill>
            <a:ln>
              <a:noFill/>
            </a:ln>
            <a:effectLst/>
          </c:spPr>
          <c:invertIfNegative val="0"/>
          <c:cat>
            <c:strRef>
              <c:f>Sheet2!$A$69:$A$74</c:f>
              <c:strCache>
                <c:ptCount val="5"/>
                <c:pt idx="0">
                  <c:v>1</c:v>
                </c:pt>
                <c:pt idx="1">
                  <c:v>2</c:v>
                </c:pt>
                <c:pt idx="2">
                  <c:v>3</c:v>
                </c:pt>
                <c:pt idx="3">
                  <c:v>4</c:v>
                </c:pt>
                <c:pt idx="4">
                  <c:v>5</c:v>
                </c:pt>
              </c:strCache>
            </c:strRef>
          </c:cat>
          <c:val>
            <c:numRef>
              <c:f>Sheet2!$B$69:$B$74</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7762-402A-B046-BC93C1AC160E}"/>
            </c:ext>
          </c:extLst>
        </c:ser>
        <c:dLbls>
          <c:showLegendKey val="0"/>
          <c:showVal val="0"/>
          <c:showCatName val="0"/>
          <c:showSerName val="0"/>
          <c:showPercent val="0"/>
          <c:showBubbleSize val="0"/>
        </c:dLbls>
        <c:gapWidth val="219"/>
        <c:overlap val="-27"/>
        <c:axId val="1094145568"/>
        <c:axId val="1094152768"/>
      </c:barChart>
      <c:catAx>
        <c:axId val="1094145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152768"/>
        <c:crosses val="autoZero"/>
        <c:auto val="1"/>
        <c:lblAlgn val="ctr"/>
        <c:lblOffset val="100"/>
        <c:noMultiLvlLbl val="0"/>
      </c:catAx>
      <c:valAx>
        <c:axId val="109415276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94145568"/>
        <c:crosses val="autoZero"/>
        <c:crossBetween val="between"/>
      </c:valAx>
      <c:spPr>
        <a:solidFill>
          <a:srgbClr val="EBF7F9">
            <a:alpha val="90000"/>
          </a:srgb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BF8F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289560</xdr:colOff>
      <xdr:row>2</xdr:row>
      <xdr:rowOff>53341</xdr:rowOff>
    </xdr:from>
    <xdr:to>
      <xdr:col>5</xdr:col>
      <xdr:colOff>213360</xdr:colOff>
      <xdr:row>12</xdr:row>
      <xdr:rowOff>22861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F33FB72A-50F3-71DE-9F78-9D09A2D3E1A9}"/>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3246120" y="419101"/>
              <a:ext cx="1143000" cy="179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518160</xdr:colOff>
      <xdr:row>2</xdr:row>
      <xdr:rowOff>19050</xdr:rowOff>
    </xdr:from>
    <xdr:to>
      <xdr:col>13</xdr:col>
      <xdr:colOff>213360</xdr:colOff>
      <xdr:row>17</xdr:row>
      <xdr:rowOff>19050</xdr:rowOff>
    </xdr:to>
    <xdr:graphicFrame macro="">
      <xdr:nvGraphicFramePr>
        <xdr:cNvPr id="3" name="Chart 2">
          <a:extLst>
            <a:ext uri="{FF2B5EF4-FFF2-40B4-BE49-F238E27FC236}">
              <a16:creationId xmlns:a16="http://schemas.microsoft.com/office/drawing/2014/main" id="{4C93BB4A-069D-5736-1E04-CA1935607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556260</xdr:colOff>
      <xdr:row>1</xdr:row>
      <xdr:rowOff>3810</xdr:rowOff>
    </xdr:from>
    <xdr:to>
      <xdr:col>10</xdr:col>
      <xdr:colOff>251460</xdr:colOff>
      <xdr:row>16</xdr:row>
      <xdr:rowOff>3810</xdr:rowOff>
    </xdr:to>
    <xdr:graphicFrame macro="">
      <xdr:nvGraphicFramePr>
        <xdr:cNvPr id="2" name="Chart 1">
          <a:extLst>
            <a:ext uri="{FF2B5EF4-FFF2-40B4-BE49-F238E27FC236}">
              <a16:creationId xmlns:a16="http://schemas.microsoft.com/office/drawing/2014/main" id="{CE312910-FA0A-A48D-36EB-97758FA905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129540</xdr:colOff>
      <xdr:row>1</xdr:row>
      <xdr:rowOff>114300</xdr:rowOff>
    </xdr:from>
    <xdr:to>
      <xdr:col>14</xdr:col>
      <xdr:colOff>129540</xdr:colOff>
      <xdr:row>15</xdr:row>
      <xdr:rowOff>135255</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72742E32-50CE-FDD1-FCD0-D4E1744B32AC}"/>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7734300" y="2971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2</xdr:row>
      <xdr:rowOff>0</xdr:rowOff>
    </xdr:from>
    <xdr:to>
      <xdr:col>8</xdr:col>
      <xdr:colOff>312420</xdr:colOff>
      <xdr:row>12</xdr:row>
      <xdr:rowOff>137160</xdr:rowOff>
    </xdr:to>
    <mc:AlternateContent xmlns:mc="http://schemas.openxmlformats.org/markup-compatibility/2006" xmlns:a14="http://schemas.microsoft.com/office/drawing/2010/main">
      <mc:Choice Requires="a14">
        <xdr:graphicFrame macro="">
          <xdr:nvGraphicFramePr>
            <xdr:cNvPr id="3" name="Representative 2">
              <a:extLst>
                <a:ext uri="{FF2B5EF4-FFF2-40B4-BE49-F238E27FC236}">
                  <a16:creationId xmlns:a16="http://schemas.microsoft.com/office/drawing/2014/main" id="{742609B2-8BAD-46CF-BC2E-0CA6EC95BE6D}"/>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5029200" y="365760"/>
              <a:ext cx="182880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167640</xdr:rowOff>
    </xdr:from>
    <xdr:to>
      <xdr:col>1</xdr:col>
      <xdr:colOff>464820</xdr:colOff>
      <xdr:row>5</xdr:row>
      <xdr:rowOff>106680</xdr:rowOff>
    </xdr:to>
    <xdr:sp macro="" textlink="Sheet2!A4">
      <xdr:nvSpPr>
        <xdr:cNvPr id="2" name="Rectangle 1">
          <a:extLst>
            <a:ext uri="{FF2B5EF4-FFF2-40B4-BE49-F238E27FC236}">
              <a16:creationId xmlns:a16="http://schemas.microsoft.com/office/drawing/2014/main" id="{238D8441-887A-6E0C-C2E6-E11A0532B1B9}"/>
            </a:ext>
          </a:extLst>
        </xdr:cNvPr>
        <xdr:cNvSpPr/>
      </xdr:nvSpPr>
      <xdr:spPr>
        <a:xfrm>
          <a:off x="2110740" y="167640"/>
          <a:ext cx="1082040" cy="853440"/>
        </a:xfrm>
        <a:prstGeom prst="rect">
          <a:avLst/>
        </a:prstGeom>
        <a:solidFill>
          <a:schemeClr val="tx2">
            <a:lumMod val="60000"/>
            <a:lumOff val="40000"/>
          </a:schemeClr>
        </a:solidFill>
        <a:ln>
          <a:noFill/>
        </a:ln>
        <a:effectLst>
          <a:glow rad="139700">
            <a:schemeClr val="accent2">
              <a:satMod val="175000"/>
              <a:alpha val="40000"/>
            </a:schemeClr>
          </a:glow>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5CC8DE-1825-4E47-A583-E17B1EAA2135}" type="TxLink">
            <a:rPr lang="en-US" sz="2000" b="0" i="0" u="none" strike="noStrike">
              <a:solidFill>
                <a:schemeClr val="bg1">
                  <a:lumMod val="95000"/>
                </a:schemeClr>
              </a:solidFill>
              <a:latin typeface="Aptos Narrow"/>
            </a:rPr>
            <a:pPr algn="ctr"/>
            <a:t>1,000</a:t>
          </a:fld>
          <a:endParaRPr lang="en-IN" sz="2000">
            <a:solidFill>
              <a:schemeClr val="bg1">
                <a:lumMod val="95000"/>
              </a:schemeClr>
            </a:solidFill>
          </a:endParaRPr>
        </a:p>
      </xdr:txBody>
    </xdr:sp>
    <xdr:clientData/>
  </xdr:twoCellAnchor>
  <xdr:oneCellAnchor>
    <xdr:from>
      <xdr:col>0</xdr:col>
      <xdr:colOff>571500</xdr:colOff>
      <xdr:row>5</xdr:row>
      <xdr:rowOff>91440</xdr:rowOff>
    </xdr:from>
    <xdr:ext cx="184731" cy="264560"/>
    <xdr:sp macro="" textlink="">
      <xdr:nvSpPr>
        <xdr:cNvPr id="3" name="TextBox 2">
          <a:extLst>
            <a:ext uri="{FF2B5EF4-FFF2-40B4-BE49-F238E27FC236}">
              <a16:creationId xmlns:a16="http://schemas.microsoft.com/office/drawing/2014/main" id="{BA738286-0F6B-26F6-0253-D199F368C113}"/>
            </a:ext>
          </a:extLst>
        </xdr:cNvPr>
        <xdr:cNvSpPr txBox="1"/>
      </xdr:nvSpPr>
      <xdr:spPr>
        <a:xfrm>
          <a:off x="2689860" y="1005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274320</xdr:colOff>
      <xdr:row>1</xdr:row>
      <xdr:rowOff>68580</xdr:rowOff>
    </xdr:from>
    <xdr:to>
      <xdr:col>1</xdr:col>
      <xdr:colOff>274320</xdr:colOff>
      <xdr:row>2</xdr:row>
      <xdr:rowOff>121920</xdr:rowOff>
    </xdr:to>
    <xdr:sp macro="" textlink="">
      <xdr:nvSpPr>
        <xdr:cNvPr id="4" name="TextBox 3">
          <a:extLst>
            <a:ext uri="{FF2B5EF4-FFF2-40B4-BE49-F238E27FC236}">
              <a16:creationId xmlns:a16="http://schemas.microsoft.com/office/drawing/2014/main" id="{4BA2F062-0E6F-EF16-1915-6AF1BC30A1DF}"/>
            </a:ext>
          </a:extLst>
        </xdr:cNvPr>
        <xdr:cNvSpPr txBox="1"/>
      </xdr:nvSpPr>
      <xdr:spPr>
        <a:xfrm>
          <a:off x="2392680" y="251460"/>
          <a:ext cx="6096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solidFill>
            </a:rPr>
            <a:t>CALLS</a:t>
          </a:r>
        </a:p>
        <a:p>
          <a:endParaRPr lang="en-IN" sz="1100"/>
        </a:p>
      </xdr:txBody>
    </xdr:sp>
    <xdr:clientData/>
  </xdr:twoCellAnchor>
  <xdr:twoCellAnchor editAs="oneCell">
    <xdr:from>
      <xdr:col>0</xdr:col>
      <xdr:colOff>74114</xdr:colOff>
      <xdr:row>1</xdr:row>
      <xdr:rowOff>83822</xdr:rowOff>
    </xdr:from>
    <xdr:to>
      <xdr:col>0</xdr:col>
      <xdr:colOff>236220</xdr:colOff>
      <xdr:row>2</xdr:row>
      <xdr:rowOff>110706</xdr:rowOff>
    </xdr:to>
    <xdr:pic>
      <xdr:nvPicPr>
        <xdr:cNvPr id="5" name="Graphic 4" descr="Receiver with solid fill">
          <a:extLst>
            <a:ext uri="{FF2B5EF4-FFF2-40B4-BE49-F238E27FC236}">
              <a16:creationId xmlns:a16="http://schemas.microsoft.com/office/drawing/2014/main" id="{987DF295-D0C4-4798-97C5-CBDEF13AE4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2474" y="266702"/>
          <a:ext cx="162106" cy="209764"/>
        </a:xfrm>
        <a:prstGeom prst="rect">
          <a:avLst/>
        </a:prstGeom>
      </xdr:spPr>
    </xdr:pic>
    <xdr:clientData/>
  </xdr:twoCellAnchor>
  <xdr:twoCellAnchor>
    <xdr:from>
      <xdr:col>0</xdr:col>
      <xdr:colOff>213360</xdr:colOff>
      <xdr:row>3</xdr:row>
      <xdr:rowOff>175260</xdr:rowOff>
    </xdr:from>
    <xdr:to>
      <xdr:col>1</xdr:col>
      <xdr:colOff>259080</xdr:colOff>
      <xdr:row>4</xdr:row>
      <xdr:rowOff>175260</xdr:rowOff>
    </xdr:to>
    <xdr:sp macro="" textlink="Sheet2!A10">
      <xdr:nvSpPr>
        <xdr:cNvPr id="6" name="TextBox 5">
          <a:extLst>
            <a:ext uri="{FF2B5EF4-FFF2-40B4-BE49-F238E27FC236}">
              <a16:creationId xmlns:a16="http://schemas.microsoft.com/office/drawing/2014/main" id="{A67CA009-FA44-0CA7-078E-6C23345531EF}"/>
            </a:ext>
          </a:extLst>
        </xdr:cNvPr>
        <xdr:cNvSpPr txBox="1"/>
      </xdr:nvSpPr>
      <xdr:spPr>
        <a:xfrm>
          <a:off x="2331720" y="723900"/>
          <a:ext cx="65532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D8569C-67C7-4E55-B4E9-FCCF1171FEC2}" type="TxLink">
            <a:rPr lang="en-US" sz="1100" b="0" i="0" u="none" strike="noStrike">
              <a:ln>
                <a:solidFill>
                  <a:srgbClr val="F2F2F2"/>
                </a:solidFill>
              </a:ln>
              <a:solidFill>
                <a:schemeClr val="bg1">
                  <a:lumMod val="95000"/>
                </a:schemeClr>
              </a:solidFill>
              <a:latin typeface="Aptos Narrow"/>
            </a:rPr>
            <a:pPr algn="ctr"/>
            <a:t>218</a:t>
          </a:fld>
          <a:endParaRPr lang="en-IN" sz="1100">
            <a:ln>
              <a:solidFill>
                <a:srgbClr val="F2F2F2"/>
              </a:solidFill>
            </a:ln>
            <a:solidFill>
              <a:schemeClr val="bg1">
                <a:lumMod val="95000"/>
              </a:schemeClr>
            </a:solidFill>
          </a:endParaRPr>
        </a:p>
      </xdr:txBody>
    </xdr:sp>
    <xdr:clientData/>
  </xdr:twoCellAnchor>
  <xdr:oneCellAnchor>
    <xdr:from>
      <xdr:col>1</xdr:col>
      <xdr:colOff>0</xdr:colOff>
      <xdr:row>13</xdr:row>
      <xdr:rowOff>152400</xdr:rowOff>
    </xdr:from>
    <xdr:ext cx="184731" cy="264560"/>
    <xdr:sp macro="" textlink="">
      <xdr:nvSpPr>
        <xdr:cNvPr id="8" name="TextBox 7">
          <a:extLst>
            <a:ext uri="{FF2B5EF4-FFF2-40B4-BE49-F238E27FC236}">
              <a16:creationId xmlns:a16="http://schemas.microsoft.com/office/drawing/2014/main" id="{E6BC48D6-A6B2-419E-AFB5-5EBBB606A62F}"/>
            </a:ext>
          </a:extLst>
        </xdr:cNvPr>
        <xdr:cNvSpPr txBox="1"/>
      </xdr:nvSpPr>
      <xdr:spPr>
        <a:xfrm>
          <a:off x="2727960" y="2529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312420</xdr:colOff>
      <xdr:row>11</xdr:row>
      <xdr:rowOff>60960</xdr:rowOff>
    </xdr:from>
    <xdr:to>
      <xdr:col>1</xdr:col>
      <xdr:colOff>312420</xdr:colOff>
      <xdr:row>12</xdr:row>
      <xdr:rowOff>121920</xdr:rowOff>
    </xdr:to>
    <xdr:sp macro="" textlink="">
      <xdr:nvSpPr>
        <xdr:cNvPr id="9" name="TextBox 8">
          <a:extLst>
            <a:ext uri="{FF2B5EF4-FFF2-40B4-BE49-F238E27FC236}">
              <a16:creationId xmlns:a16="http://schemas.microsoft.com/office/drawing/2014/main" id="{0AE29E83-EEE3-4C77-9991-5B82D15C052A}"/>
            </a:ext>
          </a:extLst>
        </xdr:cNvPr>
        <xdr:cNvSpPr txBox="1"/>
      </xdr:nvSpPr>
      <xdr:spPr>
        <a:xfrm>
          <a:off x="2430780" y="2072640"/>
          <a:ext cx="6096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ln>
              <a:noFill/>
            </a:ln>
            <a:solidFill>
              <a:schemeClr val="bg1"/>
            </a:solidFill>
          </a:endParaRPr>
        </a:p>
        <a:p>
          <a:endParaRPr lang="en-IN" sz="1100"/>
        </a:p>
      </xdr:txBody>
    </xdr:sp>
    <xdr:clientData/>
  </xdr:twoCellAnchor>
  <xdr:twoCellAnchor>
    <xdr:from>
      <xdr:col>0</xdr:col>
      <xdr:colOff>7620</xdr:colOff>
      <xdr:row>13</xdr:row>
      <xdr:rowOff>121920</xdr:rowOff>
    </xdr:from>
    <xdr:to>
      <xdr:col>1</xdr:col>
      <xdr:colOff>457200</xdr:colOff>
      <xdr:row>17</xdr:row>
      <xdr:rowOff>106680</xdr:rowOff>
    </xdr:to>
    <xdr:sp macro="" textlink="Sheet2!C4">
      <xdr:nvSpPr>
        <xdr:cNvPr id="12" name="Rectangle 11">
          <a:extLst>
            <a:ext uri="{FF2B5EF4-FFF2-40B4-BE49-F238E27FC236}">
              <a16:creationId xmlns:a16="http://schemas.microsoft.com/office/drawing/2014/main" id="{93C927F9-47BC-4289-9F25-10F3F21ECF50}"/>
            </a:ext>
          </a:extLst>
        </xdr:cNvPr>
        <xdr:cNvSpPr/>
      </xdr:nvSpPr>
      <xdr:spPr>
        <a:xfrm>
          <a:off x="7620" y="2499360"/>
          <a:ext cx="1059180" cy="716280"/>
        </a:xfrm>
        <a:prstGeom prst="rect">
          <a:avLst/>
        </a:prstGeom>
        <a:solidFill>
          <a:schemeClr val="tx2">
            <a:lumMod val="60000"/>
            <a:lumOff val="40000"/>
          </a:schemeClr>
        </a:solidFill>
        <a:ln>
          <a:noFill/>
        </a:ln>
        <a:effectLst>
          <a:glow rad="139700">
            <a:schemeClr val="accent2">
              <a:satMod val="175000"/>
              <a:alpha val="40000"/>
            </a:schemeClr>
          </a:glow>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AEA0EED-8CAA-4ABD-BB87-7CC7F2818B7E}" type="TxLink">
            <a:rPr lang="en-US" sz="1800" b="0" i="0" u="none" strike="noStrike">
              <a:solidFill>
                <a:schemeClr val="bg1"/>
              </a:solidFill>
              <a:latin typeface="Aptos Narrow"/>
            </a:rPr>
            <a:pPr algn="ctr"/>
            <a:t>89850</a:t>
          </a:fld>
          <a:endParaRPr lang="en-IN" sz="3600">
            <a:solidFill>
              <a:schemeClr val="bg1"/>
            </a:solidFill>
          </a:endParaRPr>
        </a:p>
      </xdr:txBody>
    </xdr:sp>
    <xdr:clientData/>
  </xdr:twoCellAnchor>
  <xdr:oneCellAnchor>
    <xdr:from>
      <xdr:col>1</xdr:col>
      <xdr:colOff>0</xdr:colOff>
      <xdr:row>21</xdr:row>
      <xdr:rowOff>22860</xdr:rowOff>
    </xdr:from>
    <xdr:ext cx="184731" cy="264560"/>
    <xdr:sp macro="" textlink="">
      <xdr:nvSpPr>
        <xdr:cNvPr id="13" name="TextBox 12">
          <a:extLst>
            <a:ext uri="{FF2B5EF4-FFF2-40B4-BE49-F238E27FC236}">
              <a16:creationId xmlns:a16="http://schemas.microsoft.com/office/drawing/2014/main" id="{6AE4C287-3D3A-45FA-B69F-FAB36E7CA562}"/>
            </a:ext>
          </a:extLst>
        </xdr:cNvPr>
        <xdr:cNvSpPr txBox="1"/>
      </xdr:nvSpPr>
      <xdr:spPr>
        <a:xfrm>
          <a:off x="2727960" y="38633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144780</xdr:colOff>
      <xdr:row>14</xdr:row>
      <xdr:rowOff>0</xdr:rowOff>
    </xdr:from>
    <xdr:to>
      <xdr:col>1</xdr:col>
      <xdr:colOff>381000</xdr:colOff>
      <xdr:row>15</xdr:row>
      <xdr:rowOff>7620</xdr:rowOff>
    </xdr:to>
    <xdr:sp macro="" textlink="">
      <xdr:nvSpPr>
        <xdr:cNvPr id="14" name="TextBox 13">
          <a:extLst>
            <a:ext uri="{FF2B5EF4-FFF2-40B4-BE49-F238E27FC236}">
              <a16:creationId xmlns:a16="http://schemas.microsoft.com/office/drawing/2014/main" id="{77C0B2AD-75C8-42FF-9AB2-69D20A6A6FA1}"/>
            </a:ext>
          </a:extLst>
        </xdr:cNvPr>
        <xdr:cNvSpPr txBox="1"/>
      </xdr:nvSpPr>
      <xdr:spPr>
        <a:xfrm>
          <a:off x="144780" y="2560320"/>
          <a:ext cx="84582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solidFill>
            </a:rPr>
            <a:t>DURATION</a:t>
          </a:r>
        </a:p>
      </xdr:txBody>
    </xdr:sp>
    <xdr:clientData/>
  </xdr:twoCellAnchor>
  <xdr:twoCellAnchor>
    <xdr:from>
      <xdr:col>0</xdr:col>
      <xdr:colOff>76200</xdr:colOff>
      <xdr:row>16</xdr:row>
      <xdr:rowOff>30480</xdr:rowOff>
    </xdr:from>
    <xdr:to>
      <xdr:col>1</xdr:col>
      <xdr:colOff>281940</xdr:colOff>
      <xdr:row>17</xdr:row>
      <xdr:rowOff>45720</xdr:rowOff>
    </xdr:to>
    <xdr:sp macro="" textlink="Sheet2!C10">
      <xdr:nvSpPr>
        <xdr:cNvPr id="16" name="TextBox 15">
          <a:extLst>
            <a:ext uri="{FF2B5EF4-FFF2-40B4-BE49-F238E27FC236}">
              <a16:creationId xmlns:a16="http://schemas.microsoft.com/office/drawing/2014/main" id="{EE2056E4-0C25-4FCC-939B-D54541459CDC}"/>
            </a:ext>
          </a:extLst>
        </xdr:cNvPr>
        <xdr:cNvSpPr txBox="1"/>
      </xdr:nvSpPr>
      <xdr:spPr>
        <a:xfrm>
          <a:off x="76200" y="2956560"/>
          <a:ext cx="81534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053296-E7E3-481C-ACAC-21BB7DB4CD0F}" type="TxLink">
            <a:rPr lang="en-US" sz="1100" b="0" i="0" u="none" strike="noStrike">
              <a:ln>
                <a:solidFill>
                  <a:srgbClr val="F2F2F2"/>
                </a:solidFill>
              </a:ln>
              <a:solidFill>
                <a:schemeClr val="bg1"/>
              </a:solidFill>
              <a:latin typeface="Aptos Narrow"/>
            </a:rPr>
            <a:pPr algn="ctr"/>
            <a:t>19300</a:t>
          </a:fld>
          <a:endParaRPr lang="en-IN" sz="1100">
            <a:ln>
              <a:solidFill>
                <a:srgbClr val="F2F2F2"/>
              </a:solidFill>
            </a:ln>
            <a:solidFill>
              <a:schemeClr val="bg1"/>
            </a:solidFill>
          </a:endParaRPr>
        </a:p>
      </xdr:txBody>
    </xdr:sp>
    <xdr:clientData/>
  </xdr:twoCellAnchor>
  <xdr:oneCellAnchor>
    <xdr:from>
      <xdr:col>1</xdr:col>
      <xdr:colOff>152400</xdr:colOff>
      <xdr:row>14</xdr:row>
      <xdr:rowOff>121920</xdr:rowOff>
    </xdr:from>
    <xdr:ext cx="184731" cy="264560"/>
    <xdr:sp macro="" textlink="">
      <xdr:nvSpPr>
        <xdr:cNvPr id="18" name="TextBox 17">
          <a:extLst>
            <a:ext uri="{FF2B5EF4-FFF2-40B4-BE49-F238E27FC236}">
              <a16:creationId xmlns:a16="http://schemas.microsoft.com/office/drawing/2014/main" id="{116FF25C-8C26-4692-8499-F35926803011}"/>
            </a:ext>
          </a:extLst>
        </xdr:cNvPr>
        <xdr:cNvSpPr txBox="1"/>
      </xdr:nvSpPr>
      <xdr:spPr>
        <a:xfrm>
          <a:off x="2880360" y="26822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464820</xdr:colOff>
      <xdr:row>12</xdr:row>
      <xdr:rowOff>30480</xdr:rowOff>
    </xdr:from>
    <xdr:to>
      <xdr:col>1</xdr:col>
      <xdr:colOff>464820</xdr:colOff>
      <xdr:row>13</xdr:row>
      <xdr:rowOff>91440</xdr:rowOff>
    </xdr:to>
    <xdr:sp macro="" textlink="">
      <xdr:nvSpPr>
        <xdr:cNvPr id="19" name="TextBox 18">
          <a:extLst>
            <a:ext uri="{FF2B5EF4-FFF2-40B4-BE49-F238E27FC236}">
              <a16:creationId xmlns:a16="http://schemas.microsoft.com/office/drawing/2014/main" id="{AF35927C-193A-4580-82BD-C064BC7F8075}"/>
            </a:ext>
          </a:extLst>
        </xdr:cNvPr>
        <xdr:cNvSpPr txBox="1"/>
      </xdr:nvSpPr>
      <xdr:spPr>
        <a:xfrm>
          <a:off x="2583180" y="2225040"/>
          <a:ext cx="6096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ln>
              <a:noFill/>
            </a:ln>
            <a:solidFill>
              <a:schemeClr val="bg1"/>
            </a:solidFill>
          </a:endParaRPr>
        </a:p>
      </xdr:txBody>
    </xdr:sp>
    <xdr:clientData/>
  </xdr:twoCellAnchor>
  <xdr:twoCellAnchor>
    <xdr:from>
      <xdr:col>0</xdr:col>
      <xdr:colOff>0</xdr:colOff>
      <xdr:row>6</xdr:row>
      <xdr:rowOff>167640</xdr:rowOff>
    </xdr:from>
    <xdr:to>
      <xdr:col>1</xdr:col>
      <xdr:colOff>441960</xdr:colOff>
      <xdr:row>11</xdr:row>
      <xdr:rowOff>68580</xdr:rowOff>
    </xdr:to>
    <xdr:sp macro="" textlink="Sheet2!B4">
      <xdr:nvSpPr>
        <xdr:cNvPr id="23" name="Rectangle 22">
          <a:extLst>
            <a:ext uri="{FF2B5EF4-FFF2-40B4-BE49-F238E27FC236}">
              <a16:creationId xmlns:a16="http://schemas.microsoft.com/office/drawing/2014/main" id="{B26EA26C-5A3C-4D14-9D98-C542F04F6520}"/>
            </a:ext>
          </a:extLst>
        </xdr:cNvPr>
        <xdr:cNvSpPr/>
      </xdr:nvSpPr>
      <xdr:spPr>
        <a:xfrm>
          <a:off x="0" y="1264920"/>
          <a:ext cx="1051560" cy="815340"/>
        </a:xfrm>
        <a:prstGeom prst="rect">
          <a:avLst/>
        </a:prstGeom>
        <a:solidFill>
          <a:schemeClr val="tx2">
            <a:lumMod val="60000"/>
            <a:lumOff val="40000"/>
          </a:schemeClr>
        </a:solidFill>
        <a:ln>
          <a:noFill/>
        </a:ln>
        <a:effectLst>
          <a:glow rad="139700">
            <a:schemeClr val="accent2">
              <a:satMod val="175000"/>
              <a:alpha val="40000"/>
            </a:schemeClr>
          </a:glow>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0E1AC0D-3DC2-4607-BA79-4780FF7030CE}" type="TxLink">
            <a:rPr lang="en-US" sz="1800" b="0" i="0" u="none" strike="noStrike">
              <a:solidFill>
                <a:schemeClr val="bg1">
                  <a:lumMod val="95000"/>
                </a:schemeClr>
              </a:solidFill>
              <a:latin typeface="Aptos Narrow"/>
            </a:rPr>
            <a:pPr algn="ctr"/>
            <a:t>₹ 96,623</a:t>
          </a:fld>
          <a:endParaRPr lang="en-IN" sz="3600">
            <a:solidFill>
              <a:schemeClr val="bg1">
                <a:lumMod val="95000"/>
              </a:schemeClr>
            </a:solidFill>
          </a:endParaRPr>
        </a:p>
      </xdr:txBody>
    </xdr:sp>
    <xdr:clientData/>
  </xdr:twoCellAnchor>
  <xdr:oneCellAnchor>
    <xdr:from>
      <xdr:col>0</xdr:col>
      <xdr:colOff>541020</xdr:colOff>
      <xdr:row>12</xdr:row>
      <xdr:rowOff>121920</xdr:rowOff>
    </xdr:from>
    <xdr:ext cx="184731" cy="264560"/>
    <xdr:sp macro="" textlink="">
      <xdr:nvSpPr>
        <xdr:cNvPr id="24" name="TextBox 23">
          <a:extLst>
            <a:ext uri="{FF2B5EF4-FFF2-40B4-BE49-F238E27FC236}">
              <a16:creationId xmlns:a16="http://schemas.microsoft.com/office/drawing/2014/main" id="{7D1CDD01-DB60-42D8-BE49-A3669975E219}"/>
            </a:ext>
          </a:extLst>
        </xdr:cNvPr>
        <xdr:cNvSpPr txBox="1"/>
      </xdr:nvSpPr>
      <xdr:spPr>
        <a:xfrm>
          <a:off x="541020" y="2316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137160</xdr:colOff>
      <xdr:row>7</xdr:row>
      <xdr:rowOff>38100</xdr:rowOff>
    </xdr:from>
    <xdr:to>
      <xdr:col>1</xdr:col>
      <xdr:colOff>342900</xdr:colOff>
      <xdr:row>8</xdr:row>
      <xdr:rowOff>106680</xdr:rowOff>
    </xdr:to>
    <xdr:sp macro="" textlink="">
      <xdr:nvSpPr>
        <xdr:cNvPr id="25" name="TextBox 24">
          <a:extLst>
            <a:ext uri="{FF2B5EF4-FFF2-40B4-BE49-F238E27FC236}">
              <a16:creationId xmlns:a16="http://schemas.microsoft.com/office/drawing/2014/main" id="{14B47239-A8AD-44EA-A4C2-ABCCC2B645F7}"/>
            </a:ext>
          </a:extLst>
        </xdr:cNvPr>
        <xdr:cNvSpPr txBox="1"/>
      </xdr:nvSpPr>
      <xdr:spPr>
        <a:xfrm>
          <a:off x="2255520" y="1318260"/>
          <a:ext cx="8153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solidFill>
            </a:rPr>
            <a:t>AMOUNT</a:t>
          </a:r>
        </a:p>
      </xdr:txBody>
    </xdr:sp>
    <xdr:clientData/>
  </xdr:twoCellAnchor>
  <xdr:twoCellAnchor>
    <xdr:from>
      <xdr:col>0</xdr:col>
      <xdr:colOff>0</xdr:colOff>
      <xdr:row>9</xdr:row>
      <xdr:rowOff>160020</xdr:rowOff>
    </xdr:from>
    <xdr:to>
      <xdr:col>1</xdr:col>
      <xdr:colOff>411480</xdr:colOff>
      <xdr:row>11</xdr:row>
      <xdr:rowOff>30480</xdr:rowOff>
    </xdr:to>
    <xdr:sp macro="" textlink="Sheet2!B10">
      <xdr:nvSpPr>
        <xdr:cNvPr id="27" name="TextBox 26">
          <a:extLst>
            <a:ext uri="{FF2B5EF4-FFF2-40B4-BE49-F238E27FC236}">
              <a16:creationId xmlns:a16="http://schemas.microsoft.com/office/drawing/2014/main" id="{E1F6C3A0-EE4C-4F19-AF88-8A4E0B81951F}"/>
            </a:ext>
          </a:extLst>
        </xdr:cNvPr>
        <xdr:cNvSpPr txBox="1"/>
      </xdr:nvSpPr>
      <xdr:spPr>
        <a:xfrm>
          <a:off x="2103120" y="1805940"/>
          <a:ext cx="10363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9C37D7-73AF-4F7F-A254-D50978F543D7}" type="TxLink">
            <a:rPr lang="en-US" sz="1100" b="0" i="0" u="none" strike="noStrike">
              <a:ln>
                <a:solidFill>
                  <a:srgbClr val="F2F2F2"/>
                </a:solidFill>
              </a:ln>
              <a:solidFill>
                <a:srgbClr val="F2F2F2"/>
              </a:solidFill>
              <a:latin typeface="Aptos Narrow"/>
            </a:rPr>
            <a:pPr algn="ctr"/>
            <a:t>₹ 20,581</a:t>
          </a:fld>
          <a:endParaRPr lang="en-IN" sz="1100">
            <a:ln>
              <a:solidFill>
                <a:srgbClr val="F2F2F2"/>
              </a:solidFill>
            </a:ln>
            <a:solidFill>
              <a:srgbClr val="F2F2F2"/>
            </a:solidFill>
          </a:endParaRPr>
        </a:p>
      </xdr:txBody>
    </xdr:sp>
    <xdr:clientData/>
  </xdr:twoCellAnchor>
  <xdr:twoCellAnchor>
    <xdr:from>
      <xdr:col>0</xdr:col>
      <xdr:colOff>0</xdr:colOff>
      <xdr:row>19</xdr:row>
      <xdr:rowOff>167640</xdr:rowOff>
    </xdr:from>
    <xdr:to>
      <xdr:col>1</xdr:col>
      <xdr:colOff>464820</xdr:colOff>
      <xdr:row>24</xdr:row>
      <xdr:rowOff>76200</xdr:rowOff>
    </xdr:to>
    <xdr:sp macro="" textlink="Sheet2!D4">
      <xdr:nvSpPr>
        <xdr:cNvPr id="28" name="Rectangle 27">
          <a:extLst>
            <a:ext uri="{FF2B5EF4-FFF2-40B4-BE49-F238E27FC236}">
              <a16:creationId xmlns:a16="http://schemas.microsoft.com/office/drawing/2014/main" id="{BDB1CB5D-D3F1-4C82-A476-A45B628FC0BE}"/>
            </a:ext>
          </a:extLst>
        </xdr:cNvPr>
        <xdr:cNvSpPr/>
      </xdr:nvSpPr>
      <xdr:spPr>
        <a:xfrm>
          <a:off x="0" y="3642360"/>
          <a:ext cx="1074420" cy="822960"/>
        </a:xfrm>
        <a:prstGeom prst="rect">
          <a:avLst/>
        </a:prstGeom>
        <a:solidFill>
          <a:schemeClr val="tx2">
            <a:lumMod val="60000"/>
            <a:lumOff val="40000"/>
          </a:schemeClr>
        </a:solidFill>
        <a:ln>
          <a:noFill/>
        </a:ln>
        <a:effectLst>
          <a:glow rad="139700">
            <a:schemeClr val="accent2">
              <a:satMod val="175000"/>
              <a:alpha val="40000"/>
            </a:schemeClr>
          </a:glow>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B7ACB9E-7EB6-45F1-BBC2-9C5B843038AC}" type="TxLink">
            <a:rPr lang="en-US" sz="1800" b="0" i="0" u="none" strike="noStrike">
              <a:solidFill>
                <a:schemeClr val="bg1"/>
              </a:solidFill>
              <a:latin typeface="Aptos Narrow"/>
            </a:rPr>
            <a:pPr algn="ctr"/>
            <a:t>3.9</a:t>
          </a:fld>
          <a:endParaRPr lang="en-IN" sz="3600">
            <a:solidFill>
              <a:schemeClr val="bg1"/>
            </a:solidFill>
          </a:endParaRPr>
        </a:p>
      </xdr:txBody>
    </xdr:sp>
    <xdr:clientData/>
  </xdr:twoCellAnchor>
  <xdr:oneCellAnchor>
    <xdr:from>
      <xdr:col>1</xdr:col>
      <xdr:colOff>53340</xdr:colOff>
      <xdr:row>28</xdr:row>
      <xdr:rowOff>129540</xdr:rowOff>
    </xdr:from>
    <xdr:ext cx="184731" cy="264560"/>
    <xdr:sp macro="" textlink="">
      <xdr:nvSpPr>
        <xdr:cNvPr id="29" name="TextBox 28">
          <a:extLst>
            <a:ext uri="{FF2B5EF4-FFF2-40B4-BE49-F238E27FC236}">
              <a16:creationId xmlns:a16="http://schemas.microsoft.com/office/drawing/2014/main" id="{84C12AD9-5EEC-495F-929B-8F8619A0D82A}"/>
            </a:ext>
          </a:extLst>
        </xdr:cNvPr>
        <xdr:cNvSpPr txBox="1"/>
      </xdr:nvSpPr>
      <xdr:spPr>
        <a:xfrm>
          <a:off x="2781300" y="52501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99060</xdr:colOff>
      <xdr:row>20</xdr:row>
      <xdr:rowOff>53340</xdr:rowOff>
    </xdr:from>
    <xdr:to>
      <xdr:col>1</xdr:col>
      <xdr:colOff>381000</xdr:colOff>
      <xdr:row>21</xdr:row>
      <xdr:rowOff>83820</xdr:rowOff>
    </xdr:to>
    <xdr:sp macro="" textlink="">
      <xdr:nvSpPr>
        <xdr:cNvPr id="30" name="TextBox 29">
          <a:extLst>
            <a:ext uri="{FF2B5EF4-FFF2-40B4-BE49-F238E27FC236}">
              <a16:creationId xmlns:a16="http://schemas.microsoft.com/office/drawing/2014/main" id="{1866D464-E600-4637-A6ED-571218F29163}"/>
            </a:ext>
          </a:extLst>
        </xdr:cNvPr>
        <xdr:cNvSpPr txBox="1"/>
      </xdr:nvSpPr>
      <xdr:spPr>
        <a:xfrm>
          <a:off x="99060" y="3710940"/>
          <a:ext cx="8915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solidFill>
            </a:rPr>
            <a:t>AVG</a:t>
          </a:r>
          <a:r>
            <a:rPr lang="en-IN" sz="1100" baseline="0">
              <a:ln>
                <a:noFill/>
              </a:ln>
              <a:solidFill>
                <a:schemeClr val="bg1"/>
              </a:solidFill>
            </a:rPr>
            <a:t> RATING</a:t>
          </a:r>
          <a:endParaRPr lang="en-IN" sz="1100">
            <a:ln>
              <a:noFill/>
            </a:ln>
            <a:solidFill>
              <a:schemeClr val="bg1"/>
            </a:solidFill>
          </a:endParaRPr>
        </a:p>
        <a:p>
          <a:endParaRPr lang="en-IN" sz="1100"/>
        </a:p>
      </xdr:txBody>
    </xdr:sp>
    <xdr:clientData/>
  </xdr:twoCellAnchor>
  <xdr:twoCellAnchor>
    <xdr:from>
      <xdr:col>0</xdr:col>
      <xdr:colOff>137160</xdr:colOff>
      <xdr:row>22</xdr:row>
      <xdr:rowOff>175260</xdr:rowOff>
    </xdr:from>
    <xdr:to>
      <xdr:col>1</xdr:col>
      <xdr:colOff>335280</xdr:colOff>
      <xdr:row>24</xdr:row>
      <xdr:rowOff>30480</xdr:rowOff>
    </xdr:to>
    <xdr:sp macro="" textlink="Sheet2!D10">
      <xdr:nvSpPr>
        <xdr:cNvPr id="32" name="TextBox 31">
          <a:extLst>
            <a:ext uri="{FF2B5EF4-FFF2-40B4-BE49-F238E27FC236}">
              <a16:creationId xmlns:a16="http://schemas.microsoft.com/office/drawing/2014/main" id="{9E762C43-1D19-4401-AB15-241A8ED101A2}"/>
            </a:ext>
          </a:extLst>
        </xdr:cNvPr>
        <xdr:cNvSpPr txBox="1"/>
      </xdr:nvSpPr>
      <xdr:spPr>
        <a:xfrm>
          <a:off x="137160" y="4198620"/>
          <a:ext cx="8077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AD66-5810-46A2-99F0-1B092A6A64E2}" type="TxLink">
            <a:rPr lang="en-US" sz="1100" b="0" i="0" u="none" strike="noStrike">
              <a:ln>
                <a:solidFill>
                  <a:srgbClr val="F2F2F2"/>
                </a:solidFill>
              </a:ln>
              <a:solidFill>
                <a:schemeClr val="bg1"/>
              </a:solidFill>
              <a:latin typeface="Aptos Narrow"/>
            </a:rPr>
            <a:pPr algn="ctr"/>
            <a:t>3.9</a:t>
          </a:fld>
          <a:endParaRPr lang="en-IN" sz="1100">
            <a:ln>
              <a:solidFill>
                <a:srgbClr val="F2F2F2"/>
              </a:solidFill>
            </a:ln>
            <a:solidFill>
              <a:schemeClr val="bg1"/>
            </a:solidFill>
          </a:endParaRPr>
        </a:p>
      </xdr:txBody>
    </xdr:sp>
    <xdr:clientData/>
  </xdr:twoCellAnchor>
  <xdr:twoCellAnchor>
    <xdr:from>
      <xdr:col>0</xdr:col>
      <xdr:colOff>0</xdr:colOff>
      <xdr:row>26</xdr:row>
      <xdr:rowOff>99060</xdr:rowOff>
    </xdr:from>
    <xdr:to>
      <xdr:col>1</xdr:col>
      <xdr:colOff>472440</xdr:colOff>
      <xdr:row>31</xdr:row>
      <xdr:rowOff>7620</xdr:rowOff>
    </xdr:to>
    <xdr:sp macro="" textlink="Sheet2!E4">
      <xdr:nvSpPr>
        <xdr:cNvPr id="33" name="Rectangle 32">
          <a:extLst>
            <a:ext uri="{FF2B5EF4-FFF2-40B4-BE49-F238E27FC236}">
              <a16:creationId xmlns:a16="http://schemas.microsoft.com/office/drawing/2014/main" id="{9B949EA3-B12F-47E6-AB42-F79AE11800C6}"/>
            </a:ext>
          </a:extLst>
        </xdr:cNvPr>
        <xdr:cNvSpPr/>
      </xdr:nvSpPr>
      <xdr:spPr>
        <a:xfrm>
          <a:off x="0" y="4853940"/>
          <a:ext cx="1082040" cy="822960"/>
        </a:xfrm>
        <a:prstGeom prst="rect">
          <a:avLst/>
        </a:prstGeom>
        <a:solidFill>
          <a:schemeClr val="tx2">
            <a:lumMod val="60000"/>
            <a:lumOff val="40000"/>
          </a:schemeClr>
        </a:solidFill>
        <a:ln>
          <a:noFill/>
        </a:ln>
        <a:effectLst>
          <a:glow rad="139700">
            <a:schemeClr val="accent2">
              <a:satMod val="175000"/>
              <a:alpha val="40000"/>
            </a:schemeClr>
          </a:glow>
        </a:effectLst>
        <a:scene3d>
          <a:camera prst="orthographicFront"/>
          <a:lightRig rig="threePt" dir="t"/>
        </a:scene3d>
        <a:sp3d>
          <a:bevelT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4BC83FC-3A4B-4BCC-AEA3-080174380884}" type="TxLink">
            <a:rPr lang="en-US" sz="1800" b="0" i="0" u="none" strike="noStrike">
              <a:solidFill>
                <a:schemeClr val="bg1"/>
              </a:solidFill>
              <a:latin typeface="Aptos Narrow"/>
            </a:rPr>
            <a:pPr algn="ctr"/>
            <a:t>307</a:t>
          </a:fld>
          <a:endParaRPr lang="en-IN" sz="3600">
            <a:solidFill>
              <a:schemeClr val="bg1"/>
            </a:solidFill>
          </a:endParaRPr>
        </a:p>
      </xdr:txBody>
    </xdr:sp>
    <xdr:clientData/>
  </xdr:twoCellAnchor>
  <xdr:oneCellAnchor>
    <xdr:from>
      <xdr:col>1</xdr:col>
      <xdr:colOff>60960</xdr:colOff>
      <xdr:row>36</xdr:row>
      <xdr:rowOff>167640</xdr:rowOff>
    </xdr:from>
    <xdr:ext cx="184731" cy="264560"/>
    <xdr:sp macro="" textlink="">
      <xdr:nvSpPr>
        <xdr:cNvPr id="34" name="TextBox 33">
          <a:extLst>
            <a:ext uri="{FF2B5EF4-FFF2-40B4-BE49-F238E27FC236}">
              <a16:creationId xmlns:a16="http://schemas.microsoft.com/office/drawing/2014/main" id="{754B298C-D966-42CC-8A3E-898A9153D31D}"/>
            </a:ext>
          </a:extLst>
        </xdr:cNvPr>
        <xdr:cNvSpPr txBox="1"/>
      </xdr:nvSpPr>
      <xdr:spPr>
        <a:xfrm>
          <a:off x="2788920" y="6751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0</xdr:colOff>
      <xdr:row>26</xdr:row>
      <xdr:rowOff>137160</xdr:rowOff>
    </xdr:from>
    <xdr:to>
      <xdr:col>1</xdr:col>
      <xdr:colOff>502920</xdr:colOff>
      <xdr:row>27</xdr:row>
      <xdr:rowOff>175260</xdr:rowOff>
    </xdr:to>
    <xdr:sp macro="" textlink="">
      <xdr:nvSpPr>
        <xdr:cNvPr id="35" name="TextBox 34">
          <a:extLst>
            <a:ext uri="{FF2B5EF4-FFF2-40B4-BE49-F238E27FC236}">
              <a16:creationId xmlns:a16="http://schemas.microsoft.com/office/drawing/2014/main" id="{46EEB7F8-6E8D-458C-9651-CCCCCCB0FA94}"/>
            </a:ext>
          </a:extLst>
        </xdr:cNvPr>
        <xdr:cNvSpPr txBox="1"/>
      </xdr:nvSpPr>
      <xdr:spPr>
        <a:xfrm>
          <a:off x="0" y="4892040"/>
          <a:ext cx="11125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solidFill>
            </a:rPr>
            <a:t>HAPPY</a:t>
          </a:r>
          <a:r>
            <a:rPr lang="en-IN" sz="1100" baseline="0">
              <a:ln>
                <a:noFill/>
              </a:ln>
              <a:solidFill>
                <a:schemeClr val="bg1"/>
              </a:solidFill>
            </a:rPr>
            <a:t> CALLERS</a:t>
          </a:r>
          <a:endParaRPr lang="en-IN" sz="1100">
            <a:ln>
              <a:noFill/>
            </a:ln>
            <a:solidFill>
              <a:schemeClr val="bg1"/>
            </a:solidFill>
          </a:endParaRPr>
        </a:p>
        <a:p>
          <a:endParaRPr lang="en-IN" sz="1100"/>
        </a:p>
      </xdr:txBody>
    </xdr:sp>
    <xdr:clientData/>
  </xdr:twoCellAnchor>
  <xdr:twoCellAnchor>
    <xdr:from>
      <xdr:col>0</xdr:col>
      <xdr:colOff>205740</xdr:colOff>
      <xdr:row>29</xdr:row>
      <xdr:rowOff>83820</xdr:rowOff>
    </xdr:from>
    <xdr:to>
      <xdr:col>1</xdr:col>
      <xdr:colOff>281940</xdr:colOff>
      <xdr:row>30</xdr:row>
      <xdr:rowOff>121920</xdr:rowOff>
    </xdr:to>
    <xdr:sp macro="" textlink="Sheet2!E10">
      <xdr:nvSpPr>
        <xdr:cNvPr id="37" name="TextBox 36">
          <a:extLst>
            <a:ext uri="{FF2B5EF4-FFF2-40B4-BE49-F238E27FC236}">
              <a16:creationId xmlns:a16="http://schemas.microsoft.com/office/drawing/2014/main" id="{BAC3F6A0-C6D3-416C-90CB-6707D03497CC}"/>
            </a:ext>
          </a:extLst>
        </xdr:cNvPr>
        <xdr:cNvSpPr txBox="1"/>
      </xdr:nvSpPr>
      <xdr:spPr>
        <a:xfrm>
          <a:off x="205740" y="5387340"/>
          <a:ext cx="6858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95A6F9-5D4F-4697-83BE-138D794D4946}" type="TxLink">
            <a:rPr lang="en-US" sz="1100" b="0" i="0" u="none" strike="noStrike">
              <a:ln>
                <a:solidFill>
                  <a:srgbClr val="F2F2F2"/>
                </a:solidFill>
              </a:ln>
              <a:solidFill>
                <a:schemeClr val="bg1"/>
              </a:solidFill>
              <a:latin typeface="Aptos Narrow"/>
            </a:rPr>
            <a:pPr algn="ctr"/>
            <a:t>74</a:t>
          </a:fld>
          <a:endParaRPr lang="en-IN" sz="1100">
            <a:ln>
              <a:solidFill>
                <a:srgbClr val="F2F2F2"/>
              </a:solidFill>
            </a:ln>
            <a:solidFill>
              <a:schemeClr val="bg1"/>
            </a:solidFill>
          </a:endParaRPr>
        </a:p>
      </xdr:txBody>
    </xdr:sp>
    <xdr:clientData/>
  </xdr:twoCellAnchor>
  <xdr:twoCellAnchor editAs="oneCell">
    <xdr:from>
      <xdr:col>11</xdr:col>
      <xdr:colOff>601980</xdr:colOff>
      <xdr:row>13</xdr:row>
      <xdr:rowOff>30480</xdr:rowOff>
    </xdr:from>
    <xdr:to>
      <xdr:col>13</xdr:col>
      <xdr:colOff>190500</xdr:colOff>
      <xdr:row>23</xdr:row>
      <xdr:rowOff>76200</xdr:rowOff>
    </xdr:to>
    <mc:AlternateContent xmlns:mc="http://schemas.openxmlformats.org/markup-compatibility/2006" xmlns:a14="http://schemas.microsoft.com/office/drawing/2010/main">
      <mc:Choice Requires="a14">
        <xdr:graphicFrame macro="">
          <xdr:nvGraphicFramePr>
            <xdr:cNvPr id="38" name="Representative 3">
              <a:extLst>
                <a:ext uri="{FF2B5EF4-FFF2-40B4-BE49-F238E27FC236}">
                  <a16:creationId xmlns:a16="http://schemas.microsoft.com/office/drawing/2014/main" id="{C85E2BAA-DC2C-46EE-95BA-2076320A4111}"/>
                </a:ext>
              </a:extLst>
            </xdr:cNvPr>
            <xdr:cNvGraphicFramePr/>
          </xdr:nvGraphicFramePr>
          <xdr:xfrm>
            <a:off x="0" y="0"/>
            <a:ext cx="0" cy="0"/>
          </xdr:xfrm>
          <a:graphic>
            <a:graphicData uri="http://schemas.microsoft.com/office/drawing/2010/slicer">
              <sle:slicer xmlns:sle="http://schemas.microsoft.com/office/drawing/2010/slicer" name="Representative 3"/>
            </a:graphicData>
          </a:graphic>
        </xdr:graphicFrame>
      </mc:Choice>
      <mc:Fallback xmlns="">
        <xdr:sp macro="" textlink="">
          <xdr:nvSpPr>
            <xdr:cNvPr id="0" name=""/>
            <xdr:cNvSpPr>
              <a:spLocks noTextEdit="1"/>
            </xdr:cNvSpPr>
          </xdr:nvSpPr>
          <xdr:spPr>
            <a:xfrm>
              <a:off x="7307580" y="2407920"/>
              <a:ext cx="807720" cy="1874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xdr:colOff>
      <xdr:row>0</xdr:row>
      <xdr:rowOff>106680</xdr:rowOff>
    </xdr:from>
    <xdr:to>
      <xdr:col>8</xdr:col>
      <xdr:colOff>60960</xdr:colOff>
      <xdr:row>12</xdr:row>
      <xdr:rowOff>99060</xdr:rowOff>
    </xdr:to>
    <xdr:graphicFrame macro="">
      <xdr:nvGraphicFramePr>
        <xdr:cNvPr id="7" name="Chart 6">
          <a:extLst>
            <a:ext uri="{FF2B5EF4-FFF2-40B4-BE49-F238E27FC236}">
              <a16:creationId xmlns:a16="http://schemas.microsoft.com/office/drawing/2014/main" id="{DE27F3E6-71F9-4B0A-A5D6-1179B9E36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144780</xdr:colOff>
      <xdr:row>1</xdr:row>
      <xdr:rowOff>0</xdr:rowOff>
    </xdr:from>
    <xdr:to>
      <xdr:col>13</xdr:col>
      <xdr:colOff>160020</xdr:colOff>
      <xdr:row>12</xdr:row>
      <xdr:rowOff>99060</xdr:rowOff>
    </xdr:to>
    <xdr:graphicFrame macro="">
      <xdr:nvGraphicFramePr>
        <xdr:cNvPr id="10" name="Chart 9">
          <a:extLst>
            <a:ext uri="{FF2B5EF4-FFF2-40B4-BE49-F238E27FC236}">
              <a16:creationId xmlns:a16="http://schemas.microsoft.com/office/drawing/2014/main" id="{7BE790FB-3668-4530-A065-160D7AD7F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54937</xdr:colOff>
      <xdr:row>13</xdr:row>
      <xdr:rowOff>22860</xdr:rowOff>
    </xdr:from>
    <xdr:to>
      <xdr:col>7</xdr:col>
      <xdr:colOff>190501</xdr:colOff>
      <xdr:row>31</xdr:row>
      <xdr:rowOff>53340</xdr:rowOff>
    </xdr:to>
    <xdr:graphicFrame macro="">
      <xdr:nvGraphicFramePr>
        <xdr:cNvPr id="11" name="Chart 10">
          <a:extLst>
            <a:ext uri="{FF2B5EF4-FFF2-40B4-BE49-F238E27FC236}">
              <a16:creationId xmlns:a16="http://schemas.microsoft.com/office/drawing/2014/main" id="{849963D0-C48F-486B-A4ED-27FD7AB67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205740</xdr:colOff>
      <xdr:row>13</xdr:row>
      <xdr:rowOff>38100</xdr:rowOff>
    </xdr:from>
    <xdr:to>
      <xdr:col>11</xdr:col>
      <xdr:colOff>579120</xdr:colOff>
      <xdr:row>31</xdr:row>
      <xdr:rowOff>60960</xdr:rowOff>
    </xdr:to>
    <xdr:graphicFrame macro="">
      <xdr:nvGraphicFramePr>
        <xdr:cNvPr id="15" name="Chart 14">
          <a:extLst>
            <a:ext uri="{FF2B5EF4-FFF2-40B4-BE49-F238E27FC236}">
              <a16:creationId xmlns:a16="http://schemas.microsoft.com/office/drawing/2014/main" id="{9F3AD8FF-FA17-433E-BADD-43DE68B2E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259080</xdr:colOff>
      <xdr:row>1</xdr:row>
      <xdr:rowOff>15240</xdr:rowOff>
    </xdr:from>
    <xdr:to>
      <xdr:col>18</xdr:col>
      <xdr:colOff>152400</xdr:colOff>
      <xdr:row>12</xdr:row>
      <xdr:rowOff>76200</xdr:rowOff>
    </xdr:to>
    <xdr:graphicFrame macro="">
      <xdr:nvGraphicFramePr>
        <xdr:cNvPr id="17" name="Chart 16">
          <a:extLst>
            <a:ext uri="{FF2B5EF4-FFF2-40B4-BE49-F238E27FC236}">
              <a16:creationId xmlns:a16="http://schemas.microsoft.com/office/drawing/2014/main" id="{314AAB1B-E83B-4DF9-8A2A-84B1DF531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228600</xdr:colOff>
      <xdr:row>0</xdr:row>
      <xdr:rowOff>167640</xdr:rowOff>
    </xdr:from>
    <xdr:to>
      <xdr:col>21</xdr:col>
      <xdr:colOff>53340</xdr:colOff>
      <xdr:row>12</xdr:row>
      <xdr:rowOff>68580</xdr:rowOff>
    </xdr:to>
    <xdr:graphicFrame macro="">
      <xdr:nvGraphicFramePr>
        <xdr:cNvPr id="20" name="Chart 19">
          <a:extLst>
            <a:ext uri="{FF2B5EF4-FFF2-40B4-BE49-F238E27FC236}">
              <a16:creationId xmlns:a16="http://schemas.microsoft.com/office/drawing/2014/main" id="{CB476668-5F8C-4361-B908-43285768D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ya" refreshedDate="46108.597601967595" createdVersion="8" refreshedVersion="8" minRefreshableVersion="3" recordCount="1000" xr:uid="{0A860595-5266-4602-89AA-546D96CF6832}">
  <cacheSource type="worksheet">
    <worksheetSource name="calls"/>
  </cacheSource>
  <cacheFields count="13">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cacheField>
    <cacheField name="Representative" numFmtId="2">
      <sharedItems count="5">
        <s v="R05"/>
        <s v="R02"/>
        <s v="R01"/>
        <s v="R04"/>
        <s v="R03"/>
      </sharedItems>
    </cacheField>
    <cacheField name="Date of Call" numFmtId="165">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2"/>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Y"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numFmtId="0">
      <sharedItems count="5">
        <s v="1 TO 2 HRS"/>
        <s v="MORE THAN 2 HRS"/>
        <s v="30 TO 60 MINS"/>
        <s v="10 TO 30 MINS"/>
        <s v="UNDER 10 MINS"/>
      </sharedItems>
    </cacheField>
    <cacheField name="ROUND OFF" numFmtId="0">
      <sharedItems containsSemiMixedTypes="0" containsString="0" containsNumber="1" containsInteger="1" minValue="0" maxValue="5" count="6">
        <n v="5"/>
        <n v="3"/>
        <n v="4"/>
        <n v="2"/>
        <n v="0"/>
        <n v="1"/>
      </sharedItems>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9535965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112.483088425928" backgroundQuery="1" createdVersion="8" refreshedVersion="8" minRefreshableVersion="3" recordCount="0" supportSubquery="1" supportAdvancedDrill="1" xr:uid="{090ECA61-42D4-449E-A047-D6E7A29CE67F}">
  <cacheSource type="external" connectionId="3"/>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CALLS]" caption="5*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OFF]" caption="ROUND OFF" attribute="1" defaultMemberUniqueName="[CALLS].[ROUND OFF].[All]" allUniqueName="[CALLS].[ROUND OFF].[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112.522570370369" backgroundQuery="1" createdVersion="8" refreshedVersion="8" minRefreshableVersion="3" recordCount="0" supportSubquery="1" supportAdvancedDrill="1" xr:uid="{652D9987-EA2B-4C6D-8538-C6E1C4A0C63D}">
  <cacheSource type="external" connectionId="3"/>
  <cacheFields count="3">
    <cacheField name="[CALLS].[Representative].[Representative]" caption="Representative" numFmtId="0" hierarchy="3" level="1">
      <sharedItems count="5">
        <s v="R01"/>
        <s v="R02"/>
        <s v="R03"/>
        <s v="R04"/>
        <s v="R05"/>
      </sharedItems>
    </cacheField>
    <cacheField name="[Measures].[Count of Call number]" caption="Count of Call number" numFmtId="0" hierarchy="25" level="32767"/>
    <cacheField name="[Measures].[Sum of Purchase Amount]" caption="Sum of Purchase Amount" numFmtId="0" hierarchy="26"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OFF]" caption="ROUND OFF" attribute="1" defaultMemberUniqueName="[CALLS].[ROUND OFF].[All]" allUniqueName="[CALLS].[ROUND OFF].[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112.576503472221" backgroundQuery="1" createdVersion="8" refreshedVersion="8" minRefreshableVersion="3" recordCount="0" supportSubquery="1" supportAdvancedDrill="1" xr:uid="{3197FE2F-2266-4108-974E-8C4D5BD1F64A}">
  <cacheSource type="external" connectionId="3"/>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ount of Call number]" caption="Count of Call number" numFmtId="0" hierarchy="25"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OFF]" caption="ROUND OFF" attribute="1" defaultMemberUniqueName="[CALLS].[ROUND OFF].[All]" allUniqueName="[CALLS].[ROUND OFF].[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112.614759027776" backgroundQuery="1" createdVersion="8" refreshedVersion="8" minRefreshableVersion="3" recordCount="0" supportSubquery="1" supportAdvancedDrill="1" xr:uid="{F0050674-E7BC-4EAD-A2E1-9396174A2B4A}">
  <cacheSource type="external" connectionId="3"/>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Sum of Purchase Amount]" caption="Sum of Purchase Amount" numFmtId="0" hierarchy="26"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OFF]" caption="ROUND OFF" attribute="1" defaultMemberUniqueName="[CALLS].[ROUND OFF].[All]" allUniqueName="[CALLS].[ROUND OFF].[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112.663983796294" backgroundQuery="1" createdVersion="8" refreshedVersion="8" minRefreshableVersion="3" recordCount="0" supportSubquery="1" supportAdvancedDrill="1" xr:uid="{C62C1907-D849-4A44-AE2D-B4D63F954901}">
  <cacheSource type="external" connectionId="3"/>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OFF]" caption="ROUND OFF" attribute="1" defaultMemberUniqueName="[CALLS].[ROUND OFF].[All]" allUniqueName="[CALLS].[ROUND OFF].[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112.663984259256" backgroundQuery="1" createdVersion="8" refreshedVersion="8" minRefreshableVersion="3" recordCount="0" supportSubquery="1" supportAdvancedDrill="1" xr:uid="{2C77831E-354E-48BD-AE97-EEE235239CD8}">
  <cacheSource type="external" connectionId="3"/>
  <cacheFields count="4">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02-01T00:00:00" count="26">
        <d v="2023-01-01T00:00:00"/>
        <d v="2023-01-02T00:00:00"/>
        <d v="2023-01-03T00:00:00"/>
        <d v="2023-01-04T00:00:00"/>
        <d v="2023-01-05T00:00:00"/>
        <d v="2023-01-06T00:00:00"/>
        <d v="2023-01-08T00:00:00"/>
        <d v="2023-01-09T00:00:00"/>
        <d v="2023-01-10T00:00:00"/>
        <d v="2023-01-12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OFF]" caption="ROUND OFF" attribute="1" defaultMemberUniqueName="[CALLS].[ROUND OFF].[All]" allUniqueName="[CALLS].[ROUND OFF].[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112.663984722225" backgroundQuery="1" createdVersion="8" refreshedVersion="8" minRefreshableVersion="3" recordCount="0" supportSubquery="1" supportAdvancedDrill="1" xr:uid="{F3504189-3BDF-40D1-8CB6-220851150A9B}">
  <cacheSource type="external" connectionId="3"/>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OFF]" caption="ROUND OFF" attribute="1" defaultMemberUniqueName="[CALLS].[ROUND OFF].[All]" allUniqueName="[CALLS].[ROUND OFF].[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112.663985185187" backgroundQuery="1" createdVersion="8" refreshedVersion="8" minRefreshableVersion="3" recordCount="0" supportSubquery="1" supportAdvancedDrill="1" xr:uid="{D539F0B5-7A61-420E-8B0E-6DD99488819F}">
  <cacheSource type="external" connectionId="3"/>
  <cacheFields count="1">
    <cacheField name="[CALLS].[Representative].[Representative]" caption="Representative" numFmtId="0" hierarchy="3" level="1">
      <sharedItems count="1">
        <s v="R02"/>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OFF]" caption="ROUND OFF" attribute="1" defaultMemberUniqueName="[CALLS].[ROUND OFF].[All]" allUniqueName="[CALLS].[ROUND OFF].[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112.66398553241" backgroundQuery="1" createdVersion="8" refreshedVersion="8" minRefreshableVersion="3" recordCount="0" supportSubquery="1" supportAdvancedDrill="1" xr:uid="{A420D11B-823D-4AE8-B2C0-5EA752491C42}">
  <cacheSource type="external" connectionId="3"/>
  <cacheFields count="3">
    <cacheField name="[CALLS].[ROUND OFF].[ROUND OFF]" caption="ROUND OFF"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OUND OFF].&amp;[1]"/>
            <x15:cachedUniqueName index="1" name="[CALLS].[ROUND OFF].&amp;[2]"/>
            <x15:cachedUniqueName index="2" name="[CALLS].[ROUND OFF].&amp;[3]"/>
            <x15:cachedUniqueName index="3" name="[CALLS].[ROUND OFF].&amp;[4]"/>
            <x15:cachedUniqueName index="4" name="[CALLS].[ROUND OFF].&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OFF]" caption="ROUND OFF" attribute="1" defaultMemberUniqueName="[CALLS].[ROUND OFF].[All]" allUniqueName="[CALLS].[ROUND OFF].[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112.483084259256" backgroundQuery="1" createdVersion="3" refreshedVersion="8" minRefreshableVersion="3" recordCount="0" supportSubquery="1" supportAdvancedDrill="1" xr:uid="{6A6EA1B4-DB2C-44EB-BE5D-7911C28D2CAC}">
  <cacheSource type="external" connectionId="3">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OUND OFF]" caption="ROUND OFF" attribute="1" defaultMemberUniqueName="[CALLS].[ROUND OFF].[All]" allUniqueName="[CALLS].[ROUND OFF].[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6019844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n v="4.9000000000000004"/>
    <x v="0"/>
    <x v="0"/>
    <x v="0"/>
    <x v="0"/>
  </r>
  <r>
    <s v="Call_7272"/>
    <x v="1"/>
    <x v="1"/>
    <x v="0"/>
    <x v="0"/>
    <n v="135"/>
    <n v="2.9"/>
    <x v="0"/>
    <x v="0"/>
    <x v="0"/>
    <x v="1"/>
  </r>
  <r>
    <s v="Call_7273"/>
    <x v="2"/>
    <x v="2"/>
    <x v="1"/>
    <x v="0"/>
    <n v="66"/>
    <n v="4.7"/>
    <x v="0"/>
    <x v="0"/>
    <x v="0"/>
    <x v="0"/>
  </r>
  <r>
    <s v="Call_7274"/>
    <x v="3"/>
    <x v="1"/>
    <x v="1"/>
    <x v="0"/>
    <n v="22"/>
    <n v="2.9"/>
    <x v="0"/>
    <x v="0"/>
    <x v="0"/>
    <x v="1"/>
  </r>
  <r>
    <s v="Call_7275"/>
    <x v="4"/>
    <x v="3"/>
    <x v="2"/>
    <x v="1"/>
    <n v="31"/>
    <n v="2.8"/>
    <x v="0"/>
    <x v="1"/>
    <x v="1"/>
    <x v="1"/>
  </r>
  <r>
    <s v="Call_7276"/>
    <x v="4"/>
    <x v="4"/>
    <x v="1"/>
    <x v="2"/>
    <n v="135"/>
    <n v="4.8"/>
    <x v="0"/>
    <x v="2"/>
    <x v="2"/>
    <x v="0"/>
  </r>
  <r>
    <s v="Call_7277"/>
    <x v="5"/>
    <x v="5"/>
    <x v="0"/>
    <x v="2"/>
    <n v="60"/>
    <n v="4.7"/>
    <x v="0"/>
    <x v="2"/>
    <x v="0"/>
    <x v="0"/>
  </r>
  <r>
    <s v="Call_7278"/>
    <x v="0"/>
    <x v="6"/>
    <x v="3"/>
    <x v="2"/>
    <n v="148"/>
    <n v="4.4000000000000004"/>
    <x v="0"/>
    <x v="2"/>
    <x v="0"/>
    <x v="2"/>
  </r>
  <r>
    <s v="Call_7279"/>
    <x v="2"/>
    <x v="7"/>
    <x v="1"/>
    <x v="2"/>
    <n v="135"/>
    <n v="3.6"/>
    <x v="0"/>
    <x v="2"/>
    <x v="2"/>
    <x v="2"/>
  </r>
  <r>
    <s v="Call_7280"/>
    <x v="6"/>
    <x v="8"/>
    <x v="4"/>
    <x v="2"/>
    <n v="105"/>
    <n v="2.9"/>
    <x v="0"/>
    <x v="2"/>
    <x v="2"/>
    <x v="1"/>
  </r>
  <r>
    <s v="Call_7281"/>
    <x v="4"/>
    <x v="9"/>
    <x v="1"/>
    <x v="2"/>
    <n v="69"/>
    <n v="4.9000000000000004"/>
    <x v="0"/>
    <x v="2"/>
    <x v="0"/>
    <x v="0"/>
  </r>
  <r>
    <s v="Call_7282"/>
    <x v="7"/>
    <x v="10"/>
    <x v="0"/>
    <x v="2"/>
    <n v="46"/>
    <n v="3.4"/>
    <x v="0"/>
    <x v="2"/>
    <x v="1"/>
    <x v="1"/>
  </r>
  <r>
    <s v="Call_7283"/>
    <x v="8"/>
    <x v="11"/>
    <x v="1"/>
    <x v="3"/>
    <n v="108"/>
    <n v="3.5"/>
    <x v="0"/>
    <x v="3"/>
    <x v="0"/>
    <x v="2"/>
  </r>
  <r>
    <s v="Call_7284"/>
    <x v="6"/>
    <x v="12"/>
    <x v="1"/>
    <x v="3"/>
    <n v="96"/>
    <n v="4"/>
    <x v="0"/>
    <x v="3"/>
    <x v="1"/>
    <x v="2"/>
  </r>
  <r>
    <s v="Call_7285"/>
    <x v="7"/>
    <x v="13"/>
    <x v="2"/>
    <x v="3"/>
    <n v="68"/>
    <n v="4.9000000000000004"/>
    <x v="0"/>
    <x v="3"/>
    <x v="2"/>
    <x v="0"/>
  </r>
  <r>
    <s v="Call_7286"/>
    <x v="6"/>
    <x v="14"/>
    <x v="0"/>
    <x v="4"/>
    <n v="24"/>
    <n v="4.8"/>
    <x v="0"/>
    <x v="4"/>
    <x v="1"/>
    <x v="0"/>
  </r>
  <r>
    <s v="Call_7287"/>
    <x v="6"/>
    <x v="15"/>
    <x v="2"/>
    <x v="4"/>
    <n v="195"/>
    <n v="3.9"/>
    <x v="0"/>
    <x v="4"/>
    <x v="0"/>
    <x v="2"/>
  </r>
  <r>
    <s v="Call_7288"/>
    <x v="9"/>
    <x v="16"/>
    <x v="4"/>
    <x v="4"/>
    <n v="28"/>
    <n v="3.8"/>
    <x v="0"/>
    <x v="4"/>
    <x v="3"/>
    <x v="2"/>
  </r>
  <r>
    <s v="Call_7289"/>
    <x v="5"/>
    <x v="17"/>
    <x v="1"/>
    <x v="4"/>
    <n v="170"/>
    <n v="4.3"/>
    <x v="0"/>
    <x v="4"/>
    <x v="2"/>
    <x v="2"/>
  </r>
  <r>
    <s v="Call_7290"/>
    <x v="10"/>
    <x v="13"/>
    <x v="0"/>
    <x v="5"/>
    <n v="30"/>
    <n v="4.4000000000000004"/>
    <x v="0"/>
    <x v="5"/>
    <x v="2"/>
    <x v="2"/>
  </r>
  <r>
    <s v="Call_7291"/>
    <x v="1"/>
    <x v="3"/>
    <x v="0"/>
    <x v="5"/>
    <n v="72"/>
    <n v="5"/>
    <x v="0"/>
    <x v="5"/>
    <x v="1"/>
    <x v="0"/>
  </r>
  <r>
    <s v="Call_7292"/>
    <x v="1"/>
    <x v="18"/>
    <x v="3"/>
    <x v="6"/>
    <n v="92"/>
    <n v="4.9000000000000004"/>
    <x v="0"/>
    <x v="6"/>
    <x v="2"/>
    <x v="0"/>
  </r>
  <r>
    <s v="Call_7293"/>
    <x v="0"/>
    <x v="19"/>
    <x v="3"/>
    <x v="7"/>
    <n v="165"/>
    <n v="4.5"/>
    <x v="0"/>
    <x v="0"/>
    <x v="0"/>
    <x v="0"/>
  </r>
  <r>
    <s v="Call_7294"/>
    <x v="11"/>
    <x v="20"/>
    <x v="1"/>
    <x v="7"/>
    <n v="140"/>
    <n v="2.1"/>
    <x v="0"/>
    <x v="0"/>
    <x v="2"/>
    <x v="3"/>
  </r>
  <r>
    <s v="Call_7295"/>
    <x v="6"/>
    <x v="17"/>
    <x v="2"/>
    <x v="7"/>
    <n v="111"/>
    <n v="3.3"/>
    <x v="0"/>
    <x v="0"/>
    <x v="2"/>
    <x v="1"/>
  </r>
  <r>
    <s v="Call_7296"/>
    <x v="12"/>
    <x v="16"/>
    <x v="0"/>
    <x v="8"/>
    <n v="63"/>
    <n v="4.0999999999999996"/>
    <x v="0"/>
    <x v="1"/>
    <x v="3"/>
    <x v="2"/>
  </r>
  <r>
    <s v="Call_7297"/>
    <x v="8"/>
    <x v="21"/>
    <x v="0"/>
    <x v="8"/>
    <n v="80"/>
    <n v="4.2"/>
    <x v="0"/>
    <x v="1"/>
    <x v="0"/>
    <x v="2"/>
  </r>
  <r>
    <s v="Call_7298"/>
    <x v="4"/>
    <x v="22"/>
    <x v="0"/>
    <x v="9"/>
    <n v="50"/>
    <n v="4.5999999999999996"/>
    <x v="0"/>
    <x v="2"/>
    <x v="0"/>
    <x v="0"/>
  </r>
  <r>
    <s v="Call_7299"/>
    <x v="9"/>
    <x v="7"/>
    <x v="3"/>
    <x v="9"/>
    <n v="123"/>
    <n v="2.9"/>
    <x v="0"/>
    <x v="2"/>
    <x v="2"/>
    <x v="1"/>
  </r>
  <r>
    <s v="Call_7300"/>
    <x v="11"/>
    <x v="23"/>
    <x v="2"/>
    <x v="9"/>
    <n v="110"/>
    <n v="4.8"/>
    <x v="0"/>
    <x v="2"/>
    <x v="1"/>
    <x v="0"/>
  </r>
  <r>
    <s v="Call_7301"/>
    <x v="9"/>
    <x v="24"/>
    <x v="0"/>
    <x v="9"/>
    <n v="140"/>
    <n v="4.2"/>
    <x v="0"/>
    <x v="2"/>
    <x v="0"/>
    <x v="2"/>
  </r>
  <r>
    <s v="Call_7302"/>
    <x v="4"/>
    <x v="25"/>
    <x v="0"/>
    <x v="10"/>
    <n v="42"/>
    <n v="3.7"/>
    <x v="0"/>
    <x v="4"/>
    <x v="0"/>
    <x v="2"/>
  </r>
  <r>
    <s v="Call_7303"/>
    <x v="4"/>
    <x v="26"/>
    <x v="2"/>
    <x v="10"/>
    <n v="170"/>
    <n v="5"/>
    <x v="0"/>
    <x v="4"/>
    <x v="3"/>
    <x v="0"/>
  </r>
  <r>
    <s v="Call_7304"/>
    <x v="10"/>
    <x v="27"/>
    <x v="1"/>
    <x v="11"/>
    <n v="105"/>
    <n v="5"/>
    <x v="0"/>
    <x v="6"/>
    <x v="1"/>
    <x v="0"/>
  </r>
  <r>
    <s v="Call_7305"/>
    <x v="13"/>
    <x v="28"/>
    <x v="0"/>
    <x v="12"/>
    <n v="125"/>
    <n v="4.8"/>
    <x v="0"/>
    <x v="0"/>
    <x v="0"/>
    <x v="0"/>
  </r>
  <r>
    <s v="Call_7306"/>
    <x v="9"/>
    <x v="29"/>
    <x v="4"/>
    <x v="12"/>
    <n v="26"/>
    <n v="2.4"/>
    <x v="0"/>
    <x v="0"/>
    <x v="0"/>
    <x v="3"/>
  </r>
  <r>
    <s v="Call_7307"/>
    <x v="11"/>
    <x v="30"/>
    <x v="4"/>
    <x v="13"/>
    <n v="120"/>
    <n v="3.1"/>
    <x v="0"/>
    <x v="1"/>
    <x v="0"/>
    <x v="1"/>
  </r>
  <r>
    <s v="Call_7308"/>
    <x v="1"/>
    <x v="31"/>
    <x v="1"/>
    <x v="13"/>
    <n v="132"/>
    <n v="3.2"/>
    <x v="0"/>
    <x v="1"/>
    <x v="0"/>
    <x v="1"/>
  </r>
  <r>
    <s v="Call_7309"/>
    <x v="11"/>
    <x v="22"/>
    <x v="3"/>
    <x v="14"/>
    <n v="86"/>
    <n v="2.4"/>
    <x v="0"/>
    <x v="2"/>
    <x v="0"/>
    <x v="3"/>
  </r>
  <r>
    <s v="Call_7310"/>
    <x v="9"/>
    <x v="32"/>
    <x v="0"/>
    <x v="14"/>
    <n v="108"/>
    <n v="5"/>
    <x v="0"/>
    <x v="2"/>
    <x v="0"/>
    <x v="0"/>
  </r>
  <r>
    <s v="Call_7311"/>
    <x v="1"/>
    <x v="33"/>
    <x v="3"/>
    <x v="14"/>
    <n v="96"/>
    <n v="4.7"/>
    <x v="0"/>
    <x v="2"/>
    <x v="0"/>
    <x v="0"/>
  </r>
  <r>
    <s v="Call_7312"/>
    <x v="6"/>
    <x v="28"/>
    <x v="1"/>
    <x v="15"/>
    <n v="80"/>
    <n v="4.7"/>
    <x v="0"/>
    <x v="3"/>
    <x v="0"/>
    <x v="0"/>
  </r>
  <r>
    <s v="Call_7313"/>
    <x v="9"/>
    <x v="34"/>
    <x v="0"/>
    <x v="15"/>
    <n v="155"/>
    <n v="4.0999999999999996"/>
    <x v="0"/>
    <x v="3"/>
    <x v="0"/>
    <x v="2"/>
  </r>
  <r>
    <s v="Call_7314"/>
    <x v="7"/>
    <x v="35"/>
    <x v="4"/>
    <x v="15"/>
    <n v="168"/>
    <n v="4.0999999999999996"/>
    <x v="0"/>
    <x v="3"/>
    <x v="1"/>
    <x v="2"/>
  </r>
  <r>
    <s v="Call_7315"/>
    <x v="13"/>
    <x v="28"/>
    <x v="2"/>
    <x v="15"/>
    <n v="56"/>
    <n v="3.6"/>
    <x v="0"/>
    <x v="3"/>
    <x v="0"/>
    <x v="2"/>
  </r>
  <r>
    <s v="Call_7316"/>
    <x v="4"/>
    <x v="36"/>
    <x v="4"/>
    <x v="16"/>
    <n v="32"/>
    <n v="4.4000000000000004"/>
    <x v="0"/>
    <x v="4"/>
    <x v="3"/>
    <x v="2"/>
  </r>
  <r>
    <s v="Call_7317"/>
    <x v="3"/>
    <x v="37"/>
    <x v="2"/>
    <x v="16"/>
    <n v="78"/>
    <n v="4.4000000000000004"/>
    <x v="0"/>
    <x v="4"/>
    <x v="1"/>
    <x v="2"/>
  </r>
  <r>
    <s v="Call_7318"/>
    <x v="1"/>
    <x v="38"/>
    <x v="0"/>
    <x v="16"/>
    <n v="86"/>
    <n v="4"/>
    <x v="0"/>
    <x v="4"/>
    <x v="0"/>
    <x v="2"/>
  </r>
  <r>
    <s v="Call_7319"/>
    <x v="0"/>
    <x v="31"/>
    <x v="1"/>
    <x v="17"/>
    <n v="64"/>
    <n v="3.8"/>
    <x v="0"/>
    <x v="5"/>
    <x v="0"/>
    <x v="2"/>
  </r>
  <r>
    <s v="Call_7320"/>
    <x v="12"/>
    <x v="39"/>
    <x v="1"/>
    <x v="17"/>
    <n v="96"/>
    <n v="3.6"/>
    <x v="0"/>
    <x v="5"/>
    <x v="2"/>
    <x v="2"/>
  </r>
  <r>
    <s v="Call_7321"/>
    <x v="8"/>
    <x v="40"/>
    <x v="2"/>
    <x v="17"/>
    <n v="72"/>
    <n v="4.3"/>
    <x v="0"/>
    <x v="5"/>
    <x v="1"/>
    <x v="2"/>
  </r>
  <r>
    <s v="Call_7322"/>
    <x v="7"/>
    <x v="41"/>
    <x v="3"/>
    <x v="18"/>
    <n v="135"/>
    <n v="3.8"/>
    <x v="0"/>
    <x v="6"/>
    <x v="0"/>
    <x v="2"/>
  </r>
  <r>
    <s v="Call_7323"/>
    <x v="7"/>
    <x v="42"/>
    <x v="4"/>
    <x v="18"/>
    <n v="140"/>
    <n v="4.5"/>
    <x v="0"/>
    <x v="6"/>
    <x v="0"/>
    <x v="0"/>
  </r>
  <r>
    <s v="Call_7324"/>
    <x v="14"/>
    <x v="43"/>
    <x v="2"/>
    <x v="18"/>
    <n v="69"/>
    <n v="4.5"/>
    <x v="0"/>
    <x v="6"/>
    <x v="1"/>
    <x v="0"/>
  </r>
  <r>
    <s v="Call_7325"/>
    <x v="7"/>
    <x v="44"/>
    <x v="0"/>
    <x v="19"/>
    <n v="136"/>
    <n v="4.5999999999999996"/>
    <x v="0"/>
    <x v="0"/>
    <x v="2"/>
    <x v="0"/>
  </r>
  <r>
    <s v="Call_7326"/>
    <x v="12"/>
    <x v="45"/>
    <x v="2"/>
    <x v="19"/>
    <n v="28"/>
    <n v="4.5"/>
    <x v="0"/>
    <x v="0"/>
    <x v="0"/>
    <x v="0"/>
  </r>
  <r>
    <s v="Call_7327"/>
    <x v="14"/>
    <x v="20"/>
    <x v="1"/>
    <x v="20"/>
    <n v="135"/>
    <n v="3.3"/>
    <x v="0"/>
    <x v="1"/>
    <x v="2"/>
    <x v="1"/>
  </r>
  <r>
    <s v="Call_7328"/>
    <x v="11"/>
    <x v="46"/>
    <x v="1"/>
    <x v="20"/>
    <n v="126"/>
    <n v="2.2999999999999998"/>
    <x v="0"/>
    <x v="1"/>
    <x v="0"/>
    <x v="3"/>
  </r>
  <r>
    <s v="Call_7329"/>
    <x v="4"/>
    <x v="47"/>
    <x v="0"/>
    <x v="20"/>
    <n v="160"/>
    <n v="4.3"/>
    <x v="0"/>
    <x v="1"/>
    <x v="0"/>
    <x v="2"/>
  </r>
  <r>
    <s v="Call_7330"/>
    <x v="14"/>
    <x v="48"/>
    <x v="1"/>
    <x v="21"/>
    <n v="48"/>
    <n v="4.5999999999999996"/>
    <x v="0"/>
    <x v="2"/>
    <x v="0"/>
    <x v="0"/>
  </r>
  <r>
    <s v="Call_7331"/>
    <x v="7"/>
    <x v="33"/>
    <x v="2"/>
    <x v="21"/>
    <n v="66"/>
    <n v="4"/>
    <x v="0"/>
    <x v="2"/>
    <x v="0"/>
    <x v="2"/>
  </r>
  <r>
    <s v="Call_7332"/>
    <x v="6"/>
    <x v="49"/>
    <x v="3"/>
    <x v="21"/>
    <n v="126"/>
    <n v="2.5"/>
    <x v="0"/>
    <x v="2"/>
    <x v="1"/>
    <x v="1"/>
  </r>
  <r>
    <s v="Call_7333"/>
    <x v="11"/>
    <x v="50"/>
    <x v="4"/>
    <x v="21"/>
    <n v="96"/>
    <n v="5"/>
    <x v="0"/>
    <x v="2"/>
    <x v="0"/>
    <x v="0"/>
  </r>
  <r>
    <s v="Call_7334"/>
    <x v="7"/>
    <x v="51"/>
    <x v="0"/>
    <x v="22"/>
    <n v="90"/>
    <n v="3.8"/>
    <x v="0"/>
    <x v="3"/>
    <x v="0"/>
    <x v="2"/>
  </r>
  <r>
    <s v="Call_7335"/>
    <x v="13"/>
    <x v="52"/>
    <x v="3"/>
    <x v="22"/>
    <n v="105"/>
    <n v="4.4000000000000004"/>
    <x v="0"/>
    <x v="3"/>
    <x v="1"/>
    <x v="2"/>
  </r>
  <r>
    <s v="Call_7336"/>
    <x v="1"/>
    <x v="53"/>
    <x v="1"/>
    <x v="23"/>
    <n v="40"/>
    <n v="3.8"/>
    <x v="0"/>
    <x v="4"/>
    <x v="0"/>
    <x v="2"/>
  </r>
  <r>
    <s v="Call_7337"/>
    <x v="11"/>
    <x v="54"/>
    <x v="0"/>
    <x v="23"/>
    <n v="60"/>
    <n v="2"/>
    <x v="0"/>
    <x v="4"/>
    <x v="2"/>
    <x v="3"/>
  </r>
  <r>
    <s v="Call_7338"/>
    <x v="6"/>
    <x v="55"/>
    <x v="3"/>
    <x v="24"/>
    <n v="215"/>
    <n v="4.0999999999999996"/>
    <x v="0"/>
    <x v="5"/>
    <x v="1"/>
    <x v="2"/>
  </r>
  <r>
    <s v="Call_7339"/>
    <x v="2"/>
    <x v="22"/>
    <x v="2"/>
    <x v="24"/>
    <n v="156"/>
    <n v="2.6"/>
    <x v="0"/>
    <x v="5"/>
    <x v="0"/>
    <x v="1"/>
  </r>
  <r>
    <s v="Call_7340"/>
    <x v="10"/>
    <x v="56"/>
    <x v="4"/>
    <x v="24"/>
    <n v="54"/>
    <n v="0"/>
    <x v="0"/>
    <x v="5"/>
    <x v="1"/>
    <x v="4"/>
  </r>
  <r>
    <s v="Call_7341"/>
    <x v="10"/>
    <x v="57"/>
    <x v="4"/>
    <x v="25"/>
    <n v="160"/>
    <n v="3.9"/>
    <x v="0"/>
    <x v="6"/>
    <x v="1"/>
    <x v="2"/>
  </r>
  <r>
    <s v="Call_7342"/>
    <x v="13"/>
    <x v="58"/>
    <x v="2"/>
    <x v="25"/>
    <n v="80"/>
    <n v="4.8"/>
    <x v="0"/>
    <x v="6"/>
    <x v="0"/>
    <x v="0"/>
  </r>
  <r>
    <s v="Call_7343"/>
    <x v="7"/>
    <x v="19"/>
    <x v="2"/>
    <x v="25"/>
    <n v="168"/>
    <n v="2.6"/>
    <x v="0"/>
    <x v="6"/>
    <x v="0"/>
    <x v="1"/>
  </r>
  <r>
    <s v="Call_7344"/>
    <x v="14"/>
    <x v="59"/>
    <x v="4"/>
    <x v="26"/>
    <n v="42"/>
    <n v="2.6"/>
    <x v="0"/>
    <x v="1"/>
    <x v="0"/>
    <x v="1"/>
  </r>
  <r>
    <s v="Call_7345"/>
    <x v="2"/>
    <x v="60"/>
    <x v="2"/>
    <x v="26"/>
    <n v="205"/>
    <n v="3.6"/>
    <x v="0"/>
    <x v="1"/>
    <x v="2"/>
    <x v="2"/>
  </r>
  <r>
    <s v="Call_7346"/>
    <x v="4"/>
    <x v="53"/>
    <x v="4"/>
    <x v="26"/>
    <n v="108"/>
    <n v="3.3"/>
    <x v="0"/>
    <x v="1"/>
    <x v="0"/>
    <x v="1"/>
  </r>
  <r>
    <s v="Call_7347"/>
    <x v="6"/>
    <x v="61"/>
    <x v="1"/>
    <x v="26"/>
    <n v="78"/>
    <n v="1.9"/>
    <x v="0"/>
    <x v="1"/>
    <x v="1"/>
    <x v="3"/>
  </r>
  <r>
    <s v="Call_7348"/>
    <x v="1"/>
    <x v="62"/>
    <x v="4"/>
    <x v="26"/>
    <n v="23"/>
    <n v="4.9000000000000004"/>
    <x v="0"/>
    <x v="1"/>
    <x v="2"/>
    <x v="0"/>
  </r>
  <r>
    <s v="Call_7349"/>
    <x v="4"/>
    <x v="63"/>
    <x v="0"/>
    <x v="27"/>
    <n v="99"/>
    <n v="3.6"/>
    <x v="0"/>
    <x v="2"/>
    <x v="0"/>
    <x v="2"/>
  </r>
  <r>
    <s v="Call_7350"/>
    <x v="9"/>
    <x v="42"/>
    <x v="4"/>
    <x v="28"/>
    <n v="148"/>
    <n v="4.5"/>
    <x v="0"/>
    <x v="3"/>
    <x v="0"/>
    <x v="0"/>
  </r>
  <r>
    <s v="Call_7351"/>
    <x v="6"/>
    <x v="64"/>
    <x v="3"/>
    <x v="28"/>
    <n v="34"/>
    <n v="3.7"/>
    <x v="0"/>
    <x v="3"/>
    <x v="2"/>
    <x v="2"/>
  </r>
  <r>
    <s v="Call_7352"/>
    <x v="4"/>
    <x v="65"/>
    <x v="4"/>
    <x v="28"/>
    <n v="86"/>
    <n v="4.8"/>
    <x v="0"/>
    <x v="3"/>
    <x v="1"/>
    <x v="0"/>
  </r>
  <r>
    <s v="Call_7353"/>
    <x v="14"/>
    <x v="66"/>
    <x v="0"/>
    <x v="28"/>
    <n v="105"/>
    <n v="3.3"/>
    <x v="0"/>
    <x v="3"/>
    <x v="0"/>
    <x v="1"/>
  </r>
  <r>
    <s v="Call_7354"/>
    <x v="1"/>
    <x v="67"/>
    <x v="0"/>
    <x v="28"/>
    <n v="62"/>
    <n v="3.1"/>
    <x v="0"/>
    <x v="3"/>
    <x v="0"/>
    <x v="1"/>
  </r>
  <r>
    <s v="Call_7355"/>
    <x v="4"/>
    <x v="65"/>
    <x v="3"/>
    <x v="28"/>
    <n v="90"/>
    <n v="4.0999999999999996"/>
    <x v="0"/>
    <x v="3"/>
    <x v="1"/>
    <x v="2"/>
  </r>
  <r>
    <s v="Call_7356"/>
    <x v="3"/>
    <x v="15"/>
    <x v="0"/>
    <x v="29"/>
    <n v="112"/>
    <n v="4.9000000000000004"/>
    <x v="0"/>
    <x v="4"/>
    <x v="0"/>
    <x v="0"/>
  </r>
  <r>
    <s v="Call_7357"/>
    <x v="11"/>
    <x v="41"/>
    <x v="0"/>
    <x v="29"/>
    <n v="135"/>
    <n v="4"/>
    <x v="0"/>
    <x v="4"/>
    <x v="0"/>
    <x v="2"/>
  </r>
  <r>
    <s v="Call_7358"/>
    <x v="1"/>
    <x v="68"/>
    <x v="1"/>
    <x v="29"/>
    <n v="34"/>
    <n v="2.1"/>
    <x v="0"/>
    <x v="4"/>
    <x v="2"/>
    <x v="3"/>
  </r>
  <r>
    <s v="Call_7359"/>
    <x v="14"/>
    <x v="69"/>
    <x v="2"/>
    <x v="29"/>
    <n v="155"/>
    <n v="4.5"/>
    <x v="0"/>
    <x v="4"/>
    <x v="0"/>
    <x v="0"/>
  </r>
  <r>
    <s v="Call_7360"/>
    <x v="3"/>
    <x v="70"/>
    <x v="2"/>
    <x v="30"/>
    <n v="124"/>
    <n v="4.9000000000000004"/>
    <x v="0"/>
    <x v="6"/>
    <x v="1"/>
    <x v="0"/>
  </r>
  <r>
    <s v="Call_7361"/>
    <x v="11"/>
    <x v="5"/>
    <x v="0"/>
    <x v="30"/>
    <n v="195"/>
    <n v="4.0999999999999996"/>
    <x v="0"/>
    <x v="6"/>
    <x v="0"/>
    <x v="2"/>
  </r>
  <r>
    <s v="Call_7362"/>
    <x v="13"/>
    <x v="71"/>
    <x v="2"/>
    <x v="31"/>
    <n v="78"/>
    <n v="4.5"/>
    <x v="0"/>
    <x v="0"/>
    <x v="2"/>
    <x v="0"/>
  </r>
  <r>
    <s v="Call_7363"/>
    <x v="5"/>
    <x v="10"/>
    <x v="3"/>
    <x v="32"/>
    <n v="35"/>
    <n v="4.8"/>
    <x v="0"/>
    <x v="2"/>
    <x v="1"/>
    <x v="0"/>
  </r>
  <r>
    <s v="Call_7364"/>
    <x v="12"/>
    <x v="72"/>
    <x v="1"/>
    <x v="32"/>
    <n v="123"/>
    <n v="4.5999999999999996"/>
    <x v="0"/>
    <x v="2"/>
    <x v="1"/>
    <x v="0"/>
  </r>
  <r>
    <s v="Call_7365"/>
    <x v="2"/>
    <x v="35"/>
    <x v="1"/>
    <x v="32"/>
    <n v="43"/>
    <n v="4.5999999999999996"/>
    <x v="0"/>
    <x v="2"/>
    <x v="1"/>
    <x v="0"/>
  </r>
  <r>
    <s v="Call_7366"/>
    <x v="10"/>
    <x v="73"/>
    <x v="0"/>
    <x v="33"/>
    <n v="69"/>
    <n v="4.3"/>
    <x v="0"/>
    <x v="3"/>
    <x v="2"/>
    <x v="2"/>
  </r>
  <r>
    <s v="Call_7367"/>
    <x v="12"/>
    <x v="48"/>
    <x v="1"/>
    <x v="33"/>
    <n v="130"/>
    <n v="5"/>
    <x v="0"/>
    <x v="3"/>
    <x v="0"/>
    <x v="0"/>
  </r>
  <r>
    <s v="Call_7368"/>
    <x v="0"/>
    <x v="74"/>
    <x v="4"/>
    <x v="33"/>
    <n v="120"/>
    <n v="4"/>
    <x v="0"/>
    <x v="3"/>
    <x v="0"/>
    <x v="2"/>
  </r>
  <r>
    <s v="Call_7369"/>
    <x v="13"/>
    <x v="64"/>
    <x v="0"/>
    <x v="34"/>
    <n v="84"/>
    <n v="4.5999999999999996"/>
    <x v="0"/>
    <x v="4"/>
    <x v="2"/>
    <x v="0"/>
  </r>
  <r>
    <s v="Call_7370"/>
    <x v="0"/>
    <x v="35"/>
    <x v="4"/>
    <x v="35"/>
    <n v="112"/>
    <n v="4.5"/>
    <x v="0"/>
    <x v="5"/>
    <x v="1"/>
    <x v="0"/>
  </r>
  <r>
    <s v="Call_7371"/>
    <x v="7"/>
    <x v="48"/>
    <x v="0"/>
    <x v="35"/>
    <n v="66"/>
    <n v="4.5999999999999996"/>
    <x v="0"/>
    <x v="5"/>
    <x v="0"/>
    <x v="0"/>
  </r>
  <r>
    <s v="Call_7372"/>
    <x v="12"/>
    <x v="37"/>
    <x v="2"/>
    <x v="35"/>
    <n v="172"/>
    <n v="2.6"/>
    <x v="0"/>
    <x v="5"/>
    <x v="1"/>
    <x v="1"/>
  </r>
  <r>
    <s v="Call_7373"/>
    <x v="9"/>
    <x v="19"/>
    <x v="3"/>
    <x v="36"/>
    <n v="24"/>
    <n v="4.3"/>
    <x v="0"/>
    <x v="6"/>
    <x v="0"/>
    <x v="2"/>
  </r>
  <r>
    <s v="Call_7374"/>
    <x v="3"/>
    <x v="75"/>
    <x v="2"/>
    <x v="37"/>
    <n v="43"/>
    <n v="3.9"/>
    <x v="0"/>
    <x v="0"/>
    <x v="0"/>
    <x v="2"/>
  </r>
  <r>
    <s v="Call_7375"/>
    <x v="2"/>
    <x v="67"/>
    <x v="1"/>
    <x v="37"/>
    <n v="23"/>
    <n v="5"/>
    <x v="0"/>
    <x v="0"/>
    <x v="0"/>
    <x v="0"/>
  </r>
  <r>
    <s v="Call_7376"/>
    <x v="8"/>
    <x v="16"/>
    <x v="4"/>
    <x v="37"/>
    <n v="74"/>
    <n v="3.5"/>
    <x v="0"/>
    <x v="0"/>
    <x v="3"/>
    <x v="2"/>
  </r>
  <r>
    <s v="Call_7377"/>
    <x v="1"/>
    <x v="76"/>
    <x v="3"/>
    <x v="38"/>
    <n v="165"/>
    <n v="4.7"/>
    <x v="0"/>
    <x v="1"/>
    <x v="1"/>
    <x v="0"/>
  </r>
  <r>
    <s v="Call_7378"/>
    <x v="11"/>
    <x v="65"/>
    <x v="2"/>
    <x v="38"/>
    <n v="34"/>
    <n v="2.9"/>
    <x v="0"/>
    <x v="1"/>
    <x v="1"/>
    <x v="1"/>
  </r>
  <r>
    <s v="Call_7379"/>
    <x v="1"/>
    <x v="77"/>
    <x v="4"/>
    <x v="38"/>
    <n v="64"/>
    <n v="3.4"/>
    <x v="0"/>
    <x v="1"/>
    <x v="0"/>
    <x v="1"/>
  </r>
  <r>
    <s v="Call_7380"/>
    <x v="2"/>
    <x v="24"/>
    <x v="3"/>
    <x v="39"/>
    <n v="155"/>
    <n v="3.2"/>
    <x v="0"/>
    <x v="2"/>
    <x v="0"/>
    <x v="1"/>
  </r>
  <r>
    <s v="Call_7381"/>
    <x v="1"/>
    <x v="48"/>
    <x v="1"/>
    <x v="40"/>
    <n v="120"/>
    <n v="4.8"/>
    <x v="0"/>
    <x v="3"/>
    <x v="0"/>
    <x v="0"/>
  </r>
  <r>
    <s v="Call_7382"/>
    <x v="10"/>
    <x v="78"/>
    <x v="4"/>
    <x v="40"/>
    <n v="105"/>
    <n v="3.6"/>
    <x v="0"/>
    <x v="3"/>
    <x v="3"/>
    <x v="2"/>
  </r>
  <r>
    <s v="Call_7383"/>
    <x v="4"/>
    <x v="79"/>
    <x v="2"/>
    <x v="40"/>
    <n v="28"/>
    <n v="4.9000000000000004"/>
    <x v="0"/>
    <x v="3"/>
    <x v="3"/>
    <x v="0"/>
  </r>
  <r>
    <s v="Call_7384"/>
    <x v="6"/>
    <x v="18"/>
    <x v="3"/>
    <x v="40"/>
    <n v="100"/>
    <n v="4.8"/>
    <x v="0"/>
    <x v="3"/>
    <x v="2"/>
    <x v="0"/>
  </r>
  <r>
    <s v="Call_7385"/>
    <x v="7"/>
    <x v="71"/>
    <x v="2"/>
    <x v="40"/>
    <n v="23"/>
    <n v="3.6"/>
    <x v="0"/>
    <x v="3"/>
    <x v="2"/>
    <x v="2"/>
  </r>
  <r>
    <s v="Call_7386"/>
    <x v="9"/>
    <x v="80"/>
    <x v="4"/>
    <x v="41"/>
    <n v="70"/>
    <n v="3.9"/>
    <x v="0"/>
    <x v="4"/>
    <x v="3"/>
    <x v="2"/>
  </r>
  <r>
    <s v="Call_7387"/>
    <x v="9"/>
    <x v="81"/>
    <x v="4"/>
    <x v="41"/>
    <n v="37"/>
    <n v="1.9"/>
    <x v="0"/>
    <x v="4"/>
    <x v="2"/>
    <x v="3"/>
  </r>
  <r>
    <s v="Call_7388"/>
    <x v="8"/>
    <x v="0"/>
    <x v="0"/>
    <x v="41"/>
    <n v="140"/>
    <n v="3.6"/>
    <x v="0"/>
    <x v="4"/>
    <x v="0"/>
    <x v="2"/>
  </r>
  <r>
    <s v="Call_7389"/>
    <x v="0"/>
    <x v="15"/>
    <x v="1"/>
    <x v="41"/>
    <n v="78"/>
    <n v="4.0999999999999996"/>
    <x v="0"/>
    <x v="4"/>
    <x v="0"/>
    <x v="2"/>
  </r>
  <r>
    <s v="Call_7390"/>
    <x v="1"/>
    <x v="29"/>
    <x v="4"/>
    <x v="42"/>
    <n v="21"/>
    <n v="4.2"/>
    <x v="0"/>
    <x v="5"/>
    <x v="0"/>
    <x v="2"/>
  </r>
  <r>
    <s v="Call_7391"/>
    <x v="2"/>
    <x v="82"/>
    <x v="0"/>
    <x v="42"/>
    <n v="88"/>
    <n v="4.3"/>
    <x v="0"/>
    <x v="5"/>
    <x v="2"/>
    <x v="2"/>
  </r>
  <r>
    <s v="Call_7392"/>
    <x v="5"/>
    <x v="23"/>
    <x v="0"/>
    <x v="43"/>
    <n v="180"/>
    <n v="2.2000000000000002"/>
    <x v="0"/>
    <x v="6"/>
    <x v="1"/>
    <x v="3"/>
  </r>
  <r>
    <s v="Call_7393"/>
    <x v="0"/>
    <x v="2"/>
    <x v="1"/>
    <x v="43"/>
    <n v="22"/>
    <n v="3.3"/>
    <x v="0"/>
    <x v="6"/>
    <x v="0"/>
    <x v="1"/>
  </r>
  <r>
    <s v="Call_7394"/>
    <x v="6"/>
    <x v="48"/>
    <x v="1"/>
    <x v="43"/>
    <n v="52"/>
    <n v="4.8"/>
    <x v="0"/>
    <x v="6"/>
    <x v="0"/>
    <x v="0"/>
  </r>
  <r>
    <s v="Call_7395"/>
    <x v="11"/>
    <x v="83"/>
    <x v="0"/>
    <x v="44"/>
    <n v="80"/>
    <n v="4"/>
    <x v="0"/>
    <x v="0"/>
    <x v="0"/>
    <x v="2"/>
  </r>
  <r>
    <s v="Call_7396"/>
    <x v="4"/>
    <x v="59"/>
    <x v="2"/>
    <x v="44"/>
    <n v="54"/>
    <n v="1.1000000000000001"/>
    <x v="0"/>
    <x v="0"/>
    <x v="0"/>
    <x v="5"/>
  </r>
  <r>
    <s v="Call_7397"/>
    <x v="1"/>
    <x v="23"/>
    <x v="2"/>
    <x v="45"/>
    <n v="80"/>
    <n v="3.9"/>
    <x v="0"/>
    <x v="1"/>
    <x v="1"/>
    <x v="2"/>
  </r>
  <r>
    <s v="Call_7398"/>
    <x v="11"/>
    <x v="59"/>
    <x v="0"/>
    <x v="46"/>
    <n v="120"/>
    <n v="1.8"/>
    <x v="0"/>
    <x v="2"/>
    <x v="0"/>
    <x v="3"/>
  </r>
  <r>
    <s v="Call_7399"/>
    <x v="5"/>
    <x v="49"/>
    <x v="3"/>
    <x v="46"/>
    <n v="150"/>
    <n v="1"/>
    <x v="0"/>
    <x v="2"/>
    <x v="1"/>
    <x v="5"/>
  </r>
  <r>
    <s v="Call_7400"/>
    <x v="1"/>
    <x v="34"/>
    <x v="0"/>
    <x v="46"/>
    <n v="90"/>
    <n v="4.3"/>
    <x v="0"/>
    <x v="2"/>
    <x v="0"/>
    <x v="2"/>
  </r>
  <r>
    <s v="Call_7401"/>
    <x v="13"/>
    <x v="84"/>
    <x v="4"/>
    <x v="47"/>
    <n v="140"/>
    <n v="3.4"/>
    <x v="0"/>
    <x v="3"/>
    <x v="0"/>
    <x v="1"/>
  </r>
  <r>
    <s v="Call_7402"/>
    <x v="6"/>
    <x v="85"/>
    <x v="2"/>
    <x v="47"/>
    <n v="22"/>
    <n v="3.4"/>
    <x v="0"/>
    <x v="3"/>
    <x v="1"/>
    <x v="1"/>
  </r>
  <r>
    <s v="Call_7403"/>
    <x v="11"/>
    <x v="86"/>
    <x v="3"/>
    <x v="48"/>
    <n v="150"/>
    <n v="4.0999999999999996"/>
    <x v="0"/>
    <x v="4"/>
    <x v="0"/>
    <x v="2"/>
  </r>
  <r>
    <s v="Call_7404"/>
    <x v="14"/>
    <x v="87"/>
    <x v="1"/>
    <x v="49"/>
    <n v="35"/>
    <n v="4.8"/>
    <x v="0"/>
    <x v="5"/>
    <x v="1"/>
    <x v="0"/>
  </r>
  <r>
    <s v="Call_7405"/>
    <x v="3"/>
    <x v="88"/>
    <x v="0"/>
    <x v="49"/>
    <n v="200"/>
    <n v="2"/>
    <x v="0"/>
    <x v="5"/>
    <x v="1"/>
    <x v="3"/>
  </r>
  <r>
    <s v="Call_7406"/>
    <x v="11"/>
    <x v="84"/>
    <x v="4"/>
    <x v="50"/>
    <n v="150"/>
    <n v="4.5999999999999996"/>
    <x v="0"/>
    <x v="6"/>
    <x v="0"/>
    <x v="0"/>
  </r>
  <r>
    <s v="Call_7407"/>
    <x v="9"/>
    <x v="63"/>
    <x v="0"/>
    <x v="50"/>
    <n v="21"/>
    <n v="2.6"/>
    <x v="0"/>
    <x v="6"/>
    <x v="0"/>
    <x v="1"/>
  </r>
  <r>
    <s v="Call_7408"/>
    <x v="13"/>
    <x v="89"/>
    <x v="3"/>
    <x v="51"/>
    <n v="46"/>
    <n v="4.9000000000000004"/>
    <x v="0"/>
    <x v="0"/>
    <x v="1"/>
    <x v="0"/>
  </r>
  <r>
    <s v="Call_7409"/>
    <x v="12"/>
    <x v="9"/>
    <x v="2"/>
    <x v="51"/>
    <n v="165"/>
    <n v="2.7"/>
    <x v="0"/>
    <x v="0"/>
    <x v="0"/>
    <x v="1"/>
  </r>
  <r>
    <s v="Call_7410"/>
    <x v="10"/>
    <x v="90"/>
    <x v="0"/>
    <x v="51"/>
    <n v="84"/>
    <n v="4.0999999999999996"/>
    <x v="0"/>
    <x v="0"/>
    <x v="0"/>
    <x v="2"/>
  </r>
  <r>
    <s v="Call_7411"/>
    <x v="1"/>
    <x v="91"/>
    <x v="2"/>
    <x v="52"/>
    <n v="102"/>
    <n v="4.4000000000000004"/>
    <x v="0"/>
    <x v="1"/>
    <x v="4"/>
    <x v="2"/>
  </r>
  <r>
    <s v="Call_7412"/>
    <x v="10"/>
    <x v="92"/>
    <x v="0"/>
    <x v="52"/>
    <n v="180"/>
    <n v="4.8"/>
    <x v="0"/>
    <x v="1"/>
    <x v="1"/>
    <x v="0"/>
  </r>
  <r>
    <s v="Call_7413"/>
    <x v="9"/>
    <x v="60"/>
    <x v="3"/>
    <x v="53"/>
    <n v="111"/>
    <n v="3"/>
    <x v="0"/>
    <x v="2"/>
    <x v="2"/>
    <x v="1"/>
  </r>
  <r>
    <s v="Call_7414"/>
    <x v="9"/>
    <x v="51"/>
    <x v="4"/>
    <x v="53"/>
    <n v="104"/>
    <n v="3.1"/>
    <x v="0"/>
    <x v="2"/>
    <x v="0"/>
    <x v="1"/>
  </r>
  <r>
    <s v="Call_7415"/>
    <x v="2"/>
    <x v="93"/>
    <x v="2"/>
    <x v="53"/>
    <n v="80"/>
    <n v="2.6"/>
    <x v="0"/>
    <x v="2"/>
    <x v="2"/>
    <x v="1"/>
  </r>
  <r>
    <s v="Call_7416"/>
    <x v="4"/>
    <x v="23"/>
    <x v="4"/>
    <x v="54"/>
    <n v="132"/>
    <n v="4.5999999999999996"/>
    <x v="0"/>
    <x v="3"/>
    <x v="1"/>
    <x v="0"/>
  </r>
  <r>
    <s v="Call_7417"/>
    <x v="4"/>
    <x v="31"/>
    <x v="3"/>
    <x v="54"/>
    <n v="170"/>
    <n v="3.7"/>
    <x v="0"/>
    <x v="3"/>
    <x v="0"/>
    <x v="2"/>
  </r>
  <r>
    <s v="Call_7418"/>
    <x v="10"/>
    <x v="94"/>
    <x v="1"/>
    <x v="54"/>
    <n v="36"/>
    <n v="3.8"/>
    <x v="0"/>
    <x v="3"/>
    <x v="1"/>
    <x v="2"/>
  </r>
  <r>
    <s v="Call_7419"/>
    <x v="8"/>
    <x v="34"/>
    <x v="4"/>
    <x v="54"/>
    <n v="126"/>
    <n v="3.6"/>
    <x v="0"/>
    <x v="3"/>
    <x v="0"/>
    <x v="2"/>
  </r>
  <r>
    <s v="Call_7420"/>
    <x v="11"/>
    <x v="72"/>
    <x v="2"/>
    <x v="54"/>
    <n v="215"/>
    <n v="4.4000000000000004"/>
    <x v="0"/>
    <x v="3"/>
    <x v="1"/>
    <x v="2"/>
  </r>
  <r>
    <s v="Call_7421"/>
    <x v="8"/>
    <x v="65"/>
    <x v="3"/>
    <x v="54"/>
    <n v="114"/>
    <n v="3.2"/>
    <x v="0"/>
    <x v="3"/>
    <x v="1"/>
    <x v="1"/>
  </r>
  <r>
    <s v="Call_7422"/>
    <x v="8"/>
    <x v="62"/>
    <x v="3"/>
    <x v="54"/>
    <n v="99"/>
    <n v="4.7"/>
    <x v="0"/>
    <x v="3"/>
    <x v="2"/>
    <x v="0"/>
  </r>
  <r>
    <s v="Call_7423"/>
    <x v="6"/>
    <x v="59"/>
    <x v="3"/>
    <x v="55"/>
    <n v="23"/>
    <n v="4.8"/>
    <x v="0"/>
    <x v="4"/>
    <x v="0"/>
    <x v="0"/>
  </r>
  <r>
    <s v="Call_7424"/>
    <x v="3"/>
    <x v="6"/>
    <x v="4"/>
    <x v="55"/>
    <n v="75"/>
    <n v="2.7"/>
    <x v="0"/>
    <x v="4"/>
    <x v="0"/>
    <x v="1"/>
  </r>
  <r>
    <s v="Call_7425"/>
    <x v="8"/>
    <x v="11"/>
    <x v="2"/>
    <x v="55"/>
    <n v="100"/>
    <n v="3.8"/>
    <x v="0"/>
    <x v="4"/>
    <x v="0"/>
    <x v="2"/>
  </r>
  <r>
    <s v="Call_7426"/>
    <x v="10"/>
    <x v="32"/>
    <x v="1"/>
    <x v="55"/>
    <n v="108"/>
    <n v="4.3"/>
    <x v="0"/>
    <x v="4"/>
    <x v="0"/>
    <x v="2"/>
  </r>
  <r>
    <s v="Call_7427"/>
    <x v="1"/>
    <x v="74"/>
    <x v="1"/>
    <x v="55"/>
    <n v="108"/>
    <n v="5"/>
    <x v="0"/>
    <x v="4"/>
    <x v="0"/>
    <x v="0"/>
  </r>
  <r>
    <s v="Call_7428"/>
    <x v="3"/>
    <x v="95"/>
    <x v="1"/>
    <x v="55"/>
    <n v="28"/>
    <n v="4.8"/>
    <x v="0"/>
    <x v="4"/>
    <x v="0"/>
    <x v="0"/>
  </r>
  <r>
    <s v="Call_7429"/>
    <x v="9"/>
    <x v="96"/>
    <x v="0"/>
    <x v="56"/>
    <n v="70"/>
    <n v="4.9000000000000004"/>
    <x v="0"/>
    <x v="5"/>
    <x v="0"/>
    <x v="0"/>
  </r>
  <r>
    <s v="Call_7430"/>
    <x v="2"/>
    <x v="90"/>
    <x v="0"/>
    <x v="56"/>
    <n v="172"/>
    <n v="4.0999999999999996"/>
    <x v="0"/>
    <x v="5"/>
    <x v="0"/>
    <x v="2"/>
  </r>
  <r>
    <s v="Call_7431"/>
    <x v="1"/>
    <x v="97"/>
    <x v="2"/>
    <x v="56"/>
    <n v="123"/>
    <n v="4.4000000000000004"/>
    <x v="0"/>
    <x v="5"/>
    <x v="0"/>
    <x v="2"/>
  </r>
  <r>
    <s v="Call_7432"/>
    <x v="1"/>
    <x v="98"/>
    <x v="1"/>
    <x v="56"/>
    <n v="93"/>
    <n v="3.4"/>
    <x v="0"/>
    <x v="5"/>
    <x v="3"/>
    <x v="1"/>
  </r>
  <r>
    <s v="Call_7433"/>
    <x v="12"/>
    <x v="99"/>
    <x v="0"/>
    <x v="56"/>
    <n v="66"/>
    <n v="4"/>
    <x v="0"/>
    <x v="5"/>
    <x v="0"/>
    <x v="2"/>
  </r>
  <r>
    <s v="Call_7434"/>
    <x v="12"/>
    <x v="37"/>
    <x v="1"/>
    <x v="56"/>
    <n v="39"/>
    <n v="2.4"/>
    <x v="0"/>
    <x v="5"/>
    <x v="1"/>
    <x v="3"/>
  </r>
  <r>
    <s v="Call_7435"/>
    <x v="0"/>
    <x v="100"/>
    <x v="4"/>
    <x v="56"/>
    <n v="25"/>
    <n v="2.1"/>
    <x v="0"/>
    <x v="5"/>
    <x v="3"/>
    <x v="3"/>
  </r>
  <r>
    <s v="Call_7436"/>
    <x v="13"/>
    <x v="96"/>
    <x v="2"/>
    <x v="56"/>
    <n v="68"/>
    <n v="3"/>
    <x v="0"/>
    <x v="5"/>
    <x v="0"/>
    <x v="1"/>
  </r>
  <r>
    <s v="Call_7437"/>
    <x v="2"/>
    <x v="16"/>
    <x v="4"/>
    <x v="56"/>
    <n v="84"/>
    <n v="3.2"/>
    <x v="0"/>
    <x v="5"/>
    <x v="3"/>
    <x v="1"/>
  </r>
  <r>
    <s v="Call_7438"/>
    <x v="4"/>
    <x v="12"/>
    <x v="1"/>
    <x v="57"/>
    <n v="88"/>
    <n v="3.4"/>
    <x v="0"/>
    <x v="6"/>
    <x v="1"/>
    <x v="1"/>
  </r>
  <r>
    <s v="Call_7439"/>
    <x v="10"/>
    <x v="25"/>
    <x v="2"/>
    <x v="57"/>
    <n v="93"/>
    <n v="2.7"/>
    <x v="0"/>
    <x v="6"/>
    <x v="0"/>
    <x v="1"/>
  </r>
  <r>
    <s v="Call_7440"/>
    <x v="1"/>
    <x v="58"/>
    <x v="4"/>
    <x v="57"/>
    <n v="128"/>
    <n v="5"/>
    <x v="0"/>
    <x v="6"/>
    <x v="0"/>
    <x v="0"/>
  </r>
  <r>
    <s v="Call_7441"/>
    <x v="2"/>
    <x v="29"/>
    <x v="3"/>
    <x v="57"/>
    <n v="40"/>
    <n v="3.4"/>
    <x v="0"/>
    <x v="6"/>
    <x v="0"/>
    <x v="1"/>
  </r>
  <r>
    <s v="Call_7442"/>
    <x v="6"/>
    <x v="101"/>
    <x v="4"/>
    <x v="58"/>
    <n v="92"/>
    <n v="4.7"/>
    <x v="0"/>
    <x v="0"/>
    <x v="2"/>
    <x v="0"/>
  </r>
  <r>
    <s v="Call_7443"/>
    <x v="8"/>
    <x v="96"/>
    <x v="1"/>
    <x v="58"/>
    <n v="27"/>
    <n v="4.5"/>
    <x v="0"/>
    <x v="0"/>
    <x v="0"/>
    <x v="0"/>
  </r>
  <r>
    <s v="Call_7444"/>
    <x v="5"/>
    <x v="37"/>
    <x v="0"/>
    <x v="58"/>
    <n v="140"/>
    <n v="4.0999999999999996"/>
    <x v="0"/>
    <x v="0"/>
    <x v="1"/>
    <x v="2"/>
  </r>
  <r>
    <s v="Call_7445"/>
    <x v="12"/>
    <x v="19"/>
    <x v="2"/>
    <x v="58"/>
    <n v="40"/>
    <n v="5"/>
    <x v="0"/>
    <x v="0"/>
    <x v="0"/>
    <x v="0"/>
  </r>
  <r>
    <s v="Call_7446"/>
    <x v="14"/>
    <x v="51"/>
    <x v="4"/>
    <x v="58"/>
    <n v="102"/>
    <n v="4.7"/>
    <x v="0"/>
    <x v="0"/>
    <x v="0"/>
    <x v="0"/>
  </r>
  <r>
    <s v="Call_7447"/>
    <x v="5"/>
    <x v="97"/>
    <x v="0"/>
    <x v="58"/>
    <n v="42"/>
    <n v="4.2"/>
    <x v="0"/>
    <x v="0"/>
    <x v="0"/>
    <x v="2"/>
  </r>
  <r>
    <s v="Call_7448"/>
    <x v="10"/>
    <x v="93"/>
    <x v="1"/>
    <x v="59"/>
    <n v="210"/>
    <n v="3.9"/>
    <x v="0"/>
    <x v="1"/>
    <x v="2"/>
    <x v="2"/>
  </r>
  <r>
    <s v="Call_7449"/>
    <x v="5"/>
    <x v="88"/>
    <x v="2"/>
    <x v="59"/>
    <n v="34"/>
    <n v="3"/>
    <x v="0"/>
    <x v="1"/>
    <x v="1"/>
    <x v="1"/>
  </r>
  <r>
    <s v="Call_7450"/>
    <x v="12"/>
    <x v="21"/>
    <x v="3"/>
    <x v="59"/>
    <n v="215"/>
    <n v="3.6"/>
    <x v="0"/>
    <x v="1"/>
    <x v="0"/>
    <x v="2"/>
  </r>
  <r>
    <s v="Call_7451"/>
    <x v="9"/>
    <x v="63"/>
    <x v="3"/>
    <x v="59"/>
    <n v="32"/>
    <n v="0.7"/>
    <x v="0"/>
    <x v="1"/>
    <x v="0"/>
    <x v="5"/>
  </r>
  <r>
    <s v="Call_7452"/>
    <x v="4"/>
    <x v="86"/>
    <x v="1"/>
    <x v="60"/>
    <n v="48"/>
    <n v="4.7"/>
    <x v="0"/>
    <x v="2"/>
    <x v="0"/>
    <x v="0"/>
  </r>
  <r>
    <s v="Call_7453"/>
    <x v="5"/>
    <x v="53"/>
    <x v="1"/>
    <x v="60"/>
    <n v="132"/>
    <n v="4.5"/>
    <x v="0"/>
    <x v="2"/>
    <x v="0"/>
    <x v="0"/>
  </r>
  <r>
    <s v="Call_7454"/>
    <x v="8"/>
    <x v="6"/>
    <x v="0"/>
    <x v="60"/>
    <n v="172"/>
    <n v="4.3"/>
    <x v="0"/>
    <x v="2"/>
    <x v="0"/>
    <x v="2"/>
  </r>
  <r>
    <s v="Call_7455"/>
    <x v="8"/>
    <x v="29"/>
    <x v="0"/>
    <x v="60"/>
    <n v="111"/>
    <n v="3.4"/>
    <x v="0"/>
    <x v="2"/>
    <x v="0"/>
    <x v="1"/>
  </r>
  <r>
    <s v="Call_7456"/>
    <x v="7"/>
    <x v="102"/>
    <x v="0"/>
    <x v="60"/>
    <n v="58"/>
    <n v="3.6"/>
    <x v="0"/>
    <x v="2"/>
    <x v="0"/>
    <x v="2"/>
  </r>
  <r>
    <s v="Call_7457"/>
    <x v="7"/>
    <x v="103"/>
    <x v="3"/>
    <x v="60"/>
    <n v="68"/>
    <n v="4"/>
    <x v="0"/>
    <x v="2"/>
    <x v="2"/>
    <x v="2"/>
  </r>
  <r>
    <s v="Call_7458"/>
    <x v="8"/>
    <x v="104"/>
    <x v="2"/>
    <x v="60"/>
    <n v="160"/>
    <n v="4.5"/>
    <x v="0"/>
    <x v="2"/>
    <x v="1"/>
    <x v="0"/>
  </r>
  <r>
    <s v="Call_7459"/>
    <x v="13"/>
    <x v="24"/>
    <x v="4"/>
    <x v="60"/>
    <n v="45"/>
    <n v="3"/>
    <x v="0"/>
    <x v="2"/>
    <x v="0"/>
    <x v="1"/>
  </r>
  <r>
    <s v="Call_7460"/>
    <x v="14"/>
    <x v="6"/>
    <x v="1"/>
    <x v="61"/>
    <n v="117"/>
    <n v="3"/>
    <x v="0"/>
    <x v="3"/>
    <x v="0"/>
    <x v="1"/>
  </r>
  <r>
    <s v="Call_7461"/>
    <x v="10"/>
    <x v="105"/>
    <x v="0"/>
    <x v="62"/>
    <n v="22"/>
    <n v="1.6"/>
    <x v="0"/>
    <x v="4"/>
    <x v="3"/>
    <x v="3"/>
  </r>
  <r>
    <s v="Call_7462"/>
    <x v="14"/>
    <x v="29"/>
    <x v="4"/>
    <x v="62"/>
    <n v="195"/>
    <n v="3"/>
    <x v="0"/>
    <x v="4"/>
    <x v="0"/>
    <x v="1"/>
  </r>
  <r>
    <s v="Call_7463"/>
    <x v="7"/>
    <x v="24"/>
    <x v="2"/>
    <x v="62"/>
    <n v="168"/>
    <n v="3.7"/>
    <x v="0"/>
    <x v="4"/>
    <x v="0"/>
    <x v="2"/>
  </r>
  <r>
    <s v="Call_7464"/>
    <x v="5"/>
    <x v="106"/>
    <x v="3"/>
    <x v="63"/>
    <n v="46"/>
    <n v="4.9000000000000004"/>
    <x v="0"/>
    <x v="5"/>
    <x v="0"/>
    <x v="0"/>
  </r>
  <r>
    <s v="Call_7465"/>
    <x v="1"/>
    <x v="23"/>
    <x v="0"/>
    <x v="63"/>
    <n v="164"/>
    <n v="3.4"/>
    <x v="0"/>
    <x v="5"/>
    <x v="1"/>
    <x v="1"/>
  </r>
  <r>
    <s v="Call_7466"/>
    <x v="5"/>
    <x v="47"/>
    <x v="3"/>
    <x v="63"/>
    <n v="48"/>
    <n v="5"/>
    <x v="0"/>
    <x v="5"/>
    <x v="0"/>
    <x v="0"/>
  </r>
  <r>
    <s v="Call_7467"/>
    <x v="2"/>
    <x v="28"/>
    <x v="1"/>
    <x v="63"/>
    <n v="96"/>
    <n v="5"/>
    <x v="0"/>
    <x v="5"/>
    <x v="0"/>
    <x v="0"/>
  </r>
  <r>
    <s v="Call_7468"/>
    <x v="5"/>
    <x v="51"/>
    <x v="3"/>
    <x v="63"/>
    <n v="105"/>
    <n v="4"/>
    <x v="0"/>
    <x v="5"/>
    <x v="0"/>
    <x v="2"/>
  </r>
  <r>
    <s v="Call_7469"/>
    <x v="1"/>
    <x v="41"/>
    <x v="3"/>
    <x v="64"/>
    <n v="44"/>
    <n v="3.6"/>
    <x v="0"/>
    <x v="6"/>
    <x v="0"/>
    <x v="2"/>
  </r>
  <r>
    <s v="Call_7470"/>
    <x v="0"/>
    <x v="107"/>
    <x v="2"/>
    <x v="64"/>
    <n v="132"/>
    <n v="3.7"/>
    <x v="0"/>
    <x v="6"/>
    <x v="0"/>
    <x v="2"/>
  </r>
  <r>
    <s v="Call_7471"/>
    <x v="2"/>
    <x v="5"/>
    <x v="0"/>
    <x v="64"/>
    <n v="54"/>
    <n v="4.2"/>
    <x v="0"/>
    <x v="6"/>
    <x v="0"/>
    <x v="2"/>
  </r>
  <r>
    <s v="Call_7472"/>
    <x v="13"/>
    <x v="108"/>
    <x v="4"/>
    <x v="64"/>
    <n v="129"/>
    <n v="2.1"/>
    <x v="0"/>
    <x v="6"/>
    <x v="2"/>
    <x v="3"/>
  </r>
  <r>
    <s v="Call_7473"/>
    <x v="13"/>
    <x v="47"/>
    <x v="3"/>
    <x v="64"/>
    <n v="42"/>
    <n v="4"/>
    <x v="0"/>
    <x v="6"/>
    <x v="0"/>
    <x v="2"/>
  </r>
  <r>
    <s v="Call_7474"/>
    <x v="9"/>
    <x v="45"/>
    <x v="3"/>
    <x v="64"/>
    <n v="42"/>
    <n v="4.2"/>
    <x v="0"/>
    <x v="6"/>
    <x v="0"/>
    <x v="2"/>
  </r>
  <r>
    <s v="Call_7475"/>
    <x v="7"/>
    <x v="104"/>
    <x v="0"/>
    <x v="64"/>
    <n v="180"/>
    <n v="3.1"/>
    <x v="0"/>
    <x v="6"/>
    <x v="1"/>
    <x v="1"/>
  </r>
  <r>
    <s v="Call_7476"/>
    <x v="4"/>
    <x v="21"/>
    <x v="3"/>
    <x v="65"/>
    <n v="34"/>
    <n v="4.8"/>
    <x v="0"/>
    <x v="0"/>
    <x v="0"/>
    <x v="0"/>
  </r>
  <r>
    <s v="Call_7477"/>
    <x v="14"/>
    <x v="91"/>
    <x v="4"/>
    <x v="65"/>
    <n v="29"/>
    <n v="4.7"/>
    <x v="0"/>
    <x v="0"/>
    <x v="4"/>
    <x v="0"/>
  </r>
  <r>
    <s v="Call_7478"/>
    <x v="12"/>
    <x v="109"/>
    <x v="1"/>
    <x v="65"/>
    <n v="165"/>
    <n v="3.3"/>
    <x v="0"/>
    <x v="0"/>
    <x v="2"/>
    <x v="1"/>
  </r>
  <r>
    <s v="Call_7479"/>
    <x v="14"/>
    <x v="110"/>
    <x v="3"/>
    <x v="66"/>
    <n v="32"/>
    <n v="3.7"/>
    <x v="0"/>
    <x v="1"/>
    <x v="1"/>
    <x v="2"/>
  </r>
  <r>
    <s v="Call_7480"/>
    <x v="13"/>
    <x v="84"/>
    <x v="2"/>
    <x v="66"/>
    <n v="160"/>
    <n v="4.9000000000000004"/>
    <x v="0"/>
    <x v="1"/>
    <x v="0"/>
    <x v="0"/>
  </r>
  <r>
    <s v="Call_7481"/>
    <x v="7"/>
    <x v="111"/>
    <x v="0"/>
    <x v="66"/>
    <n v="140"/>
    <n v="3.5"/>
    <x v="0"/>
    <x v="1"/>
    <x v="1"/>
    <x v="2"/>
  </r>
  <r>
    <s v="Call_7482"/>
    <x v="12"/>
    <x v="61"/>
    <x v="0"/>
    <x v="66"/>
    <n v="136"/>
    <n v="4.4000000000000004"/>
    <x v="0"/>
    <x v="1"/>
    <x v="1"/>
    <x v="2"/>
  </r>
  <r>
    <s v="Call_7483"/>
    <x v="2"/>
    <x v="106"/>
    <x v="4"/>
    <x v="66"/>
    <n v="66"/>
    <n v="2.8"/>
    <x v="0"/>
    <x v="1"/>
    <x v="0"/>
    <x v="1"/>
  </r>
  <r>
    <s v="Call_7484"/>
    <x v="12"/>
    <x v="36"/>
    <x v="2"/>
    <x v="67"/>
    <n v="63"/>
    <n v="4.0999999999999996"/>
    <x v="0"/>
    <x v="2"/>
    <x v="3"/>
    <x v="2"/>
  </r>
  <r>
    <s v="Call_7485"/>
    <x v="0"/>
    <x v="112"/>
    <x v="3"/>
    <x v="67"/>
    <n v="44"/>
    <n v="3.5"/>
    <x v="0"/>
    <x v="2"/>
    <x v="1"/>
    <x v="2"/>
  </r>
  <r>
    <s v="Call_7486"/>
    <x v="7"/>
    <x v="16"/>
    <x v="1"/>
    <x v="67"/>
    <n v="78"/>
    <n v="3.8"/>
    <x v="0"/>
    <x v="2"/>
    <x v="3"/>
    <x v="2"/>
  </r>
  <r>
    <s v="Call_7487"/>
    <x v="7"/>
    <x v="1"/>
    <x v="3"/>
    <x v="67"/>
    <n v="20"/>
    <n v="3.9"/>
    <x v="0"/>
    <x v="2"/>
    <x v="0"/>
    <x v="2"/>
  </r>
  <r>
    <s v="Call_7488"/>
    <x v="14"/>
    <x v="83"/>
    <x v="4"/>
    <x v="67"/>
    <n v="84"/>
    <n v="2.5"/>
    <x v="0"/>
    <x v="2"/>
    <x v="0"/>
    <x v="1"/>
  </r>
  <r>
    <s v="Call_7489"/>
    <x v="8"/>
    <x v="2"/>
    <x v="4"/>
    <x v="67"/>
    <n v="32"/>
    <n v="4.9000000000000004"/>
    <x v="0"/>
    <x v="2"/>
    <x v="0"/>
    <x v="0"/>
  </r>
  <r>
    <s v="Call_7490"/>
    <x v="9"/>
    <x v="113"/>
    <x v="1"/>
    <x v="67"/>
    <n v="132"/>
    <n v="3.4"/>
    <x v="0"/>
    <x v="2"/>
    <x v="0"/>
    <x v="1"/>
  </r>
  <r>
    <s v="Call_7491"/>
    <x v="9"/>
    <x v="47"/>
    <x v="0"/>
    <x v="67"/>
    <n v="105"/>
    <n v="3.3"/>
    <x v="0"/>
    <x v="2"/>
    <x v="0"/>
    <x v="1"/>
  </r>
  <r>
    <s v="Call_7492"/>
    <x v="1"/>
    <x v="12"/>
    <x v="3"/>
    <x v="68"/>
    <n v="48"/>
    <n v="4.7"/>
    <x v="0"/>
    <x v="3"/>
    <x v="1"/>
    <x v="0"/>
  </r>
  <r>
    <s v="Call_7493"/>
    <x v="7"/>
    <x v="44"/>
    <x v="3"/>
    <x v="68"/>
    <n v="64"/>
    <n v="4"/>
    <x v="0"/>
    <x v="3"/>
    <x v="2"/>
    <x v="2"/>
  </r>
  <r>
    <s v="Call_7494"/>
    <x v="10"/>
    <x v="87"/>
    <x v="0"/>
    <x v="68"/>
    <n v="44"/>
    <n v="3.8"/>
    <x v="0"/>
    <x v="3"/>
    <x v="1"/>
    <x v="2"/>
  </r>
  <r>
    <s v="Call_7495"/>
    <x v="1"/>
    <x v="68"/>
    <x v="1"/>
    <x v="68"/>
    <n v="120"/>
    <n v="3.1"/>
    <x v="0"/>
    <x v="3"/>
    <x v="2"/>
    <x v="1"/>
  </r>
  <r>
    <s v="Call_7496"/>
    <x v="10"/>
    <x v="33"/>
    <x v="1"/>
    <x v="68"/>
    <n v="144"/>
    <n v="4.8"/>
    <x v="0"/>
    <x v="3"/>
    <x v="0"/>
    <x v="0"/>
  </r>
  <r>
    <s v="Call_7497"/>
    <x v="9"/>
    <x v="83"/>
    <x v="1"/>
    <x v="68"/>
    <n v="87"/>
    <n v="2.7"/>
    <x v="0"/>
    <x v="3"/>
    <x v="0"/>
    <x v="1"/>
  </r>
  <r>
    <s v="Call_7498"/>
    <x v="4"/>
    <x v="114"/>
    <x v="4"/>
    <x v="68"/>
    <n v="36"/>
    <n v="3.6"/>
    <x v="0"/>
    <x v="3"/>
    <x v="1"/>
    <x v="2"/>
  </r>
  <r>
    <s v="Call_7499"/>
    <x v="9"/>
    <x v="31"/>
    <x v="3"/>
    <x v="69"/>
    <n v="72"/>
    <n v="4.7"/>
    <x v="0"/>
    <x v="4"/>
    <x v="0"/>
    <x v="0"/>
  </r>
  <r>
    <s v="Call_7500"/>
    <x v="13"/>
    <x v="76"/>
    <x v="0"/>
    <x v="69"/>
    <n v="150"/>
    <n v="4.4000000000000004"/>
    <x v="0"/>
    <x v="4"/>
    <x v="1"/>
    <x v="2"/>
  </r>
  <r>
    <s v="Call_7501"/>
    <x v="3"/>
    <x v="73"/>
    <x v="1"/>
    <x v="69"/>
    <n v="68"/>
    <n v="4.3"/>
    <x v="0"/>
    <x v="4"/>
    <x v="2"/>
    <x v="2"/>
  </r>
  <r>
    <s v="Call_7502"/>
    <x v="1"/>
    <x v="30"/>
    <x v="0"/>
    <x v="69"/>
    <n v="99"/>
    <n v="4.9000000000000004"/>
    <x v="0"/>
    <x v="4"/>
    <x v="0"/>
    <x v="0"/>
  </r>
  <r>
    <s v="Call_7503"/>
    <x v="4"/>
    <x v="17"/>
    <x v="1"/>
    <x v="69"/>
    <n v="26"/>
    <n v="4.8"/>
    <x v="0"/>
    <x v="4"/>
    <x v="2"/>
    <x v="0"/>
  </r>
  <r>
    <s v="Call_7504"/>
    <x v="9"/>
    <x v="38"/>
    <x v="1"/>
    <x v="69"/>
    <n v="88"/>
    <n v="3.2"/>
    <x v="0"/>
    <x v="4"/>
    <x v="0"/>
    <x v="1"/>
  </r>
  <r>
    <s v="Call_7505"/>
    <x v="5"/>
    <x v="41"/>
    <x v="1"/>
    <x v="69"/>
    <n v="124"/>
    <n v="3.4"/>
    <x v="0"/>
    <x v="4"/>
    <x v="0"/>
    <x v="1"/>
  </r>
  <r>
    <s v="Call_7506"/>
    <x v="10"/>
    <x v="5"/>
    <x v="1"/>
    <x v="69"/>
    <n v="72"/>
    <n v="3.5"/>
    <x v="0"/>
    <x v="4"/>
    <x v="0"/>
    <x v="2"/>
  </r>
  <r>
    <s v="Call_7507"/>
    <x v="0"/>
    <x v="102"/>
    <x v="2"/>
    <x v="70"/>
    <n v="125"/>
    <n v="4.9000000000000004"/>
    <x v="0"/>
    <x v="5"/>
    <x v="0"/>
    <x v="0"/>
  </r>
  <r>
    <s v="Call_7508"/>
    <x v="6"/>
    <x v="90"/>
    <x v="0"/>
    <x v="70"/>
    <n v="22"/>
    <n v="4.0999999999999996"/>
    <x v="0"/>
    <x v="5"/>
    <x v="0"/>
    <x v="2"/>
  </r>
  <r>
    <s v="Call_7509"/>
    <x v="2"/>
    <x v="34"/>
    <x v="3"/>
    <x v="71"/>
    <n v="70"/>
    <n v="4.9000000000000004"/>
    <x v="0"/>
    <x v="6"/>
    <x v="0"/>
    <x v="0"/>
  </r>
  <r>
    <s v="Call_7510"/>
    <x v="11"/>
    <x v="101"/>
    <x v="1"/>
    <x v="71"/>
    <n v="24"/>
    <n v="4.3"/>
    <x v="0"/>
    <x v="6"/>
    <x v="2"/>
    <x v="2"/>
  </r>
  <r>
    <s v="Call_7511"/>
    <x v="7"/>
    <x v="29"/>
    <x v="4"/>
    <x v="71"/>
    <n v="32"/>
    <n v="4.0999999999999996"/>
    <x v="0"/>
    <x v="6"/>
    <x v="0"/>
    <x v="2"/>
  </r>
  <r>
    <s v="Call_7512"/>
    <x v="13"/>
    <x v="32"/>
    <x v="2"/>
    <x v="71"/>
    <n v="112"/>
    <n v="4.4000000000000004"/>
    <x v="0"/>
    <x v="6"/>
    <x v="0"/>
    <x v="2"/>
  </r>
  <r>
    <s v="Call_7513"/>
    <x v="6"/>
    <x v="20"/>
    <x v="1"/>
    <x v="72"/>
    <n v="43"/>
    <n v="4.5"/>
    <x v="0"/>
    <x v="0"/>
    <x v="2"/>
    <x v="0"/>
  </r>
  <r>
    <s v="Call_7514"/>
    <x v="10"/>
    <x v="5"/>
    <x v="2"/>
    <x v="72"/>
    <n v="22"/>
    <n v="3.5"/>
    <x v="0"/>
    <x v="0"/>
    <x v="0"/>
    <x v="2"/>
  </r>
  <r>
    <s v="Call_7515"/>
    <x v="9"/>
    <x v="115"/>
    <x v="2"/>
    <x v="72"/>
    <n v="93"/>
    <n v="4.4000000000000004"/>
    <x v="0"/>
    <x v="0"/>
    <x v="1"/>
    <x v="2"/>
  </r>
  <r>
    <s v="Call_7516"/>
    <x v="6"/>
    <x v="19"/>
    <x v="2"/>
    <x v="72"/>
    <n v="45"/>
    <n v="3.5"/>
    <x v="0"/>
    <x v="0"/>
    <x v="0"/>
    <x v="2"/>
  </r>
  <r>
    <s v="Call_7517"/>
    <x v="1"/>
    <x v="116"/>
    <x v="2"/>
    <x v="73"/>
    <n v="96"/>
    <n v="3.8"/>
    <x v="0"/>
    <x v="1"/>
    <x v="1"/>
    <x v="2"/>
  </r>
  <r>
    <s v="Call_7518"/>
    <x v="1"/>
    <x v="34"/>
    <x v="1"/>
    <x v="73"/>
    <n v="96"/>
    <n v="3.3"/>
    <x v="0"/>
    <x v="1"/>
    <x v="0"/>
    <x v="1"/>
  </r>
  <r>
    <s v="Call_7519"/>
    <x v="2"/>
    <x v="108"/>
    <x v="0"/>
    <x v="73"/>
    <n v="31"/>
    <n v="4.4000000000000004"/>
    <x v="0"/>
    <x v="1"/>
    <x v="2"/>
    <x v="2"/>
  </r>
  <r>
    <s v="Call_7520"/>
    <x v="4"/>
    <x v="13"/>
    <x v="1"/>
    <x v="73"/>
    <n v="200"/>
    <n v="3.9"/>
    <x v="0"/>
    <x v="1"/>
    <x v="2"/>
    <x v="2"/>
  </r>
  <r>
    <s v="Call_7521"/>
    <x v="1"/>
    <x v="71"/>
    <x v="0"/>
    <x v="73"/>
    <n v="99"/>
    <n v="2.7"/>
    <x v="0"/>
    <x v="1"/>
    <x v="2"/>
    <x v="1"/>
  </r>
  <r>
    <s v="Call_7522"/>
    <x v="3"/>
    <x v="117"/>
    <x v="4"/>
    <x v="73"/>
    <n v="144"/>
    <n v="2.9"/>
    <x v="0"/>
    <x v="1"/>
    <x v="0"/>
    <x v="1"/>
  </r>
  <r>
    <s v="Call_7523"/>
    <x v="2"/>
    <x v="9"/>
    <x v="2"/>
    <x v="74"/>
    <n v="81"/>
    <n v="4"/>
    <x v="0"/>
    <x v="2"/>
    <x v="0"/>
    <x v="2"/>
  </r>
  <r>
    <s v="Call_7524"/>
    <x v="3"/>
    <x v="23"/>
    <x v="4"/>
    <x v="74"/>
    <n v="70"/>
    <n v="4.4000000000000004"/>
    <x v="0"/>
    <x v="2"/>
    <x v="1"/>
    <x v="2"/>
  </r>
  <r>
    <s v="Call_7525"/>
    <x v="1"/>
    <x v="47"/>
    <x v="4"/>
    <x v="74"/>
    <n v="148"/>
    <n v="5"/>
    <x v="0"/>
    <x v="2"/>
    <x v="0"/>
    <x v="0"/>
  </r>
  <r>
    <s v="Call_7526"/>
    <x v="5"/>
    <x v="44"/>
    <x v="2"/>
    <x v="74"/>
    <n v="215"/>
    <n v="4.0999999999999996"/>
    <x v="0"/>
    <x v="2"/>
    <x v="2"/>
    <x v="2"/>
  </r>
  <r>
    <s v="Call_7527"/>
    <x v="5"/>
    <x v="111"/>
    <x v="1"/>
    <x v="74"/>
    <n v="124"/>
    <n v="4.4000000000000004"/>
    <x v="0"/>
    <x v="2"/>
    <x v="1"/>
    <x v="2"/>
  </r>
  <r>
    <s v="Call_7528"/>
    <x v="10"/>
    <x v="97"/>
    <x v="3"/>
    <x v="74"/>
    <n v="168"/>
    <n v="4.0999999999999996"/>
    <x v="0"/>
    <x v="2"/>
    <x v="0"/>
    <x v="2"/>
  </r>
  <r>
    <s v="Call_7529"/>
    <x v="12"/>
    <x v="85"/>
    <x v="0"/>
    <x v="74"/>
    <n v="90"/>
    <n v="4.5"/>
    <x v="0"/>
    <x v="2"/>
    <x v="1"/>
    <x v="0"/>
  </r>
  <r>
    <s v="Call_7530"/>
    <x v="12"/>
    <x v="20"/>
    <x v="2"/>
    <x v="75"/>
    <n v="176"/>
    <n v="4.2"/>
    <x v="0"/>
    <x v="3"/>
    <x v="2"/>
    <x v="2"/>
  </r>
  <r>
    <s v="Call_7531"/>
    <x v="4"/>
    <x v="47"/>
    <x v="4"/>
    <x v="75"/>
    <n v="87"/>
    <n v="4.5999999999999996"/>
    <x v="0"/>
    <x v="3"/>
    <x v="0"/>
    <x v="0"/>
  </r>
  <r>
    <s v="Call_7532"/>
    <x v="9"/>
    <x v="44"/>
    <x v="1"/>
    <x v="75"/>
    <n v="128"/>
    <n v="4.5"/>
    <x v="0"/>
    <x v="3"/>
    <x v="2"/>
    <x v="0"/>
  </r>
  <r>
    <s v="Call_7533"/>
    <x v="14"/>
    <x v="92"/>
    <x v="4"/>
    <x v="75"/>
    <n v="120"/>
    <n v="4.0999999999999996"/>
    <x v="0"/>
    <x v="3"/>
    <x v="1"/>
    <x v="2"/>
  </r>
  <r>
    <s v="Call_7534"/>
    <x v="8"/>
    <x v="58"/>
    <x v="3"/>
    <x v="75"/>
    <n v="130"/>
    <n v="4.8"/>
    <x v="0"/>
    <x v="3"/>
    <x v="0"/>
    <x v="0"/>
  </r>
  <r>
    <s v="Call_7535"/>
    <x v="11"/>
    <x v="85"/>
    <x v="1"/>
    <x v="75"/>
    <n v="172"/>
    <n v="3.1"/>
    <x v="0"/>
    <x v="3"/>
    <x v="1"/>
    <x v="1"/>
  </r>
  <r>
    <s v="Call_7536"/>
    <x v="6"/>
    <x v="37"/>
    <x v="1"/>
    <x v="75"/>
    <n v="58"/>
    <n v="4.9000000000000004"/>
    <x v="0"/>
    <x v="3"/>
    <x v="1"/>
    <x v="0"/>
  </r>
  <r>
    <s v="Call_7537"/>
    <x v="5"/>
    <x v="75"/>
    <x v="3"/>
    <x v="76"/>
    <n v="86"/>
    <n v="4.0999999999999996"/>
    <x v="0"/>
    <x v="4"/>
    <x v="0"/>
    <x v="2"/>
  </r>
  <r>
    <s v="Call_7538"/>
    <x v="12"/>
    <x v="112"/>
    <x v="3"/>
    <x v="77"/>
    <n v="31"/>
    <n v="4.4000000000000004"/>
    <x v="0"/>
    <x v="5"/>
    <x v="1"/>
    <x v="2"/>
  </r>
  <r>
    <s v="Call_7539"/>
    <x v="2"/>
    <x v="107"/>
    <x v="4"/>
    <x v="77"/>
    <n v="72"/>
    <n v="4.4000000000000004"/>
    <x v="0"/>
    <x v="5"/>
    <x v="0"/>
    <x v="2"/>
  </r>
  <r>
    <s v="Call_7540"/>
    <x v="12"/>
    <x v="118"/>
    <x v="0"/>
    <x v="78"/>
    <n v="27"/>
    <n v="3"/>
    <x v="0"/>
    <x v="6"/>
    <x v="1"/>
    <x v="1"/>
  </r>
  <r>
    <s v="Call_7541"/>
    <x v="14"/>
    <x v="77"/>
    <x v="1"/>
    <x v="78"/>
    <n v="110"/>
    <n v="4.4000000000000004"/>
    <x v="0"/>
    <x v="6"/>
    <x v="0"/>
    <x v="2"/>
  </r>
  <r>
    <s v="Call_7542"/>
    <x v="10"/>
    <x v="53"/>
    <x v="4"/>
    <x v="78"/>
    <n v="126"/>
    <n v="3.7"/>
    <x v="0"/>
    <x v="6"/>
    <x v="0"/>
    <x v="2"/>
  </r>
  <r>
    <s v="Call_7543"/>
    <x v="9"/>
    <x v="40"/>
    <x v="0"/>
    <x v="78"/>
    <n v="60"/>
    <n v="3.9"/>
    <x v="0"/>
    <x v="6"/>
    <x v="1"/>
    <x v="2"/>
  </r>
  <r>
    <s v="Call_7544"/>
    <x v="12"/>
    <x v="82"/>
    <x v="4"/>
    <x v="78"/>
    <n v="35"/>
    <n v="3.5"/>
    <x v="0"/>
    <x v="6"/>
    <x v="2"/>
    <x v="2"/>
  </r>
  <r>
    <s v="Call_7545"/>
    <x v="1"/>
    <x v="97"/>
    <x v="1"/>
    <x v="78"/>
    <n v="81"/>
    <n v="3.5"/>
    <x v="0"/>
    <x v="6"/>
    <x v="0"/>
    <x v="2"/>
  </r>
  <r>
    <s v="Call_7546"/>
    <x v="0"/>
    <x v="27"/>
    <x v="0"/>
    <x v="78"/>
    <n v="116"/>
    <n v="3.4"/>
    <x v="0"/>
    <x v="6"/>
    <x v="1"/>
    <x v="1"/>
  </r>
  <r>
    <s v="Call_7547"/>
    <x v="4"/>
    <x v="119"/>
    <x v="2"/>
    <x v="78"/>
    <n v="60"/>
    <n v="4.5"/>
    <x v="0"/>
    <x v="6"/>
    <x v="1"/>
    <x v="0"/>
  </r>
  <r>
    <s v="Call_7548"/>
    <x v="10"/>
    <x v="120"/>
    <x v="0"/>
    <x v="79"/>
    <n v="130"/>
    <n v="4.2"/>
    <x v="0"/>
    <x v="0"/>
    <x v="0"/>
    <x v="2"/>
  </r>
  <r>
    <s v="Call_7549"/>
    <x v="7"/>
    <x v="46"/>
    <x v="3"/>
    <x v="79"/>
    <n v="99"/>
    <n v="5"/>
    <x v="0"/>
    <x v="0"/>
    <x v="0"/>
    <x v="0"/>
  </r>
  <r>
    <s v="Call_7550"/>
    <x v="11"/>
    <x v="29"/>
    <x v="1"/>
    <x v="79"/>
    <n v="135"/>
    <n v="4.7"/>
    <x v="0"/>
    <x v="0"/>
    <x v="0"/>
    <x v="0"/>
  </r>
  <r>
    <s v="Call_7551"/>
    <x v="1"/>
    <x v="6"/>
    <x v="0"/>
    <x v="79"/>
    <n v="42"/>
    <n v="2.8"/>
    <x v="0"/>
    <x v="0"/>
    <x v="0"/>
    <x v="1"/>
  </r>
  <r>
    <s v="Call_7552"/>
    <x v="10"/>
    <x v="0"/>
    <x v="3"/>
    <x v="80"/>
    <n v="63"/>
    <n v="3.4"/>
    <x v="0"/>
    <x v="1"/>
    <x v="0"/>
    <x v="1"/>
  </r>
  <r>
    <s v="Call_7553"/>
    <x v="5"/>
    <x v="84"/>
    <x v="2"/>
    <x v="80"/>
    <n v="140"/>
    <n v="1.8"/>
    <x v="0"/>
    <x v="1"/>
    <x v="0"/>
    <x v="3"/>
  </r>
  <r>
    <s v="Call_7554"/>
    <x v="12"/>
    <x v="116"/>
    <x v="1"/>
    <x v="80"/>
    <n v="128"/>
    <n v="4.2"/>
    <x v="0"/>
    <x v="1"/>
    <x v="1"/>
    <x v="2"/>
  </r>
  <r>
    <s v="Call_7555"/>
    <x v="8"/>
    <x v="56"/>
    <x v="4"/>
    <x v="80"/>
    <n v="80"/>
    <n v="4.4000000000000004"/>
    <x v="0"/>
    <x v="1"/>
    <x v="1"/>
    <x v="2"/>
  </r>
  <r>
    <s v="Call_7556"/>
    <x v="4"/>
    <x v="48"/>
    <x v="3"/>
    <x v="80"/>
    <n v="28"/>
    <n v="2.7"/>
    <x v="0"/>
    <x v="1"/>
    <x v="0"/>
    <x v="1"/>
  </r>
  <r>
    <s v="Call_7557"/>
    <x v="11"/>
    <x v="121"/>
    <x v="2"/>
    <x v="81"/>
    <n v="81"/>
    <n v="5"/>
    <x v="0"/>
    <x v="2"/>
    <x v="2"/>
    <x v="0"/>
  </r>
  <r>
    <s v="Call_7558"/>
    <x v="1"/>
    <x v="76"/>
    <x v="1"/>
    <x v="81"/>
    <n v="99"/>
    <n v="3.9"/>
    <x v="0"/>
    <x v="2"/>
    <x v="1"/>
    <x v="2"/>
  </r>
  <r>
    <s v="Call_7559"/>
    <x v="5"/>
    <x v="67"/>
    <x v="1"/>
    <x v="81"/>
    <n v="43"/>
    <n v="3.8"/>
    <x v="0"/>
    <x v="2"/>
    <x v="0"/>
    <x v="2"/>
  </r>
  <r>
    <s v="Call_7560"/>
    <x v="7"/>
    <x v="101"/>
    <x v="1"/>
    <x v="81"/>
    <n v="34"/>
    <n v="4.5999999999999996"/>
    <x v="0"/>
    <x v="2"/>
    <x v="2"/>
    <x v="0"/>
  </r>
  <r>
    <s v="Call_7561"/>
    <x v="5"/>
    <x v="108"/>
    <x v="2"/>
    <x v="81"/>
    <n v="225"/>
    <n v="4.5999999999999996"/>
    <x v="0"/>
    <x v="2"/>
    <x v="2"/>
    <x v="0"/>
  </r>
  <r>
    <s v="Call_7562"/>
    <x v="11"/>
    <x v="44"/>
    <x v="4"/>
    <x v="81"/>
    <n v="210"/>
    <n v="4.5"/>
    <x v="0"/>
    <x v="2"/>
    <x v="2"/>
    <x v="0"/>
  </r>
  <r>
    <s v="Call_7563"/>
    <x v="12"/>
    <x v="78"/>
    <x v="1"/>
    <x v="81"/>
    <n v="168"/>
    <n v="4.2"/>
    <x v="0"/>
    <x v="2"/>
    <x v="3"/>
    <x v="2"/>
  </r>
  <r>
    <s v="Call_7564"/>
    <x v="7"/>
    <x v="47"/>
    <x v="0"/>
    <x v="82"/>
    <n v="82"/>
    <n v="4.5"/>
    <x v="0"/>
    <x v="3"/>
    <x v="0"/>
    <x v="0"/>
  </r>
  <r>
    <s v="Call_7565"/>
    <x v="2"/>
    <x v="108"/>
    <x v="3"/>
    <x v="82"/>
    <n v="88"/>
    <n v="4.0999999999999996"/>
    <x v="0"/>
    <x v="3"/>
    <x v="2"/>
    <x v="2"/>
  </r>
  <r>
    <s v="Call_7566"/>
    <x v="14"/>
    <x v="48"/>
    <x v="0"/>
    <x v="82"/>
    <n v="111"/>
    <n v="3.3"/>
    <x v="0"/>
    <x v="3"/>
    <x v="0"/>
    <x v="1"/>
  </r>
  <r>
    <s v="Call_7567"/>
    <x v="13"/>
    <x v="3"/>
    <x v="4"/>
    <x v="82"/>
    <n v="60"/>
    <n v="3.8"/>
    <x v="0"/>
    <x v="3"/>
    <x v="1"/>
    <x v="2"/>
  </r>
  <r>
    <s v="Call_7568"/>
    <x v="4"/>
    <x v="4"/>
    <x v="0"/>
    <x v="82"/>
    <n v="80"/>
    <n v="3"/>
    <x v="0"/>
    <x v="3"/>
    <x v="2"/>
    <x v="1"/>
  </r>
  <r>
    <s v="Call_7569"/>
    <x v="13"/>
    <x v="34"/>
    <x v="2"/>
    <x v="83"/>
    <n v="90"/>
    <n v="4.5999999999999996"/>
    <x v="0"/>
    <x v="5"/>
    <x v="0"/>
    <x v="0"/>
  </r>
  <r>
    <s v="Call_7570"/>
    <x v="9"/>
    <x v="69"/>
    <x v="0"/>
    <x v="83"/>
    <n v="225"/>
    <n v="2.9"/>
    <x v="0"/>
    <x v="5"/>
    <x v="0"/>
    <x v="1"/>
  </r>
  <r>
    <s v="Call_7571"/>
    <x v="0"/>
    <x v="73"/>
    <x v="1"/>
    <x v="84"/>
    <n v="215"/>
    <n v="3.2"/>
    <x v="0"/>
    <x v="6"/>
    <x v="2"/>
    <x v="1"/>
  </r>
  <r>
    <s v="Call_7572"/>
    <x v="3"/>
    <x v="60"/>
    <x v="2"/>
    <x v="84"/>
    <n v="45"/>
    <n v="1.5"/>
    <x v="0"/>
    <x v="6"/>
    <x v="2"/>
    <x v="3"/>
  </r>
  <r>
    <s v="Call_7573"/>
    <x v="6"/>
    <x v="15"/>
    <x v="1"/>
    <x v="84"/>
    <n v="74"/>
    <n v="4"/>
    <x v="0"/>
    <x v="6"/>
    <x v="0"/>
    <x v="2"/>
  </r>
  <r>
    <s v="Call_7574"/>
    <x v="2"/>
    <x v="105"/>
    <x v="2"/>
    <x v="84"/>
    <n v="60"/>
    <n v="3.6"/>
    <x v="0"/>
    <x v="6"/>
    <x v="3"/>
    <x v="2"/>
  </r>
  <r>
    <s v="Call_7575"/>
    <x v="7"/>
    <x v="83"/>
    <x v="1"/>
    <x v="84"/>
    <n v="64"/>
    <n v="3.7"/>
    <x v="0"/>
    <x v="6"/>
    <x v="0"/>
    <x v="2"/>
  </r>
  <r>
    <s v="Call_7576"/>
    <x v="12"/>
    <x v="51"/>
    <x v="0"/>
    <x v="85"/>
    <n v="110"/>
    <n v="4.8"/>
    <x v="0"/>
    <x v="0"/>
    <x v="0"/>
    <x v="0"/>
  </r>
  <r>
    <s v="Call_7577"/>
    <x v="1"/>
    <x v="48"/>
    <x v="4"/>
    <x v="85"/>
    <n v="52"/>
    <n v="1.2"/>
    <x v="0"/>
    <x v="0"/>
    <x v="0"/>
    <x v="5"/>
  </r>
  <r>
    <s v="Call_7578"/>
    <x v="2"/>
    <x v="22"/>
    <x v="3"/>
    <x v="86"/>
    <n v="160"/>
    <n v="4.7"/>
    <x v="0"/>
    <x v="1"/>
    <x v="0"/>
    <x v="0"/>
  </r>
  <r>
    <s v="Call_7579"/>
    <x v="10"/>
    <x v="65"/>
    <x v="3"/>
    <x v="86"/>
    <n v="215"/>
    <n v="4.7"/>
    <x v="0"/>
    <x v="1"/>
    <x v="1"/>
    <x v="0"/>
  </r>
  <r>
    <s v="Call_7580"/>
    <x v="10"/>
    <x v="101"/>
    <x v="4"/>
    <x v="86"/>
    <n v="220"/>
    <n v="4.5"/>
    <x v="0"/>
    <x v="1"/>
    <x v="2"/>
    <x v="0"/>
  </r>
  <r>
    <s v="Call_7581"/>
    <x v="6"/>
    <x v="75"/>
    <x v="1"/>
    <x v="87"/>
    <n v="175"/>
    <n v="3.5"/>
    <x v="0"/>
    <x v="2"/>
    <x v="0"/>
    <x v="2"/>
  </r>
  <r>
    <s v="Call_7582"/>
    <x v="12"/>
    <x v="32"/>
    <x v="1"/>
    <x v="87"/>
    <n v="145"/>
    <n v="4.0999999999999996"/>
    <x v="0"/>
    <x v="2"/>
    <x v="0"/>
    <x v="2"/>
  </r>
  <r>
    <s v="Call_7583"/>
    <x v="3"/>
    <x v="122"/>
    <x v="2"/>
    <x v="87"/>
    <n v="72"/>
    <n v="4.4000000000000004"/>
    <x v="0"/>
    <x v="2"/>
    <x v="1"/>
    <x v="2"/>
  </r>
  <r>
    <s v="Call_7584"/>
    <x v="5"/>
    <x v="18"/>
    <x v="1"/>
    <x v="88"/>
    <n v="81"/>
    <n v="3.6"/>
    <x v="0"/>
    <x v="3"/>
    <x v="2"/>
    <x v="2"/>
  </r>
  <r>
    <s v="Call_7585"/>
    <x v="11"/>
    <x v="49"/>
    <x v="4"/>
    <x v="88"/>
    <n v="54"/>
    <n v="4.0999999999999996"/>
    <x v="0"/>
    <x v="3"/>
    <x v="1"/>
    <x v="2"/>
  </r>
  <r>
    <s v="Call_7586"/>
    <x v="7"/>
    <x v="123"/>
    <x v="2"/>
    <x v="88"/>
    <n v="105"/>
    <n v="4.8"/>
    <x v="0"/>
    <x v="3"/>
    <x v="3"/>
    <x v="0"/>
  </r>
  <r>
    <s v="Call_7587"/>
    <x v="11"/>
    <x v="55"/>
    <x v="1"/>
    <x v="89"/>
    <n v="176"/>
    <n v="3.9"/>
    <x v="0"/>
    <x v="4"/>
    <x v="1"/>
    <x v="2"/>
  </r>
  <r>
    <s v="Call_7588"/>
    <x v="2"/>
    <x v="99"/>
    <x v="1"/>
    <x v="89"/>
    <n v="115"/>
    <n v="3.8"/>
    <x v="0"/>
    <x v="4"/>
    <x v="0"/>
    <x v="2"/>
  </r>
  <r>
    <s v="Call_7589"/>
    <x v="10"/>
    <x v="73"/>
    <x v="0"/>
    <x v="89"/>
    <n v="116"/>
    <n v="3.9"/>
    <x v="0"/>
    <x v="4"/>
    <x v="2"/>
    <x v="2"/>
  </r>
  <r>
    <s v="Call_7590"/>
    <x v="10"/>
    <x v="119"/>
    <x v="4"/>
    <x v="89"/>
    <n v="100"/>
    <n v="4.0999999999999996"/>
    <x v="0"/>
    <x v="4"/>
    <x v="1"/>
    <x v="2"/>
  </r>
  <r>
    <s v="Call_7591"/>
    <x v="9"/>
    <x v="50"/>
    <x v="4"/>
    <x v="90"/>
    <n v="36"/>
    <n v="2.2000000000000002"/>
    <x v="0"/>
    <x v="5"/>
    <x v="0"/>
    <x v="3"/>
  </r>
  <r>
    <s v="Call_7592"/>
    <x v="13"/>
    <x v="95"/>
    <x v="4"/>
    <x v="90"/>
    <n v="114"/>
    <n v="5"/>
    <x v="0"/>
    <x v="5"/>
    <x v="0"/>
    <x v="0"/>
  </r>
  <r>
    <s v="Call_7593"/>
    <x v="13"/>
    <x v="124"/>
    <x v="0"/>
    <x v="90"/>
    <n v="24"/>
    <n v="3.8"/>
    <x v="0"/>
    <x v="5"/>
    <x v="1"/>
    <x v="2"/>
  </r>
  <r>
    <s v="Call_7594"/>
    <x v="5"/>
    <x v="125"/>
    <x v="1"/>
    <x v="90"/>
    <n v="135"/>
    <n v="4.5999999999999996"/>
    <x v="0"/>
    <x v="5"/>
    <x v="2"/>
    <x v="0"/>
  </r>
  <r>
    <s v="Call_7595"/>
    <x v="11"/>
    <x v="33"/>
    <x v="1"/>
    <x v="90"/>
    <n v="30"/>
    <n v="4"/>
    <x v="0"/>
    <x v="5"/>
    <x v="0"/>
    <x v="2"/>
  </r>
  <r>
    <s v="Call_7596"/>
    <x v="1"/>
    <x v="29"/>
    <x v="1"/>
    <x v="90"/>
    <n v="84"/>
    <n v="2.8"/>
    <x v="0"/>
    <x v="5"/>
    <x v="0"/>
    <x v="1"/>
  </r>
  <r>
    <s v="Call_7597"/>
    <x v="14"/>
    <x v="95"/>
    <x v="3"/>
    <x v="90"/>
    <n v="42"/>
    <n v="4.4000000000000004"/>
    <x v="0"/>
    <x v="5"/>
    <x v="0"/>
    <x v="2"/>
  </r>
  <r>
    <s v="Call_7598"/>
    <x v="9"/>
    <x v="123"/>
    <x v="4"/>
    <x v="90"/>
    <n v="117"/>
    <n v="2.4"/>
    <x v="0"/>
    <x v="5"/>
    <x v="3"/>
    <x v="3"/>
  </r>
  <r>
    <s v="Call_7599"/>
    <x v="6"/>
    <x v="38"/>
    <x v="2"/>
    <x v="90"/>
    <n v="164"/>
    <n v="4"/>
    <x v="0"/>
    <x v="5"/>
    <x v="0"/>
    <x v="2"/>
  </r>
  <r>
    <s v="Call_7600"/>
    <x v="13"/>
    <x v="48"/>
    <x v="3"/>
    <x v="91"/>
    <n v="123"/>
    <n v="4.4000000000000004"/>
    <x v="0"/>
    <x v="6"/>
    <x v="0"/>
    <x v="2"/>
  </r>
  <r>
    <s v="Call_7601"/>
    <x v="4"/>
    <x v="4"/>
    <x v="0"/>
    <x v="91"/>
    <n v="172"/>
    <n v="2.9"/>
    <x v="0"/>
    <x v="6"/>
    <x v="2"/>
    <x v="1"/>
  </r>
  <r>
    <s v="Call_7602"/>
    <x v="12"/>
    <x v="126"/>
    <x v="4"/>
    <x v="91"/>
    <n v="20"/>
    <n v="4.8"/>
    <x v="0"/>
    <x v="6"/>
    <x v="4"/>
    <x v="0"/>
  </r>
  <r>
    <s v="Call_7603"/>
    <x v="13"/>
    <x v="43"/>
    <x v="0"/>
    <x v="91"/>
    <n v="72"/>
    <n v="3.7"/>
    <x v="0"/>
    <x v="6"/>
    <x v="1"/>
    <x v="2"/>
  </r>
  <r>
    <s v="Call_7604"/>
    <x v="2"/>
    <x v="33"/>
    <x v="1"/>
    <x v="91"/>
    <n v="32"/>
    <n v="4.8"/>
    <x v="0"/>
    <x v="6"/>
    <x v="0"/>
    <x v="0"/>
  </r>
  <r>
    <s v="Call_7605"/>
    <x v="9"/>
    <x v="113"/>
    <x v="3"/>
    <x v="91"/>
    <n v="140"/>
    <n v="3.2"/>
    <x v="0"/>
    <x v="6"/>
    <x v="0"/>
    <x v="1"/>
  </r>
  <r>
    <s v="Call_7606"/>
    <x v="2"/>
    <x v="42"/>
    <x v="1"/>
    <x v="92"/>
    <n v="120"/>
    <n v="4.9000000000000004"/>
    <x v="0"/>
    <x v="0"/>
    <x v="0"/>
    <x v="0"/>
  </r>
  <r>
    <s v="Call_7607"/>
    <x v="11"/>
    <x v="123"/>
    <x v="1"/>
    <x v="92"/>
    <n v="86"/>
    <n v="2.2000000000000002"/>
    <x v="0"/>
    <x v="0"/>
    <x v="3"/>
    <x v="3"/>
  </r>
  <r>
    <s v="Call_7608"/>
    <x v="1"/>
    <x v="53"/>
    <x v="1"/>
    <x v="92"/>
    <n v="132"/>
    <n v="5"/>
    <x v="0"/>
    <x v="0"/>
    <x v="0"/>
    <x v="0"/>
  </r>
  <r>
    <s v="Call_7609"/>
    <x v="10"/>
    <x v="90"/>
    <x v="1"/>
    <x v="92"/>
    <n v="80"/>
    <n v="3.3"/>
    <x v="0"/>
    <x v="0"/>
    <x v="0"/>
    <x v="1"/>
  </r>
  <r>
    <s v="Call_7610"/>
    <x v="8"/>
    <x v="68"/>
    <x v="0"/>
    <x v="92"/>
    <n v="132"/>
    <n v="3.7"/>
    <x v="0"/>
    <x v="0"/>
    <x v="2"/>
    <x v="2"/>
  </r>
  <r>
    <s v="Call_7611"/>
    <x v="2"/>
    <x v="71"/>
    <x v="3"/>
    <x v="92"/>
    <n v="27"/>
    <n v="3.7"/>
    <x v="0"/>
    <x v="0"/>
    <x v="2"/>
    <x v="2"/>
  </r>
  <r>
    <s v="Call_7612"/>
    <x v="6"/>
    <x v="38"/>
    <x v="3"/>
    <x v="93"/>
    <n v="68"/>
    <n v="3.6"/>
    <x v="0"/>
    <x v="1"/>
    <x v="0"/>
    <x v="2"/>
  </r>
  <r>
    <s v="Call_7613"/>
    <x v="8"/>
    <x v="0"/>
    <x v="1"/>
    <x v="93"/>
    <n v="22"/>
    <n v="4.7"/>
    <x v="0"/>
    <x v="1"/>
    <x v="0"/>
    <x v="0"/>
  </r>
  <r>
    <s v="Call_7614"/>
    <x v="11"/>
    <x v="15"/>
    <x v="3"/>
    <x v="93"/>
    <n v="42"/>
    <n v="3.1"/>
    <x v="0"/>
    <x v="1"/>
    <x v="0"/>
    <x v="1"/>
  </r>
  <r>
    <s v="Call_7615"/>
    <x v="6"/>
    <x v="5"/>
    <x v="3"/>
    <x v="94"/>
    <n v="38"/>
    <n v="3.3"/>
    <x v="0"/>
    <x v="2"/>
    <x v="0"/>
    <x v="1"/>
  </r>
  <r>
    <s v="Call_7616"/>
    <x v="12"/>
    <x v="127"/>
    <x v="3"/>
    <x v="94"/>
    <n v="42"/>
    <n v="4.5"/>
    <x v="0"/>
    <x v="2"/>
    <x v="1"/>
    <x v="0"/>
  </r>
  <r>
    <s v="Call_7617"/>
    <x v="5"/>
    <x v="128"/>
    <x v="0"/>
    <x v="94"/>
    <n v="75"/>
    <n v="3.9"/>
    <x v="0"/>
    <x v="2"/>
    <x v="3"/>
    <x v="2"/>
  </r>
  <r>
    <s v="Call_7618"/>
    <x v="12"/>
    <x v="93"/>
    <x v="4"/>
    <x v="95"/>
    <n v="23"/>
    <n v="4.9000000000000004"/>
    <x v="0"/>
    <x v="3"/>
    <x v="2"/>
    <x v="0"/>
  </r>
  <r>
    <s v="Call_7619"/>
    <x v="12"/>
    <x v="34"/>
    <x v="0"/>
    <x v="95"/>
    <n v="200"/>
    <n v="4.8"/>
    <x v="0"/>
    <x v="3"/>
    <x v="0"/>
    <x v="0"/>
  </r>
  <r>
    <s v="Call_7620"/>
    <x v="3"/>
    <x v="21"/>
    <x v="1"/>
    <x v="96"/>
    <n v="45"/>
    <n v="3.6"/>
    <x v="0"/>
    <x v="4"/>
    <x v="0"/>
    <x v="2"/>
  </r>
  <r>
    <s v="Call_7621"/>
    <x v="11"/>
    <x v="54"/>
    <x v="1"/>
    <x v="96"/>
    <n v="105"/>
    <n v="3.5"/>
    <x v="0"/>
    <x v="4"/>
    <x v="2"/>
    <x v="2"/>
  </r>
  <r>
    <s v="Call_7622"/>
    <x v="4"/>
    <x v="11"/>
    <x v="1"/>
    <x v="96"/>
    <n v="22"/>
    <n v="3.8"/>
    <x v="0"/>
    <x v="4"/>
    <x v="0"/>
    <x v="2"/>
  </r>
  <r>
    <s v="Call_7623"/>
    <x v="7"/>
    <x v="59"/>
    <x v="3"/>
    <x v="97"/>
    <n v="126"/>
    <n v="4.4000000000000004"/>
    <x v="0"/>
    <x v="5"/>
    <x v="0"/>
    <x v="2"/>
  </r>
  <r>
    <s v="Call_7624"/>
    <x v="10"/>
    <x v="19"/>
    <x v="3"/>
    <x v="97"/>
    <n v="35"/>
    <n v="3"/>
    <x v="0"/>
    <x v="5"/>
    <x v="0"/>
    <x v="1"/>
  </r>
  <r>
    <s v="Call_7625"/>
    <x v="2"/>
    <x v="129"/>
    <x v="1"/>
    <x v="97"/>
    <n v="84"/>
    <n v="4.5"/>
    <x v="0"/>
    <x v="5"/>
    <x v="0"/>
    <x v="0"/>
  </r>
  <r>
    <s v="Call_7626"/>
    <x v="14"/>
    <x v="19"/>
    <x v="1"/>
    <x v="98"/>
    <n v="172"/>
    <n v="4.5"/>
    <x v="0"/>
    <x v="6"/>
    <x v="0"/>
    <x v="0"/>
  </r>
  <r>
    <s v="Call_7627"/>
    <x v="7"/>
    <x v="12"/>
    <x v="0"/>
    <x v="98"/>
    <n v="114"/>
    <n v="4"/>
    <x v="0"/>
    <x v="6"/>
    <x v="1"/>
    <x v="2"/>
  </r>
  <r>
    <s v="Call_7628"/>
    <x v="14"/>
    <x v="9"/>
    <x v="0"/>
    <x v="98"/>
    <n v="60"/>
    <n v="3.8"/>
    <x v="0"/>
    <x v="6"/>
    <x v="0"/>
    <x v="2"/>
  </r>
  <r>
    <s v="Call_7629"/>
    <x v="13"/>
    <x v="130"/>
    <x v="2"/>
    <x v="98"/>
    <n v="26"/>
    <n v="3.3"/>
    <x v="0"/>
    <x v="6"/>
    <x v="0"/>
    <x v="1"/>
  </r>
  <r>
    <s v="Call_7630"/>
    <x v="5"/>
    <x v="131"/>
    <x v="1"/>
    <x v="98"/>
    <n v="210"/>
    <n v="4.3"/>
    <x v="0"/>
    <x v="6"/>
    <x v="0"/>
    <x v="2"/>
  </r>
  <r>
    <s v="Call_7631"/>
    <x v="9"/>
    <x v="106"/>
    <x v="0"/>
    <x v="98"/>
    <n v="129"/>
    <n v="4.2"/>
    <x v="0"/>
    <x v="6"/>
    <x v="0"/>
    <x v="2"/>
  </r>
  <r>
    <s v="Call_7632"/>
    <x v="10"/>
    <x v="71"/>
    <x v="2"/>
    <x v="98"/>
    <n v="215"/>
    <n v="4.3"/>
    <x v="0"/>
    <x v="6"/>
    <x v="2"/>
    <x v="2"/>
  </r>
  <r>
    <s v="Call_7633"/>
    <x v="13"/>
    <x v="132"/>
    <x v="4"/>
    <x v="98"/>
    <n v="69"/>
    <n v="4.5999999999999996"/>
    <x v="0"/>
    <x v="6"/>
    <x v="3"/>
    <x v="0"/>
  </r>
  <r>
    <s v="Call_7634"/>
    <x v="10"/>
    <x v="3"/>
    <x v="4"/>
    <x v="98"/>
    <n v="140"/>
    <n v="3"/>
    <x v="0"/>
    <x v="6"/>
    <x v="1"/>
    <x v="1"/>
  </r>
  <r>
    <s v="Call_7635"/>
    <x v="11"/>
    <x v="64"/>
    <x v="2"/>
    <x v="99"/>
    <n v="156"/>
    <n v="2.7"/>
    <x v="0"/>
    <x v="0"/>
    <x v="2"/>
    <x v="1"/>
  </r>
  <r>
    <s v="Call_7636"/>
    <x v="13"/>
    <x v="103"/>
    <x v="4"/>
    <x v="99"/>
    <n v="164"/>
    <n v="3.1"/>
    <x v="0"/>
    <x v="0"/>
    <x v="2"/>
    <x v="1"/>
  </r>
  <r>
    <s v="Call_7637"/>
    <x v="8"/>
    <x v="4"/>
    <x v="4"/>
    <x v="99"/>
    <n v="195"/>
    <n v="2.6"/>
    <x v="0"/>
    <x v="0"/>
    <x v="2"/>
    <x v="1"/>
  </r>
  <r>
    <s v="Call_7638"/>
    <x v="1"/>
    <x v="98"/>
    <x v="3"/>
    <x v="99"/>
    <n v="74"/>
    <n v="4.5999999999999996"/>
    <x v="0"/>
    <x v="0"/>
    <x v="3"/>
    <x v="0"/>
  </r>
  <r>
    <s v="Call_7639"/>
    <x v="12"/>
    <x v="122"/>
    <x v="2"/>
    <x v="99"/>
    <n v="100"/>
    <n v="4"/>
    <x v="0"/>
    <x v="0"/>
    <x v="1"/>
    <x v="2"/>
  </r>
  <r>
    <s v="Call_7640"/>
    <x v="0"/>
    <x v="10"/>
    <x v="1"/>
    <x v="99"/>
    <n v="185"/>
    <n v="4.5"/>
    <x v="0"/>
    <x v="0"/>
    <x v="1"/>
    <x v="0"/>
  </r>
  <r>
    <s v="Call_7641"/>
    <x v="7"/>
    <x v="53"/>
    <x v="2"/>
    <x v="99"/>
    <n v="130"/>
    <n v="1.9"/>
    <x v="0"/>
    <x v="0"/>
    <x v="0"/>
    <x v="3"/>
  </r>
  <r>
    <s v="Call_7642"/>
    <x v="6"/>
    <x v="50"/>
    <x v="3"/>
    <x v="100"/>
    <n v="21"/>
    <n v="2.6"/>
    <x v="0"/>
    <x v="1"/>
    <x v="0"/>
    <x v="1"/>
  </r>
  <r>
    <s v="Call_7643"/>
    <x v="14"/>
    <x v="90"/>
    <x v="0"/>
    <x v="100"/>
    <n v="88"/>
    <n v="4.3"/>
    <x v="0"/>
    <x v="1"/>
    <x v="0"/>
    <x v="2"/>
  </r>
  <r>
    <s v="Call_7644"/>
    <x v="2"/>
    <x v="28"/>
    <x v="4"/>
    <x v="100"/>
    <n v="35"/>
    <n v="4.4000000000000004"/>
    <x v="0"/>
    <x v="1"/>
    <x v="0"/>
    <x v="2"/>
  </r>
  <r>
    <s v="Call_7645"/>
    <x v="14"/>
    <x v="133"/>
    <x v="1"/>
    <x v="100"/>
    <n v="68"/>
    <n v="4.3"/>
    <x v="0"/>
    <x v="1"/>
    <x v="1"/>
    <x v="2"/>
  </r>
  <r>
    <s v="Call_7646"/>
    <x v="11"/>
    <x v="118"/>
    <x v="1"/>
    <x v="100"/>
    <n v="148"/>
    <n v="4.5"/>
    <x v="0"/>
    <x v="1"/>
    <x v="1"/>
    <x v="0"/>
  </r>
  <r>
    <s v="Call_7647"/>
    <x v="2"/>
    <x v="117"/>
    <x v="0"/>
    <x v="101"/>
    <n v="81"/>
    <n v="4.2"/>
    <x v="0"/>
    <x v="2"/>
    <x v="0"/>
    <x v="2"/>
  </r>
  <r>
    <s v="Call_7648"/>
    <x v="7"/>
    <x v="91"/>
    <x v="0"/>
    <x v="101"/>
    <n v="75"/>
    <n v="3.9"/>
    <x v="0"/>
    <x v="2"/>
    <x v="4"/>
    <x v="2"/>
  </r>
  <r>
    <s v="Call_7649"/>
    <x v="9"/>
    <x v="53"/>
    <x v="2"/>
    <x v="102"/>
    <n v="32"/>
    <n v="3.6"/>
    <x v="0"/>
    <x v="3"/>
    <x v="0"/>
    <x v="2"/>
  </r>
  <r>
    <s v="Call_7650"/>
    <x v="13"/>
    <x v="99"/>
    <x v="2"/>
    <x v="102"/>
    <n v="156"/>
    <n v="3.8"/>
    <x v="0"/>
    <x v="3"/>
    <x v="0"/>
    <x v="2"/>
  </r>
  <r>
    <s v="Call_7651"/>
    <x v="1"/>
    <x v="31"/>
    <x v="1"/>
    <x v="102"/>
    <n v="99"/>
    <n v="4.9000000000000004"/>
    <x v="0"/>
    <x v="3"/>
    <x v="0"/>
    <x v="0"/>
  </r>
  <r>
    <s v="Call_7652"/>
    <x v="0"/>
    <x v="134"/>
    <x v="4"/>
    <x v="102"/>
    <n v="26"/>
    <n v="4"/>
    <x v="0"/>
    <x v="3"/>
    <x v="0"/>
    <x v="2"/>
  </r>
  <r>
    <s v="Call_7653"/>
    <x v="4"/>
    <x v="68"/>
    <x v="2"/>
    <x v="102"/>
    <n v="84"/>
    <n v="4.0999999999999996"/>
    <x v="0"/>
    <x v="3"/>
    <x v="2"/>
    <x v="2"/>
  </r>
  <r>
    <s v="Call_7654"/>
    <x v="3"/>
    <x v="73"/>
    <x v="4"/>
    <x v="102"/>
    <n v="84"/>
    <n v="4.8"/>
    <x v="0"/>
    <x v="3"/>
    <x v="2"/>
    <x v="0"/>
  </r>
  <r>
    <s v="Call_7655"/>
    <x v="10"/>
    <x v="90"/>
    <x v="1"/>
    <x v="102"/>
    <n v="170"/>
    <n v="2.2999999999999998"/>
    <x v="0"/>
    <x v="3"/>
    <x v="0"/>
    <x v="3"/>
  </r>
  <r>
    <s v="Call_7656"/>
    <x v="14"/>
    <x v="63"/>
    <x v="2"/>
    <x v="102"/>
    <n v="35"/>
    <n v="4.4000000000000004"/>
    <x v="0"/>
    <x v="3"/>
    <x v="0"/>
    <x v="2"/>
  </r>
  <r>
    <s v="Call_7657"/>
    <x v="6"/>
    <x v="117"/>
    <x v="2"/>
    <x v="103"/>
    <n v="35"/>
    <n v="3.8"/>
    <x v="0"/>
    <x v="4"/>
    <x v="0"/>
    <x v="2"/>
  </r>
  <r>
    <s v="Call_7658"/>
    <x v="11"/>
    <x v="0"/>
    <x v="2"/>
    <x v="103"/>
    <n v="132"/>
    <n v="5"/>
    <x v="0"/>
    <x v="4"/>
    <x v="0"/>
    <x v="0"/>
  </r>
  <r>
    <s v="Call_7659"/>
    <x v="1"/>
    <x v="25"/>
    <x v="0"/>
    <x v="104"/>
    <n v="144"/>
    <n v="3.3"/>
    <x v="0"/>
    <x v="5"/>
    <x v="0"/>
    <x v="1"/>
  </r>
  <r>
    <s v="Call_7660"/>
    <x v="14"/>
    <x v="15"/>
    <x v="1"/>
    <x v="104"/>
    <n v="48"/>
    <n v="5"/>
    <x v="0"/>
    <x v="5"/>
    <x v="0"/>
    <x v="0"/>
  </r>
  <r>
    <s v="Call_7661"/>
    <x v="14"/>
    <x v="71"/>
    <x v="0"/>
    <x v="104"/>
    <n v="200"/>
    <n v="2.2999999999999998"/>
    <x v="0"/>
    <x v="5"/>
    <x v="2"/>
    <x v="3"/>
  </r>
  <r>
    <s v="Call_7662"/>
    <x v="10"/>
    <x v="84"/>
    <x v="4"/>
    <x v="104"/>
    <n v="38"/>
    <n v="4.8"/>
    <x v="0"/>
    <x v="5"/>
    <x v="0"/>
    <x v="0"/>
  </r>
  <r>
    <s v="Call_7663"/>
    <x v="11"/>
    <x v="125"/>
    <x v="3"/>
    <x v="104"/>
    <n v="81"/>
    <n v="3.7"/>
    <x v="0"/>
    <x v="5"/>
    <x v="2"/>
    <x v="2"/>
  </r>
  <r>
    <s v="Call_7664"/>
    <x v="1"/>
    <x v="114"/>
    <x v="2"/>
    <x v="104"/>
    <n v="120"/>
    <n v="4.2"/>
    <x v="0"/>
    <x v="5"/>
    <x v="1"/>
    <x v="2"/>
  </r>
  <r>
    <s v="Call_7665"/>
    <x v="8"/>
    <x v="135"/>
    <x v="4"/>
    <x v="104"/>
    <n v="74"/>
    <n v="4.8"/>
    <x v="0"/>
    <x v="5"/>
    <x v="3"/>
    <x v="0"/>
  </r>
  <r>
    <s v="Call_7666"/>
    <x v="1"/>
    <x v="62"/>
    <x v="2"/>
    <x v="105"/>
    <n v="128"/>
    <n v="4.7"/>
    <x v="0"/>
    <x v="6"/>
    <x v="2"/>
    <x v="0"/>
  </r>
  <r>
    <s v="Call_7667"/>
    <x v="3"/>
    <x v="48"/>
    <x v="1"/>
    <x v="105"/>
    <n v="21"/>
    <n v="3.9"/>
    <x v="0"/>
    <x v="6"/>
    <x v="0"/>
    <x v="2"/>
  </r>
  <r>
    <s v="Call_7668"/>
    <x v="14"/>
    <x v="93"/>
    <x v="2"/>
    <x v="105"/>
    <n v="110"/>
    <n v="4.3"/>
    <x v="0"/>
    <x v="6"/>
    <x v="2"/>
    <x v="2"/>
  </r>
  <r>
    <s v="Call_7669"/>
    <x v="1"/>
    <x v="97"/>
    <x v="2"/>
    <x v="105"/>
    <n v="145"/>
    <n v="4"/>
    <x v="0"/>
    <x v="6"/>
    <x v="0"/>
    <x v="2"/>
  </r>
  <r>
    <s v="Call_7670"/>
    <x v="14"/>
    <x v="34"/>
    <x v="3"/>
    <x v="105"/>
    <n v="129"/>
    <n v="4"/>
    <x v="0"/>
    <x v="6"/>
    <x v="0"/>
    <x v="2"/>
  </r>
  <r>
    <s v="Call_7671"/>
    <x v="6"/>
    <x v="5"/>
    <x v="0"/>
    <x v="105"/>
    <n v="156"/>
    <n v="3.2"/>
    <x v="0"/>
    <x v="6"/>
    <x v="0"/>
    <x v="1"/>
  </r>
  <r>
    <s v="Call_7672"/>
    <x v="8"/>
    <x v="49"/>
    <x v="2"/>
    <x v="106"/>
    <n v="120"/>
    <n v="3.8"/>
    <x v="0"/>
    <x v="0"/>
    <x v="1"/>
    <x v="2"/>
  </r>
  <r>
    <s v="Call_7673"/>
    <x v="3"/>
    <x v="136"/>
    <x v="3"/>
    <x v="106"/>
    <n v="62"/>
    <n v="3.4"/>
    <x v="0"/>
    <x v="0"/>
    <x v="1"/>
    <x v="1"/>
  </r>
  <r>
    <s v="Call_7674"/>
    <x v="9"/>
    <x v="76"/>
    <x v="2"/>
    <x v="106"/>
    <n v="160"/>
    <n v="3.2"/>
    <x v="0"/>
    <x v="0"/>
    <x v="1"/>
    <x v="1"/>
  </r>
  <r>
    <s v="Call_7675"/>
    <x v="1"/>
    <x v="54"/>
    <x v="2"/>
    <x v="106"/>
    <n v="56"/>
    <n v="4.7"/>
    <x v="0"/>
    <x v="0"/>
    <x v="2"/>
    <x v="0"/>
  </r>
  <r>
    <s v="Call_7676"/>
    <x v="5"/>
    <x v="117"/>
    <x v="4"/>
    <x v="106"/>
    <n v="72"/>
    <n v="4"/>
    <x v="0"/>
    <x v="0"/>
    <x v="0"/>
    <x v="2"/>
  </r>
  <r>
    <s v="Call_7677"/>
    <x v="1"/>
    <x v="12"/>
    <x v="1"/>
    <x v="107"/>
    <n v="81"/>
    <n v="4.8"/>
    <x v="0"/>
    <x v="1"/>
    <x v="1"/>
    <x v="0"/>
  </r>
  <r>
    <s v="Call_7678"/>
    <x v="3"/>
    <x v="75"/>
    <x v="2"/>
    <x v="107"/>
    <n v="144"/>
    <n v="3.9"/>
    <x v="0"/>
    <x v="1"/>
    <x v="0"/>
    <x v="2"/>
  </r>
  <r>
    <s v="Call_7679"/>
    <x v="2"/>
    <x v="86"/>
    <x v="1"/>
    <x v="107"/>
    <n v="111"/>
    <n v="4.3"/>
    <x v="0"/>
    <x v="1"/>
    <x v="0"/>
    <x v="2"/>
  </r>
  <r>
    <s v="Call_7680"/>
    <x v="14"/>
    <x v="137"/>
    <x v="3"/>
    <x v="107"/>
    <n v="43"/>
    <n v="4.2"/>
    <x v="0"/>
    <x v="1"/>
    <x v="3"/>
    <x v="2"/>
  </r>
  <r>
    <s v="Call_7681"/>
    <x v="6"/>
    <x v="37"/>
    <x v="4"/>
    <x v="107"/>
    <n v="41"/>
    <n v="4.9000000000000004"/>
    <x v="0"/>
    <x v="1"/>
    <x v="1"/>
    <x v="0"/>
  </r>
  <r>
    <s v="Call_7682"/>
    <x v="2"/>
    <x v="80"/>
    <x v="4"/>
    <x v="107"/>
    <n v="74"/>
    <n v="4"/>
    <x v="0"/>
    <x v="1"/>
    <x v="3"/>
    <x v="2"/>
  </r>
  <r>
    <s v="Call_7683"/>
    <x v="12"/>
    <x v="29"/>
    <x v="2"/>
    <x v="107"/>
    <n v="43"/>
    <n v="4.9000000000000004"/>
    <x v="0"/>
    <x v="1"/>
    <x v="0"/>
    <x v="0"/>
  </r>
  <r>
    <s v="Call_7684"/>
    <x v="10"/>
    <x v="114"/>
    <x v="4"/>
    <x v="107"/>
    <n v="128"/>
    <n v="3.6"/>
    <x v="0"/>
    <x v="1"/>
    <x v="1"/>
    <x v="2"/>
  </r>
  <r>
    <s v="Call_7685"/>
    <x v="0"/>
    <x v="92"/>
    <x v="4"/>
    <x v="108"/>
    <n v="144"/>
    <n v="4.0999999999999996"/>
    <x v="0"/>
    <x v="2"/>
    <x v="1"/>
    <x v="2"/>
  </r>
  <r>
    <s v="Call_7686"/>
    <x v="12"/>
    <x v="55"/>
    <x v="1"/>
    <x v="108"/>
    <n v="132"/>
    <n v="4.9000000000000004"/>
    <x v="0"/>
    <x v="2"/>
    <x v="1"/>
    <x v="0"/>
  </r>
  <r>
    <s v="Call_7687"/>
    <x v="2"/>
    <x v="130"/>
    <x v="1"/>
    <x v="108"/>
    <n v="180"/>
    <n v="3.9"/>
    <x v="0"/>
    <x v="2"/>
    <x v="0"/>
    <x v="2"/>
  </r>
  <r>
    <s v="Call_7688"/>
    <x v="4"/>
    <x v="138"/>
    <x v="1"/>
    <x v="108"/>
    <n v="31"/>
    <n v="4.0999999999999996"/>
    <x v="0"/>
    <x v="2"/>
    <x v="3"/>
    <x v="2"/>
  </r>
  <r>
    <s v="Call_7689"/>
    <x v="2"/>
    <x v="131"/>
    <x v="1"/>
    <x v="108"/>
    <n v="102"/>
    <n v="3.8"/>
    <x v="0"/>
    <x v="2"/>
    <x v="0"/>
    <x v="2"/>
  </r>
  <r>
    <s v="Call_7690"/>
    <x v="5"/>
    <x v="116"/>
    <x v="2"/>
    <x v="109"/>
    <n v="175"/>
    <n v="4.8"/>
    <x v="0"/>
    <x v="3"/>
    <x v="1"/>
    <x v="0"/>
  </r>
  <r>
    <s v="Call_7691"/>
    <x v="12"/>
    <x v="137"/>
    <x v="0"/>
    <x v="109"/>
    <n v="87"/>
    <n v="4.7"/>
    <x v="0"/>
    <x v="3"/>
    <x v="3"/>
    <x v="0"/>
  </r>
  <r>
    <s v="Call_7692"/>
    <x v="8"/>
    <x v="28"/>
    <x v="2"/>
    <x v="109"/>
    <n v="66"/>
    <n v="4.2"/>
    <x v="0"/>
    <x v="3"/>
    <x v="0"/>
    <x v="2"/>
  </r>
  <r>
    <s v="Call_7693"/>
    <x v="8"/>
    <x v="7"/>
    <x v="2"/>
    <x v="109"/>
    <n v="25"/>
    <n v="3.2"/>
    <x v="0"/>
    <x v="3"/>
    <x v="2"/>
    <x v="1"/>
  </r>
  <r>
    <s v="Call_7694"/>
    <x v="2"/>
    <x v="66"/>
    <x v="1"/>
    <x v="109"/>
    <n v="126"/>
    <n v="3.4"/>
    <x v="0"/>
    <x v="3"/>
    <x v="0"/>
    <x v="1"/>
  </r>
  <r>
    <s v="Call_7695"/>
    <x v="0"/>
    <x v="97"/>
    <x v="3"/>
    <x v="110"/>
    <n v="42"/>
    <n v="4.5999999999999996"/>
    <x v="0"/>
    <x v="4"/>
    <x v="0"/>
    <x v="0"/>
  </r>
  <r>
    <s v="Call_7696"/>
    <x v="5"/>
    <x v="58"/>
    <x v="0"/>
    <x v="110"/>
    <n v="225"/>
    <n v="1.9"/>
    <x v="0"/>
    <x v="4"/>
    <x v="0"/>
    <x v="3"/>
  </r>
  <r>
    <s v="Call_7697"/>
    <x v="3"/>
    <x v="139"/>
    <x v="0"/>
    <x v="110"/>
    <n v="42"/>
    <n v="3.3"/>
    <x v="0"/>
    <x v="4"/>
    <x v="1"/>
    <x v="1"/>
  </r>
  <r>
    <s v="Call_7698"/>
    <x v="2"/>
    <x v="61"/>
    <x v="3"/>
    <x v="111"/>
    <n v="110"/>
    <n v="3.1"/>
    <x v="0"/>
    <x v="5"/>
    <x v="1"/>
    <x v="1"/>
  </r>
  <r>
    <s v="Call_7699"/>
    <x v="10"/>
    <x v="125"/>
    <x v="1"/>
    <x v="111"/>
    <n v="225"/>
    <n v="4.8"/>
    <x v="0"/>
    <x v="5"/>
    <x v="2"/>
    <x v="0"/>
  </r>
  <r>
    <s v="Call_7700"/>
    <x v="8"/>
    <x v="10"/>
    <x v="4"/>
    <x v="112"/>
    <n v="125"/>
    <n v="3.3"/>
    <x v="0"/>
    <x v="6"/>
    <x v="1"/>
    <x v="1"/>
  </r>
  <r>
    <s v="Call_7701"/>
    <x v="5"/>
    <x v="22"/>
    <x v="1"/>
    <x v="112"/>
    <n v="78"/>
    <n v="2.9"/>
    <x v="0"/>
    <x v="6"/>
    <x v="0"/>
    <x v="1"/>
  </r>
  <r>
    <s v="Call_7702"/>
    <x v="5"/>
    <x v="22"/>
    <x v="3"/>
    <x v="112"/>
    <n v="40"/>
    <n v="2.4"/>
    <x v="0"/>
    <x v="6"/>
    <x v="0"/>
    <x v="3"/>
  </r>
  <r>
    <s v="Call_7703"/>
    <x v="9"/>
    <x v="107"/>
    <x v="2"/>
    <x v="112"/>
    <n v="150"/>
    <n v="4.5999999999999996"/>
    <x v="0"/>
    <x v="6"/>
    <x v="0"/>
    <x v="0"/>
  </r>
  <r>
    <s v="Call_7704"/>
    <x v="2"/>
    <x v="140"/>
    <x v="1"/>
    <x v="112"/>
    <n v="96"/>
    <n v="4.8"/>
    <x v="0"/>
    <x v="6"/>
    <x v="3"/>
    <x v="0"/>
  </r>
  <r>
    <s v="Call_7705"/>
    <x v="8"/>
    <x v="48"/>
    <x v="3"/>
    <x v="113"/>
    <n v="75"/>
    <n v="4.8"/>
    <x v="0"/>
    <x v="0"/>
    <x v="0"/>
    <x v="0"/>
  </r>
  <r>
    <s v="Call_7706"/>
    <x v="9"/>
    <x v="22"/>
    <x v="3"/>
    <x v="113"/>
    <n v="60"/>
    <n v="3.6"/>
    <x v="0"/>
    <x v="0"/>
    <x v="0"/>
    <x v="2"/>
  </r>
  <r>
    <s v="Call_7707"/>
    <x v="14"/>
    <x v="73"/>
    <x v="1"/>
    <x v="114"/>
    <n v="41"/>
    <n v="4.8"/>
    <x v="0"/>
    <x v="1"/>
    <x v="2"/>
    <x v="0"/>
  </r>
  <r>
    <s v="Call_7708"/>
    <x v="7"/>
    <x v="65"/>
    <x v="2"/>
    <x v="114"/>
    <n v="20"/>
    <n v="4.2"/>
    <x v="0"/>
    <x v="1"/>
    <x v="1"/>
    <x v="2"/>
  </r>
  <r>
    <s v="Call_7709"/>
    <x v="1"/>
    <x v="141"/>
    <x v="4"/>
    <x v="114"/>
    <n v="84"/>
    <n v="2.6"/>
    <x v="0"/>
    <x v="1"/>
    <x v="0"/>
    <x v="1"/>
  </r>
  <r>
    <s v="Call_7710"/>
    <x v="8"/>
    <x v="77"/>
    <x v="0"/>
    <x v="114"/>
    <n v="140"/>
    <n v="3.7"/>
    <x v="0"/>
    <x v="1"/>
    <x v="0"/>
    <x v="2"/>
  </r>
  <r>
    <s v="Call_7711"/>
    <x v="11"/>
    <x v="21"/>
    <x v="1"/>
    <x v="114"/>
    <n v="66"/>
    <n v="4.8"/>
    <x v="0"/>
    <x v="1"/>
    <x v="0"/>
    <x v="0"/>
  </r>
  <r>
    <s v="Call_7712"/>
    <x v="6"/>
    <x v="1"/>
    <x v="2"/>
    <x v="114"/>
    <n v="105"/>
    <n v="4.7"/>
    <x v="0"/>
    <x v="1"/>
    <x v="0"/>
    <x v="0"/>
  </r>
  <r>
    <s v="Call_7713"/>
    <x v="0"/>
    <x v="10"/>
    <x v="3"/>
    <x v="115"/>
    <n v="104"/>
    <n v="4.0999999999999996"/>
    <x v="0"/>
    <x v="2"/>
    <x v="1"/>
    <x v="2"/>
  </r>
  <r>
    <s v="Call_7714"/>
    <x v="7"/>
    <x v="103"/>
    <x v="4"/>
    <x v="115"/>
    <n v="123"/>
    <n v="3.2"/>
    <x v="0"/>
    <x v="2"/>
    <x v="2"/>
    <x v="1"/>
  </r>
  <r>
    <s v="Call_7715"/>
    <x v="2"/>
    <x v="142"/>
    <x v="3"/>
    <x v="116"/>
    <n v="215"/>
    <n v="4.3"/>
    <x v="0"/>
    <x v="3"/>
    <x v="2"/>
    <x v="2"/>
  </r>
  <r>
    <s v="Call_7716"/>
    <x v="0"/>
    <x v="74"/>
    <x v="1"/>
    <x v="116"/>
    <n v="46"/>
    <n v="0.7"/>
    <x v="0"/>
    <x v="3"/>
    <x v="0"/>
    <x v="5"/>
  </r>
  <r>
    <s v="Call_7717"/>
    <x v="9"/>
    <x v="84"/>
    <x v="4"/>
    <x v="116"/>
    <n v="115"/>
    <n v="3.7"/>
    <x v="0"/>
    <x v="3"/>
    <x v="0"/>
    <x v="2"/>
  </r>
  <r>
    <s v="Call_7718"/>
    <x v="0"/>
    <x v="129"/>
    <x v="4"/>
    <x v="116"/>
    <n v="124"/>
    <n v="3.9"/>
    <x v="0"/>
    <x v="3"/>
    <x v="0"/>
    <x v="2"/>
  </r>
  <r>
    <s v="Call_7719"/>
    <x v="13"/>
    <x v="78"/>
    <x v="4"/>
    <x v="117"/>
    <n v="205"/>
    <n v="4.5"/>
    <x v="0"/>
    <x v="4"/>
    <x v="3"/>
    <x v="0"/>
  </r>
  <r>
    <s v="Call_7720"/>
    <x v="14"/>
    <x v="75"/>
    <x v="2"/>
    <x v="117"/>
    <n v="90"/>
    <n v="2.8"/>
    <x v="0"/>
    <x v="4"/>
    <x v="0"/>
    <x v="1"/>
  </r>
  <r>
    <s v="Call_7721"/>
    <x v="9"/>
    <x v="22"/>
    <x v="1"/>
    <x v="117"/>
    <n v="92"/>
    <n v="4.9000000000000004"/>
    <x v="0"/>
    <x v="4"/>
    <x v="0"/>
    <x v="0"/>
  </r>
  <r>
    <s v="Call_7722"/>
    <x v="8"/>
    <x v="101"/>
    <x v="3"/>
    <x v="118"/>
    <n v="108"/>
    <n v="4.2"/>
    <x v="0"/>
    <x v="6"/>
    <x v="2"/>
    <x v="2"/>
  </r>
  <r>
    <s v="Call_7723"/>
    <x v="14"/>
    <x v="70"/>
    <x v="3"/>
    <x v="118"/>
    <n v="54"/>
    <n v="4.4000000000000004"/>
    <x v="0"/>
    <x v="6"/>
    <x v="1"/>
    <x v="2"/>
  </r>
  <r>
    <s v="Call_7724"/>
    <x v="8"/>
    <x v="95"/>
    <x v="3"/>
    <x v="119"/>
    <n v="44"/>
    <n v="3.5"/>
    <x v="0"/>
    <x v="0"/>
    <x v="0"/>
    <x v="2"/>
  </r>
  <r>
    <s v="Call_7725"/>
    <x v="11"/>
    <x v="65"/>
    <x v="3"/>
    <x v="119"/>
    <n v="44"/>
    <n v="4.7"/>
    <x v="0"/>
    <x v="0"/>
    <x v="1"/>
    <x v="0"/>
  </r>
  <r>
    <s v="Call_7726"/>
    <x v="0"/>
    <x v="143"/>
    <x v="1"/>
    <x v="120"/>
    <n v="37"/>
    <n v="4.9000000000000004"/>
    <x v="0"/>
    <x v="1"/>
    <x v="2"/>
    <x v="0"/>
  </r>
  <r>
    <s v="Call_7727"/>
    <x v="1"/>
    <x v="7"/>
    <x v="2"/>
    <x v="120"/>
    <n v="180"/>
    <n v="4.5"/>
    <x v="0"/>
    <x v="1"/>
    <x v="2"/>
    <x v="0"/>
  </r>
  <r>
    <s v="Call_7728"/>
    <x v="0"/>
    <x v="59"/>
    <x v="4"/>
    <x v="120"/>
    <n v="105"/>
    <n v="4.9000000000000004"/>
    <x v="0"/>
    <x v="1"/>
    <x v="0"/>
    <x v="0"/>
  </r>
  <r>
    <s v="Call_7729"/>
    <x v="11"/>
    <x v="21"/>
    <x v="0"/>
    <x v="120"/>
    <n v="87"/>
    <n v="3.6"/>
    <x v="0"/>
    <x v="1"/>
    <x v="0"/>
    <x v="2"/>
  </r>
  <r>
    <s v="Call_7730"/>
    <x v="9"/>
    <x v="128"/>
    <x v="2"/>
    <x v="120"/>
    <n v="52"/>
    <n v="3.8"/>
    <x v="0"/>
    <x v="1"/>
    <x v="3"/>
    <x v="2"/>
  </r>
  <r>
    <s v="Call_7731"/>
    <x v="4"/>
    <x v="8"/>
    <x v="4"/>
    <x v="120"/>
    <n v="63"/>
    <n v="3.5"/>
    <x v="0"/>
    <x v="1"/>
    <x v="2"/>
    <x v="2"/>
  </r>
  <r>
    <s v="Call_7732"/>
    <x v="10"/>
    <x v="144"/>
    <x v="1"/>
    <x v="121"/>
    <n v="195"/>
    <n v="4.8"/>
    <x v="0"/>
    <x v="2"/>
    <x v="2"/>
    <x v="0"/>
  </r>
  <r>
    <s v="Call_7733"/>
    <x v="14"/>
    <x v="34"/>
    <x v="3"/>
    <x v="122"/>
    <n v="176"/>
    <n v="4.5"/>
    <x v="0"/>
    <x v="3"/>
    <x v="0"/>
    <x v="0"/>
  </r>
  <r>
    <s v="Call_7734"/>
    <x v="6"/>
    <x v="17"/>
    <x v="2"/>
    <x v="123"/>
    <n v="31"/>
    <n v="3.3"/>
    <x v="0"/>
    <x v="4"/>
    <x v="2"/>
    <x v="1"/>
  </r>
  <r>
    <s v="Call_7735"/>
    <x v="2"/>
    <x v="128"/>
    <x v="2"/>
    <x v="124"/>
    <n v="27"/>
    <n v="3.2"/>
    <x v="0"/>
    <x v="5"/>
    <x v="3"/>
    <x v="1"/>
  </r>
  <r>
    <s v="Call_7736"/>
    <x v="7"/>
    <x v="129"/>
    <x v="3"/>
    <x v="124"/>
    <n v="76"/>
    <n v="4.9000000000000004"/>
    <x v="0"/>
    <x v="5"/>
    <x v="0"/>
    <x v="0"/>
  </r>
  <r>
    <s v="Call_7737"/>
    <x v="4"/>
    <x v="111"/>
    <x v="4"/>
    <x v="124"/>
    <n v="62"/>
    <n v="4.8"/>
    <x v="0"/>
    <x v="5"/>
    <x v="1"/>
    <x v="0"/>
  </r>
  <r>
    <s v="Call_7738"/>
    <x v="7"/>
    <x v="22"/>
    <x v="1"/>
    <x v="125"/>
    <n v="100"/>
    <n v="1.3"/>
    <x v="0"/>
    <x v="0"/>
    <x v="0"/>
    <x v="5"/>
  </r>
  <r>
    <s v="Call_7739"/>
    <x v="13"/>
    <x v="102"/>
    <x v="2"/>
    <x v="125"/>
    <n v="44"/>
    <n v="3.1"/>
    <x v="0"/>
    <x v="0"/>
    <x v="0"/>
    <x v="1"/>
  </r>
  <r>
    <s v="Call_7740"/>
    <x v="2"/>
    <x v="86"/>
    <x v="3"/>
    <x v="125"/>
    <n v="168"/>
    <n v="3.4"/>
    <x v="0"/>
    <x v="0"/>
    <x v="0"/>
    <x v="1"/>
  </r>
  <r>
    <s v="Call_7741"/>
    <x v="5"/>
    <x v="108"/>
    <x v="3"/>
    <x v="126"/>
    <n v="200"/>
    <n v="4.5999999999999996"/>
    <x v="0"/>
    <x v="1"/>
    <x v="2"/>
    <x v="0"/>
  </r>
  <r>
    <s v="Call_7742"/>
    <x v="1"/>
    <x v="85"/>
    <x v="2"/>
    <x v="126"/>
    <n v="84"/>
    <n v="4.3"/>
    <x v="0"/>
    <x v="1"/>
    <x v="1"/>
    <x v="2"/>
  </r>
  <r>
    <s v="Call_7743"/>
    <x v="14"/>
    <x v="145"/>
    <x v="3"/>
    <x v="127"/>
    <n v="117"/>
    <n v="2.7"/>
    <x v="0"/>
    <x v="2"/>
    <x v="2"/>
    <x v="1"/>
  </r>
  <r>
    <s v="Call_7744"/>
    <x v="10"/>
    <x v="98"/>
    <x v="1"/>
    <x v="127"/>
    <n v="63"/>
    <n v="4.2"/>
    <x v="0"/>
    <x v="2"/>
    <x v="3"/>
    <x v="2"/>
  </r>
  <r>
    <s v="Call_7745"/>
    <x v="2"/>
    <x v="24"/>
    <x v="3"/>
    <x v="128"/>
    <n v="145"/>
    <n v="4.9000000000000004"/>
    <x v="0"/>
    <x v="3"/>
    <x v="0"/>
    <x v="0"/>
  </r>
  <r>
    <s v="Call_7746"/>
    <x v="14"/>
    <x v="12"/>
    <x v="2"/>
    <x v="128"/>
    <n v="220"/>
    <n v="3.2"/>
    <x v="0"/>
    <x v="3"/>
    <x v="1"/>
    <x v="1"/>
  </r>
  <r>
    <s v="Call_7747"/>
    <x v="8"/>
    <x v="54"/>
    <x v="1"/>
    <x v="128"/>
    <n v="26"/>
    <n v="4.7"/>
    <x v="0"/>
    <x v="3"/>
    <x v="2"/>
    <x v="0"/>
  </r>
  <r>
    <s v="Call_7748"/>
    <x v="2"/>
    <x v="117"/>
    <x v="3"/>
    <x v="128"/>
    <n v="78"/>
    <n v="4.3"/>
    <x v="0"/>
    <x v="3"/>
    <x v="0"/>
    <x v="2"/>
  </r>
  <r>
    <s v="Call_7749"/>
    <x v="6"/>
    <x v="79"/>
    <x v="4"/>
    <x v="129"/>
    <n v="132"/>
    <n v="4.3"/>
    <x v="0"/>
    <x v="4"/>
    <x v="3"/>
    <x v="2"/>
  </r>
  <r>
    <s v="Call_7750"/>
    <x v="9"/>
    <x v="38"/>
    <x v="4"/>
    <x v="130"/>
    <n v="68"/>
    <n v="3.7"/>
    <x v="0"/>
    <x v="5"/>
    <x v="0"/>
    <x v="2"/>
  </r>
  <r>
    <s v="Call_7751"/>
    <x v="1"/>
    <x v="19"/>
    <x v="2"/>
    <x v="131"/>
    <n v="129"/>
    <n v="4.7"/>
    <x v="0"/>
    <x v="0"/>
    <x v="0"/>
    <x v="0"/>
  </r>
  <r>
    <s v="Call_7752"/>
    <x v="12"/>
    <x v="99"/>
    <x v="4"/>
    <x v="131"/>
    <n v="115"/>
    <n v="4.9000000000000004"/>
    <x v="0"/>
    <x v="0"/>
    <x v="0"/>
    <x v="0"/>
  </r>
  <r>
    <s v="Call_7753"/>
    <x v="12"/>
    <x v="107"/>
    <x v="4"/>
    <x v="131"/>
    <n v="128"/>
    <n v="3.9"/>
    <x v="0"/>
    <x v="0"/>
    <x v="0"/>
    <x v="2"/>
  </r>
  <r>
    <s v="Call_7754"/>
    <x v="12"/>
    <x v="146"/>
    <x v="2"/>
    <x v="131"/>
    <n v="90"/>
    <n v="4.5"/>
    <x v="0"/>
    <x v="0"/>
    <x v="0"/>
    <x v="0"/>
  </r>
  <r>
    <s v="Call_7755"/>
    <x v="8"/>
    <x v="77"/>
    <x v="3"/>
    <x v="132"/>
    <n v="39"/>
    <n v="4.5999999999999996"/>
    <x v="0"/>
    <x v="1"/>
    <x v="0"/>
    <x v="0"/>
  </r>
  <r>
    <s v="Call_7756"/>
    <x v="6"/>
    <x v="90"/>
    <x v="4"/>
    <x v="132"/>
    <n v="132"/>
    <n v="3.3"/>
    <x v="0"/>
    <x v="1"/>
    <x v="0"/>
    <x v="1"/>
  </r>
  <r>
    <s v="Call_7757"/>
    <x v="4"/>
    <x v="147"/>
    <x v="4"/>
    <x v="132"/>
    <n v="170"/>
    <n v="3.8"/>
    <x v="0"/>
    <x v="1"/>
    <x v="2"/>
    <x v="2"/>
  </r>
  <r>
    <s v="Call_7758"/>
    <x v="12"/>
    <x v="86"/>
    <x v="2"/>
    <x v="132"/>
    <n v="42"/>
    <n v="4.7"/>
    <x v="0"/>
    <x v="1"/>
    <x v="0"/>
    <x v="0"/>
  </r>
  <r>
    <s v="Call_7759"/>
    <x v="3"/>
    <x v="23"/>
    <x v="3"/>
    <x v="133"/>
    <n v="37"/>
    <n v="4"/>
    <x v="0"/>
    <x v="2"/>
    <x v="1"/>
    <x v="2"/>
  </r>
  <r>
    <s v="Call_7760"/>
    <x v="1"/>
    <x v="146"/>
    <x v="3"/>
    <x v="133"/>
    <n v="88"/>
    <n v="4.7"/>
    <x v="0"/>
    <x v="2"/>
    <x v="0"/>
    <x v="0"/>
  </r>
  <r>
    <s v="Call_7761"/>
    <x v="14"/>
    <x v="47"/>
    <x v="3"/>
    <x v="133"/>
    <n v="80"/>
    <n v="2.5"/>
    <x v="0"/>
    <x v="2"/>
    <x v="0"/>
    <x v="1"/>
  </r>
  <r>
    <s v="Call_7762"/>
    <x v="6"/>
    <x v="44"/>
    <x v="0"/>
    <x v="134"/>
    <n v="123"/>
    <n v="3.6"/>
    <x v="0"/>
    <x v="3"/>
    <x v="2"/>
    <x v="2"/>
  </r>
  <r>
    <s v="Call_7763"/>
    <x v="10"/>
    <x v="122"/>
    <x v="4"/>
    <x v="134"/>
    <n v="31"/>
    <n v="3.7"/>
    <x v="0"/>
    <x v="3"/>
    <x v="1"/>
    <x v="2"/>
  </r>
  <r>
    <s v="Call_7764"/>
    <x v="13"/>
    <x v="58"/>
    <x v="1"/>
    <x v="134"/>
    <n v="205"/>
    <n v="3.9"/>
    <x v="0"/>
    <x v="3"/>
    <x v="0"/>
    <x v="2"/>
  </r>
  <r>
    <s v="Call_7765"/>
    <x v="7"/>
    <x v="89"/>
    <x v="3"/>
    <x v="135"/>
    <n v="123"/>
    <n v="3.7"/>
    <x v="0"/>
    <x v="4"/>
    <x v="1"/>
    <x v="2"/>
  </r>
  <r>
    <s v="Call_7766"/>
    <x v="4"/>
    <x v="148"/>
    <x v="4"/>
    <x v="135"/>
    <n v="123"/>
    <n v="4.3"/>
    <x v="0"/>
    <x v="4"/>
    <x v="1"/>
    <x v="2"/>
  </r>
  <r>
    <s v="Call_7767"/>
    <x v="14"/>
    <x v="149"/>
    <x v="4"/>
    <x v="135"/>
    <n v="36"/>
    <n v="2.9"/>
    <x v="0"/>
    <x v="4"/>
    <x v="1"/>
    <x v="1"/>
  </r>
  <r>
    <s v="Call_7768"/>
    <x v="7"/>
    <x v="22"/>
    <x v="4"/>
    <x v="135"/>
    <n v="116"/>
    <n v="4.3"/>
    <x v="0"/>
    <x v="4"/>
    <x v="0"/>
    <x v="2"/>
  </r>
  <r>
    <s v="Call_7769"/>
    <x v="9"/>
    <x v="86"/>
    <x v="4"/>
    <x v="135"/>
    <n v="40"/>
    <n v="4.9000000000000004"/>
    <x v="0"/>
    <x v="4"/>
    <x v="0"/>
    <x v="0"/>
  </r>
  <r>
    <s v="Call_7770"/>
    <x v="9"/>
    <x v="146"/>
    <x v="3"/>
    <x v="135"/>
    <n v="40"/>
    <n v="4"/>
    <x v="0"/>
    <x v="4"/>
    <x v="0"/>
    <x v="2"/>
  </r>
  <r>
    <s v="Call_7771"/>
    <x v="13"/>
    <x v="50"/>
    <x v="2"/>
    <x v="136"/>
    <n v="82"/>
    <n v="4"/>
    <x v="0"/>
    <x v="5"/>
    <x v="0"/>
    <x v="2"/>
  </r>
  <r>
    <s v="Call_7772"/>
    <x v="8"/>
    <x v="6"/>
    <x v="0"/>
    <x v="136"/>
    <n v="62"/>
    <n v="3.4"/>
    <x v="0"/>
    <x v="5"/>
    <x v="0"/>
    <x v="1"/>
  </r>
  <r>
    <s v="Call_7773"/>
    <x v="3"/>
    <x v="64"/>
    <x v="0"/>
    <x v="136"/>
    <n v="135"/>
    <n v="3.9"/>
    <x v="0"/>
    <x v="5"/>
    <x v="2"/>
    <x v="2"/>
  </r>
  <r>
    <s v="Call_7774"/>
    <x v="13"/>
    <x v="50"/>
    <x v="1"/>
    <x v="136"/>
    <n v="155"/>
    <n v="2.1"/>
    <x v="0"/>
    <x v="5"/>
    <x v="0"/>
    <x v="3"/>
  </r>
  <r>
    <s v="Call_7775"/>
    <x v="6"/>
    <x v="62"/>
    <x v="2"/>
    <x v="136"/>
    <n v="37"/>
    <n v="4.9000000000000004"/>
    <x v="0"/>
    <x v="5"/>
    <x v="2"/>
    <x v="0"/>
  </r>
  <r>
    <s v="Call_7776"/>
    <x v="13"/>
    <x v="38"/>
    <x v="3"/>
    <x v="137"/>
    <n v="56"/>
    <n v="3.4"/>
    <x v="0"/>
    <x v="6"/>
    <x v="0"/>
    <x v="1"/>
  </r>
  <r>
    <s v="Call_7777"/>
    <x v="13"/>
    <x v="58"/>
    <x v="3"/>
    <x v="137"/>
    <n v="185"/>
    <n v="5"/>
    <x v="0"/>
    <x v="6"/>
    <x v="0"/>
    <x v="0"/>
  </r>
  <r>
    <s v="Call_7778"/>
    <x v="0"/>
    <x v="71"/>
    <x v="2"/>
    <x v="138"/>
    <n v="145"/>
    <n v="4.5"/>
    <x v="0"/>
    <x v="0"/>
    <x v="2"/>
    <x v="0"/>
  </r>
  <r>
    <s v="Call_7779"/>
    <x v="7"/>
    <x v="101"/>
    <x v="0"/>
    <x v="138"/>
    <n v="116"/>
    <n v="2.6"/>
    <x v="0"/>
    <x v="0"/>
    <x v="2"/>
    <x v="1"/>
  </r>
  <r>
    <s v="Call_7780"/>
    <x v="6"/>
    <x v="150"/>
    <x v="4"/>
    <x v="138"/>
    <n v="45"/>
    <n v="4.2"/>
    <x v="0"/>
    <x v="0"/>
    <x v="1"/>
    <x v="2"/>
  </r>
  <r>
    <s v="Call_7781"/>
    <x v="4"/>
    <x v="11"/>
    <x v="3"/>
    <x v="139"/>
    <n v="35"/>
    <n v="4.5"/>
    <x v="0"/>
    <x v="1"/>
    <x v="0"/>
    <x v="0"/>
  </r>
  <r>
    <s v="Call_7782"/>
    <x v="9"/>
    <x v="50"/>
    <x v="0"/>
    <x v="139"/>
    <n v="100"/>
    <n v="4.4000000000000004"/>
    <x v="0"/>
    <x v="1"/>
    <x v="0"/>
    <x v="2"/>
  </r>
  <r>
    <s v="Call_7783"/>
    <x v="9"/>
    <x v="63"/>
    <x v="2"/>
    <x v="140"/>
    <n v="125"/>
    <n v="3.5"/>
    <x v="0"/>
    <x v="2"/>
    <x v="0"/>
    <x v="2"/>
  </r>
  <r>
    <s v="Call_7784"/>
    <x v="6"/>
    <x v="104"/>
    <x v="4"/>
    <x v="140"/>
    <n v="120"/>
    <n v="3"/>
    <x v="0"/>
    <x v="2"/>
    <x v="1"/>
    <x v="1"/>
  </r>
  <r>
    <s v="Call_7785"/>
    <x v="11"/>
    <x v="30"/>
    <x v="1"/>
    <x v="140"/>
    <n v="180"/>
    <n v="4.7"/>
    <x v="0"/>
    <x v="2"/>
    <x v="0"/>
    <x v="0"/>
  </r>
  <r>
    <s v="Call_7786"/>
    <x v="5"/>
    <x v="47"/>
    <x v="0"/>
    <x v="140"/>
    <n v="44"/>
    <n v="3"/>
    <x v="0"/>
    <x v="2"/>
    <x v="0"/>
    <x v="1"/>
  </r>
  <r>
    <s v="Call_7787"/>
    <x v="10"/>
    <x v="48"/>
    <x v="4"/>
    <x v="140"/>
    <n v="86"/>
    <n v="3.6"/>
    <x v="0"/>
    <x v="2"/>
    <x v="0"/>
    <x v="2"/>
  </r>
  <r>
    <s v="Call_7788"/>
    <x v="6"/>
    <x v="32"/>
    <x v="4"/>
    <x v="141"/>
    <n v="120"/>
    <n v="4.0999999999999996"/>
    <x v="0"/>
    <x v="3"/>
    <x v="0"/>
    <x v="2"/>
  </r>
  <r>
    <s v="Call_7789"/>
    <x v="3"/>
    <x v="30"/>
    <x v="1"/>
    <x v="141"/>
    <n v="100"/>
    <n v="3.7"/>
    <x v="0"/>
    <x v="3"/>
    <x v="0"/>
    <x v="2"/>
  </r>
  <r>
    <s v="Call_7790"/>
    <x v="3"/>
    <x v="145"/>
    <x v="1"/>
    <x v="142"/>
    <n v="108"/>
    <n v="4.5"/>
    <x v="0"/>
    <x v="4"/>
    <x v="2"/>
    <x v="0"/>
  </r>
  <r>
    <s v="Call_7791"/>
    <x v="14"/>
    <x v="121"/>
    <x v="1"/>
    <x v="142"/>
    <n v="46"/>
    <n v="4.5999999999999996"/>
    <x v="0"/>
    <x v="4"/>
    <x v="2"/>
    <x v="0"/>
  </r>
  <r>
    <s v="Call_7792"/>
    <x v="7"/>
    <x v="75"/>
    <x v="4"/>
    <x v="142"/>
    <n v="210"/>
    <n v="4.3"/>
    <x v="0"/>
    <x v="4"/>
    <x v="0"/>
    <x v="2"/>
  </r>
  <r>
    <s v="Call_7793"/>
    <x v="12"/>
    <x v="56"/>
    <x v="2"/>
    <x v="143"/>
    <n v="54"/>
    <n v="4.8"/>
    <x v="0"/>
    <x v="6"/>
    <x v="1"/>
    <x v="0"/>
  </r>
  <r>
    <s v="Call_7794"/>
    <x v="5"/>
    <x v="52"/>
    <x v="4"/>
    <x v="143"/>
    <n v="115"/>
    <n v="4.7"/>
    <x v="0"/>
    <x v="6"/>
    <x v="1"/>
    <x v="0"/>
  </r>
  <r>
    <s v="Call_7795"/>
    <x v="11"/>
    <x v="4"/>
    <x v="1"/>
    <x v="144"/>
    <n v="100"/>
    <n v="2.2000000000000002"/>
    <x v="0"/>
    <x v="0"/>
    <x v="2"/>
    <x v="3"/>
  </r>
  <r>
    <s v="Call_7796"/>
    <x v="2"/>
    <x v="29"/>
    <x v="4"/>
    <x v="144"/>
    <n v="38"/>
    <n v="4.4000000000000004"/>
    <x v="0"/>
    <x v="0"/>
    <x v="0"/>
    <x v="2"/>
  </r>
  <r>
    <s v="Call_7797"/>
    <x v="12"/>
    <x v="13"/>
    <x v="2"/>
    <x v="145"/>
    <n v="120"/>
    <n v="4.0999999999999996"/>
    <x v="0"/>
    <x v="1"/>
    <x v="2"/>
    <x v="2"/>
  </r>
  <r>
    <s v="Call_7798"/>
    <x v="9"/>
    <x v="13"/>
    <x v="2"/>
    <x v="145"/>
    <n v="120"/>
    <n v="4.0999999999999996"/>
    <x v="0"/>
    <x v="1"/>
    <x v="2"/>
    <x v="2"/>
  </r>
  <r>
    <s v="Call_7799"/>
    <x v="1"/>
    <x v="87"/>
    <x v="1"/>
    <x v="145"/>
    <n v="29"/>
    <n v="4.4000000000000004"/>
    <x v="0"/>
    <x v="1"/>
    <x v="1"/>
    <x v="2"/>
  </r>
  <r>
    <s v="Call_7800"/>
    <x v="10"/>
    <x v="111"/>
    <x v="1"/>
    <x v="146"/>
    <n v="25"/>
    <n v="3.7"/>
    <x v="0"/>
    <x v="2"/>
    <x v="1"/>
    <x v="2"/>
  </r>
  <r>
    <s v="Call_7801"/>
    <x v="13"/>
    <x v="1"/>
    <x v="4"/>
    <x v="147"/>
    <n v="116"/>
    <n v="3.8"/>
    <x v="0"/>
    <x v="3"/>
    <x v="0"/>
    <x v="2"/>
  </r>
  <r>
    <s v="Call_7802"/>
    <x v="1"/>
    <x v="58"/>
    <x v="2"/>
    <x v="148"/>
    <n v="132"/>
    <n v="4.3"/>
    <x v="0"/>
    <x v="4"/>
    <x v="0"/>
    <x v="2"/>
  </r>
  <r>
    <s v="Call_7803"/>
    <x v="10"/>
    <x v="44"/>
    <x v="4"/>
    <x v="149"/>
    <n v="90"/>
    <n v="3.5"/>
    <x v="0"/>
    <x v="5"/>
    <x v="2"/>
    <x v="2"/>
  </r>
  <r>
    <s v="Call_7804"/>
    <x v="7"/>
    <x v="118"/>
    <x v="0"/>
    <x v="149"/>
    <n v="87"/>
    <n v="4.0999999999999996"/>
    <x v="0"/>
    <x v="5"/>
    <x v="1"/>
    <x v="2"/>
  </r>
  <r>
    <s v="Call_7805"/>
    <x v="6"/>
    <x v="52"/>
    <x v="4"/>
    <x v="149"/>
    <n v="140"/>
    <n v="4.2"/>
    <x v="0"/>
    <x v="5"/>
    <x v="1"/>
    <x v="2"/>
  </r>
  <r>
    <s v="Call_7806"/>
    <x v="8"/>
    <x v="77"/>
    <x v="4"/>
    <x v="149"/>
    <n v="164"/>
    <n v="4.5"/>
    <x v="0"/>
    <x v="5"/>
    <x v="0"/>
    <x v="0"/>
  </r>
  <r>
    <s v="Call_7807"/>
    <x v="5"/>
    <x v="15"/>
    <x v="2"/>
    <x v="150"/>
    <n v="180"/>
    <n v="3.8"/>
    <x v="0"/>
    <x v="6"/>
    <x v="0"/>
    <x v="2"/>
  </r>
  <r>
    <s v="Call_7808"/>
    <x v="14"/>
    <x v="75"/>
    <x v="3"/>
    <x v="151"/>
    <n v="22"/>
    <n v="4.0999999999999996"/>
    <x v="0"/>
    <x v="0"/>
    <x v="0"/>
    <x v="2"/>
  </r>
  <r>
    <s v="Call_7809"/>
    <x v="4"/>
    <x v="52"/>
    <x v="0"/>
    <x v="151"/>
    <n v="82"/>
    <n v="4.4000000000000004"/>
    <x v="0"/>
    <x v="0"/>
    <x v="1"/>
    <x v="2"/>
  </r>
  <r>
    <s v="Call_7810"/>
    <x v="0"/>
    <x v="56"/>
    <x v="2"/>
    <x v="151"/>
    <n v="100"/>
    <n v="4.5999999999999996"/>
    <x v="0"/>
    <x v="0"/>
    <x v="1"/>
    <x v="0"/>
  </r>
  <r>
    <s v="Call_7811"/>
    <x v="8"/>
    <x v="51"/>
    <x v="4"/>
    <x v="152"/>
    <n v="52"/>
    <n v="3.4"/>
    <x v="0"/>
    <x v="1"/>
    <x v="0"/>
    <x v="1"/>
  </r>
  <r>
    <s v="Call_7812"/>
    <x v="8"/>
    <x v="110"/>
    <x v="0"/>
    <x v="153"/>
    <n v="84"/>
    <n v="4.5999999999999996"/>
    <x v="0"/>
    <x v="2"/>
    <x v="1"/>
    <x v="0"/>
  </r>
  <r>
    <s v="Call_7813"/>
    <x v="8"/>
    <x v="73"/>
    <x v="0"/>
    <x v="153"/>
    <n v="37"/>
    <n v="3.9"/>
    <x v="0"/>
    <x v="2"/>
    <x v="2"/>
    <x v="2"/>
  </r>
  <r>
    <s v="Call_7814"/>
    <x v="11"/>
    <x v="119"/>
    <x v="2"/>
    <x v="154"/>
    <n v="190"/>
    <n v="4"/>
    <x v="0"/>
    <x v="3"/>
    <x v="1"/>
    <x v="2"/>
  </r>
  <r>
    <s v="Call_7815"/>
    <x v="6"/>
    <x v="127"/>
    <x v="1"/>
    <x v="154"/>
    <n v="66"/>
    <n v="3.4"/>
    <x v="0"/>
    <x v="3"/>
    <x v="1"/>
    <x v="1"/>
  </r>
  <r>
    <s v="Call_7816"/>
    <x v="1"/>
    <x v="95"/>
    <x v="4"/>
    <x v="155"/>
    <n v="116"/>
    <n v="3.2"/>
    <x v="0"/>
    <x v="4"/>
    <x v="0"/>
    <x v="1"/>
  </r>
  <r>
    <s v="Call_7817"/>
    <x v="12"/>
    <x v="67"/>
    <x v="3"/>
    <x v="155"/>
    <n v="28"/>
    <n v="3.9"/>
    <x v="0"/>
    <x v="4"/>
    <x v="0"/>
    <x v="2"/>
  </r>
  <r>
    <s v="Call_7818"/>
    <x v="4"/>
    <x v="6"/>
    <x v="4"/>
    <x v="155"/>
    <n v="120"/>
    <n v="5"/>
    <x v="0"/>
    <x v="4"/>
    <x v="0"/>
    <x v="0"/>
  </r>
  <r>
    <s v="Call_7819"/>
    <x v="2"/>
    <x v="130"/>
    <x v="2"/>
    <x v="155"/>
    <n v="56"/>
    <n v="3.5"/>
    <x v="0"/>
    <x v="4"/>
    <x v="0"/>
    <x v="2"/>
  </r>
  <r>
    <s v="Call_7820"/>
    <x v="2"/>
    <x v="8"/>
    <x v="0"/>
    <x v="155"/>
    <n v="170"/>
    <n v="3.8"/>
    <x v="0"/>
    <x v="4"/>
    <x v="2"/>
    <x v="2"/>
  </r>
  <r>
    <s v="Call_7821"/>
    <x v="12"/>
    <x v="76"/>
    <x v="2"/>
    <x v="156"/>
    <n v="200"/>
    <n v="4.8"/>
    <x v="0"/>
    <x v="5"/>
    <x v="1"/>
    <x v="0"/>
  </r>
  <r>
    <s v="Call_7822"/>
    <x v="4"/>
    <x v="35"/>
    <x v="4"/>
    <x v="157"/>
    <n v="50"/>
    <n v="4.2"/>
    <x v="0"/>
    <x v="6"/>
    <x v="1"/>
    <x v="2"/>
  </r>
  <r>
    <s v="Call_7823"/>
    <x v="0"/>
    <x v="32"/>
    <x v="3"/>
    <x v="157"/>
    <n v="112"/>
    <n v="3.7"/>
    <x v="0"/>
    <x v="6"/>
    <x v="0"/>
    <x v="2"/>
  </r>
  <r>
    <s v="Call_7824"/>
    <x v="14"/>
    <x v="99"/>
    <x v="4"/>
    <x v="158"/>
    <n v="39"/>
    <n v="4.8"/>
    <x v="0"/>
    <x v="0"/>
    <x v="0"/>
    <x v="0"/>
  </r>
  <r>
    <s v="Call_7825"/>
    <x v="6"/>
    <x v="106"/>
    <x v="3"/>
    <x v="158"/>
    <n v="38"/>
    <n v="4.8"/>
    <x v="0"/>
    <x v="0"/>
    <x v="0"/>
    <x v="0"/>
  </r>
  <r>
    <s v="Call_7826"/>
    <x v="5"/>
    <x v="4"/>
    <x v="4"/>
    <x v="159"/>
    <n v="84"/>
    <n v="2.9"/>
    <x v="0"/>
    <x v="1"/>
    <x v="2"/>
    <x v="1"/>
  </r>
  <r>
    <s v="Call_7827"/>
    <x v="8"/>
    <x v="146"/>
    <x v="2"/>
    <x v="160"/>
    <n v="82"/>
    <n v="3.5"/>
    <x v="0"/>
    <x v="2"/>
    <x v="0"/>
    <x v="2"/>
  </r>
  <r>
    <s v="Call_7828"/>
    <x v="14"/>
    <x v="151"/>
    <x v="3"/>
    <x v="160"/>
    <n v="37"/>
    <n v="0.9"/>
    <x v="0"/>
    <x v="2"/>
    <x v="1"/>
    <x v="5"/>
  </r>
  <r>
    <s v="Call_7829"/>
    <x v="2"/>
    <x v="49"/>
    <x v="1"/>
    <x v="161"/>
    <n v="87"/>
    <n v="3.4"/>
    <x v="0"/>
    <x v="3"/>
    <x v="1"/>
    <x v="1"/>
  </r>
  <r>
    <s v="Call_7830"/>
    <x v="2"/>
    <x v="21"/>
    <x v="1"/>
    <x v="161"/>
    <n v="75"/>
    <n v="2.7"/>
    <x v="0"/>
    <x v="3"/>
    <x v="0"/>
    <x v="1"/>
  </r>
  <r>
    <s v="Call_7831"/>
    <x v="5"/>
    <x v="24"/>
    <x v="4"/>
    <x v="161"/>
    <n v="32"/>
    <n v="4.7"/>
    <x v="0"/>
    <x v="3"/>
    <x v="0"/>
    <x v="0"/>
  </r>
  <r>
    <s v="Call_7832"/>
    <x v="13"/>
    <x v="8"/>
    <x v="2"/>
    <x v="161"/>
    <n v="33"/>
    <n v="3"/>
    <x v="0"/>
    <x v="3"/>
    <x v="2"/>
    <x v="1"/>
  </r>
  <r>
    <s v="Call_7833"/>
    <x v="13"/>
    <x v="9"/>
    <x v="0"/>
    <x v="161"/>
    <n v="76"/>
    <n v="4.2"/>
    <x v="0"/>
    <x v="3"/>
    <x v="0"/>
    <x v="2"/>
  </r>
  <r>
    <s v="Call_7834"/>
    <x v="11"/>
    <x v="33"/>
    <x v="0"/>
    <x v="161"/>
    <n v="117"/>
    <n v="4.8"/>
    <x v="0"/>
    <x v="3"/>
    <x v="0"/>
    <x v="0"/>
  </r>
  <r>
    <s v="Call_7835"/>
    <x v="5"/>
    <x v="143"/>
    <x v="2"/>
    <x v="162"/>
    <n v="70"/>
    <n v="4.0999999999999996"/>
    <x v="0"/>
    <x v="5"/>
    <x v="2"/>
    <x v="2"/>
  </r>
  <r>
    <s v="Call_7836"/>
    <x v="5"/>
    <x v="33"/>
    <x v="1"/>
    <x v="162"/>
    <n v="37"/>
    <n v="2.7"/>
    <x v="0"/>
    <x v="5"/>
    <x v="0"/>
    <x v="1"/>
  </r>
  <r>
    <s v="Call_7837"/>
    <x v="2"/>
    <x v="74"/>
    <x v="0"/>
    <x v="162"/>
    <n v="46"/>
    <n v="2.9"/>
    <x v="0"/>
    <x v="5"/>
    <x v="0"/>
    <x v="1"/>
  </r>
  <r>
    <s v="Call_7838"/>
    <x v="7"/>
    <x v="38"/>
    <x v="4"/>
    <x v="162"/>
    <n v="136"/>
    <n v="5"/>
    <x v="0"/>
    <x v="5"/>
    <x v="0"/>
    <x v="0"/>
  </r>
  <r>
    <s v="Call_7839"/>
    <x v="2"/>
    <x v="114"/>
    <x v="0"/>
    <x v="163"/>
    <n v="44"/>
    <n v="4.5999999999999996"/>
    <x v="0"/>
    <x v="6"/>
    <x v="1"/>
    <x v="0"/>
  </r>
  <r>
    <s v="Call_7840"/>
    <x v="9"/>
    <x v="41"/>
    <x v="3"/>
    <x v="163"/>
    <n v="69"/>
    <n v="3"/>
    <x v="0"/>
    <x v="6"/>
    <x v="0"/>
    <x v="1"/>
  </r>
  <r>
    <s v="Call_7841"/>
    <x v="7"/>
    <x v="142"/>
    <x v="2"/>
    <x v="164"/>
    <n v="86"/>
    <n v="4.5999999999999996"/>
    <x v="0"/>
    <x v="0"/>
    <x v="2"/>
    <x v="0"/>
  </r>
  <r>
    <s v="Call_7842"/>
    <x v="5"/>
    <x v="114"/>
    <x v="4"/>
    <x v="164"/>
    <n v="68"/>
    <n v="4.5"/>
    <x v="0"/>
    <x v="0"/>
    <x v="1"/>
    <x v="0"/>
  </r>
  <r>
    <s v="Call_7843"/>
    <x v="8"/>
    <x v="122"/>
    <x v="2"/>
    <x v="165"/>
    <n v="21"/>
    <n v="3.7"/>
    <x v="0"/>
    <x v="1"/>
    <x v="1"/>
    <x v="2"/>
  </r>
  <r>
    <s v="Call_7844"/>
    <x v="2"/>
    <x v="116"/>
    <x v="1"/>
    <x v="165"/>
    <n v="190"/>
    <n v="2.4"/>
    <x v="0"/>
    <x v="1"/>
    <x v="1"/>
    <x v="3"/>
  </r>
  <r>
    <s v="Call_7845"/>
    <x v="5"/>
    <x v="121"/>
    <x v="0"/>
    <x v="165"/>
    <n v="176"/>
    <n v="4.3"/>
    <x v="0"/>
    <x v="1"/>
    <x v="2"/>
    <x v="2"/>
  </r>
  <r>
    <s v="Call_7846"/>
    <x v="11"/>
    <x v="7"/>
    <x v="4"/>
    <x v="165"/>
    <n v="172"/>
    <n v="3.9"/>
    <x v="0"/>
    <x v="1"/>
    <x v="2"/>
    <x v="2"/>
  </r>
  <r>
    <s v="Call_7847"/>
    <x v="4"/>
    <x v="128"/>
    <x v="2"/>
    <x v="165"/>
    <n v="84"/>
    <n v="4.5"/>
    <x v="0"/>
    <x v="1"/>
    <x v="3"/>
    <x v="0"/>
  </r>
  <r>
    <s v="Call_7848"/>
    <x v="1"/>
    <x v="35"/>
    <x v="3"/>
    <x v="166"/>
    <n v="42"/>
    <n v="5"/>
    <x v="0"/>
    <x v="2"/>
    <x v="1"/>
    <x v="0"/>
  </r>
  <r>
    <s v="Call_7849"/>
    <x v="7"/>
    <x v="47"/>
    <x v="1"/>
    <x v="166"/>
    <n v="70"/>
    <n v="1.6"/>
    <x v="0"/>
    <x v="2"/>
    <x v="0"/>
    <x v="3"/>
  </r>
  <r>
    <s v="Call_7850"/>
    <x v="9"/>
    <x v="10"/>
    <x v="3"/>
    <x v="166"/>
    <n v="60"/>
    <n v="4.3"/>
    <x v="0"/>
    <x v="2"/>
    <x v="1"/>
    <x v="2"/>
  </r>
  <r>
    <s v="Call_7851"/>
    <x v="6"/>
    <x v="58"/>
    <x v="1"/>
    <x v="166"/>
    <n v="84"/>
    <n v="3.5"/>
    <x v="0"/>
    <x v="2"/>
    <x v="0"/>
    <x v="2"/>
  </r>
  <r>
    <s v="Call_7852"/>
    <x v="8"/>
    <x v="24"/>
    <x v="0"/>
    <x v="167"/>
    <n v="68"/>
    <n v="3.1"/>
    <x v="0"/>
    <x v="3"/>
    <x v="0"/>
    <x v="1"/>
  </r>
  <r>
    <s v="Call_7853"/>
    <x v="13"/>
    <x v="16"/>
    <x v="0"/>
    <x v="167"/>
    <n v="44"/>
    <n v="2.9"/>
    <x v="0"/>
    <x v="3"/>
    <x v="3"/>
    <x v="1"/>
  </r>
  <r>
    <s v="Call_7854"/>
    <x v="6"/>
    <x v="9"/>
    <x v="3"/>
    <x v="168"/>
    <n v="99"/>
    <n v="3.2"/>
    <x v="0"/>
    <x v="4"/>
    <x v="0"/>
    <x v="1"/>
  </r>
  <r>
    <s v="Call_7855"/>
    <x v="7"/>
    <x v="73"/>
    <x v="3"/>
    <x v="169"/>
    <n v="66"/>
    <n v="3.2"/>
    <x v="0"/>
    <x v="5"/>
    <x v="2"/>
    <x v="1"/>
  </r>
  <r>
    <s v="Call_7856"/>
    <x v="3"/>
    <x v="6"/>
    <x v="3"/>
    <x v="169"/>
    <n v="102"/>
    <n v="4.5"/>
    <x v="0"/>
    <x v="5"/>
    <x v="0"/>
    <x v="0"/>
  </r>
  <r>
    <s v="Call_7857"/>
    <x v="8"/>
    <x v="31"/>
    <x v="0"/>
    <x v="170"/>
    <n v="129"/>
    <n v="3.9"/>
    <x v="1"/>
    <x v="6"/>
    <x v="0"/>
    <x v="2"/>
  </r>
  <r>
    <s v="Call_7858"/>
    <x v="12"/>
    <x v="117"/>
    <x v="3"/>
    <x v="170"/>
    <n v="80"/>
    <n v="4.2"/>
    <x v="1"/>
    <x v="6"/>
    <x v="0"/>
    <x v="2"/>
  </r>
  <r>
    <s v="Call_7859"/>
    <x v="3"/>
    <x v="39"/>
    <x v="3"/>
    <x v="170"/>
    <n v="54"/>
    <n v="1.8"/>
    <x v="1"/>
    <x v="6"/>
    <x v="2"/>
    <x v="3"/>
  </r>
  <r>
    <s v="Call_7860"/>
    <x v="13"/>
    <x v="112"/>
    <x v="0"/>
    <x v="170"/>
    <n v="116"/>
    <n v="4.2"/>
    <x v="1"/>
    <x v="6"/>
    <x v="1"/>
    <x v="2"/>
  </r>
  <r>
    <s v="Call_7861"/>
    <x v="13"/>
    <x v="88"/>
    <x v="2"/>
    <x v="170"/>
    <n v="102"/>
    <n v="3.1"/>
    <x v="1"/>
    <x v="6"/>
    <x v="1"/>
    <x v="1"/>
  </r>
  <r>
    <s v="Call_7862"/>
    <x v="10"/>
    <x v="3"/>
    <x v="1"/>
    <x v="170"/>
    <n v="140"/>
    <n v="4.3"/>
    <x v="1"/>
    <x v="6"/>
    <x v="1"/>
    <x v="2"/>
  </r>
  <r>
    <s v="Call_7863"/>
    <x v="7"/>
    <x v="50"/>
    <x v="1"/>
    <x v="171"/>
    <n v="104"/>
    <n v="4.4000000000000004"/>
    <x v="1"/>
    <x v="0"/>
    <x v="0"/>
    <x v="2"/>
  </r>
  <r>
    <s v="Call_7864"/>
    <x v="10"/>
    <x v="12"/>
    <x v="3"/>
    <x v="171"/>
    <n v="81"/>
    <n v="4.4000000000000004"/>
    <x v="1"/>
    <x v="0"/>
    <x v="1"/>
    <x v="2"/>
  </r>
  <r>
    <s v="Call_7865"/>
    <x v="6"/>
    <x v="66"/>
    <x v="4"/>
    <x v="172"/>
    <n v="140"/>
    <n v="2.4"/>
    <x v="1"/>
    <x v="2"/>
    <x v="0"/>
    <x v="3"/>
  </r>
  <r>
    <s v="Call_7866"/>
    <x v="1"/>
    <x v="82"/>
    <x v="0"/>
    <x v="173"/>
    <n v="120"/>
    <n v="3.5"/>
    <x v="1"/>
    <x v="3"/>
    <x v="2"/>
    <x v="2"/>
  </r>
  <r>
    <s v="Call_7867"/>
    <x v="6"/>
    <x v="2"/>
    <x v="3"/>
    <x v="173"/>
    <n v="41"/>
    <n v="3.1"/>
    <x v="1"/>
    <x v="3"/>
    <x v="0"/>
    <x v="1"/>
  </r>
  <r>
    <s v="Call_7868"/>
    <x v="4"/>
    <x v="3"/>
    <x v="3"/>
    <x v="173"/>
    <n v="116"/>
    <n v="2.2999999999999998"/>
    <x v="1"/>
    <x v="3"/>
    <x v="1"/>
    <x v="3"/>
  </r>
  <r>
    <s v="Call_7869"/>
    <x v="0"/>
    <x v="9"/>
    <x v="0"/>
    <x v="174"/>
    <n v="70"/>
    <n v="2.8"/>
    <x v="1"/>
    <x v="4"/>
    <x v="0"/>
    <x v="1"/>
  </r>
  <r>
    <s v="Call_7870"/>
    <x v="10"/>
    <x v="143"/>
    <x v="2"/>
    <x v="174"/>
    <n v="42"/>
    <n v="4.5"/>
    <x v="1"/>
    <x v="4"/>
    <x v="2"/>
    <x v="0"/>
  </r>
  <r>
    <s v="Call_7871"/>
    <x v="4"/>
    <x v="71"/>
    <x v="1"/>
    <x v="175"/>
    <n v="112"/>
    <n v="4.5"/>
    <x v="1"/>
    <x v="5"/>
    <x v="2"/>
    <x v="0"/>
  </r>
  <r>
    <s v="Call_7872"/>
    <x v="3"/>
    <x v="99"/>
    <x v="3"/>
    <x v="175"/>
    <n v="20"/>
    <n v="4.5"/>
    <x v="1"/>
    <x v="5"/>
    <x v="0"/>
    <x v="0"/>
  </r>
  <r>
    <s v="Call_7873"/>
    <x v="8"/>
    <x v="117"/>
    <x v="2"/>
    <x v="176"/>
    <n v="110"/>
    <n v="4.8"/>
    <x v="1"/>
    <x v="6"/>
    <x v="0"/>
    <x v="0"/>
  </r>
  <r>
    <s v="Call_7874"/>
    <x v="5"/>
    <x v="4"/>
    <x v="2"/>
    <x v="176"/>
    <n v="39"/>
    <n v="4.5999999999999996"/>
    <x v="1"/>
    <x v="6"/>
    <x v="2"/>
    <x v="0"/>
  </r>
  <r>
    <s v="Call_7875"/>
    <x v="8"/>
    <x v="113"/>
    <x v="0"/>
    <x v="176"/>
    <n v="76"/>
    <n v="4.5"/>
    <x v="1"/>
    <x v="6"/>
    <x v="0"/>
    <x v="0"/>
  </r>
  <r>
    <s v="Call_7876"/>
    <x v="1"/>
    <x v="54"/>
    <x v="0"/>
    <x v="176"/>
    <n v="40"/>
    <n v="5"/>
    <x v="1"/>
    <x v="6"/>
    <x v="2"/>
    <x v="0"/>
  </r>
  <r>
    <s v="Call_7877"/>
    <x v="8"/>
    <x v="143"/>
    <x v="3"/>
    <x v="176"/>
    <n v="42"/>
    <n v="4.8"/>
    <x v="1"/>
    <x v="6"/>
    <x v="2"/>
    <x v="0"/>
  </r>
  <r>
    <s v="Call_7878"/>
    <x v="2"/>
    <x v="106"/>
    <x v="4"/>
    <x v="177"/>
    <n v="215"/>
    <n v="3.5"/>
    <x v="1"/>
    <x v="0"/>
    <x v="0"/>
    <x v="2"/>
  </r>
  <r>
    <s v="Call_7879"/>
    <x v="9"/>
    <x v="11"/>
    <x v="4"/>
    <x v="178"/>
    <n v="130"/>
    <n v="3.4"/>
    <x v="1"/>
    <x v="1"/>
    <x v="0"/>
    <x v="1"/>
  </r>
  <r>
    <s v="Call_7880"/>
    <x v="11"/>
    <x v="143"/>
    <x v="4"/>
    <x v="178"/>
    <n v="190"/>
    <n v="3.3"/>
    <x v="1"/>
    <x v="1"/>
    <x v="2"/>
    <x v="1"/>
  </r>
  <r>
    <s v="Call_7881"/>
    <x v="4"/>
    <x v="85"/>
    <x v="2"/>
    <x v="178"/>
    <n v="164"/>
    <n v="4.9000000000000004"/>
    <x v="1"/>
    <x v="1"/>
    <x v="1"/>
    <x v="0"/>
  </r>
  <r>
    <s v="Call_7882"/>
    <x v="14"/>
    <x v="37"/>
    <x v="1"/>
    <x v="179"/>
    <n v="76"/>
    <n v="4.5"/>
    <x v="1"/>
    <x v="2"/>
    <x v="1"/>
    <x v="0"/>
  </r>
  <r>
    <s v="Call_7883"/>
    <x v="2"/>
    <x v="21"/>
    <x v="1"/>
    <x v="180"/>
    <n v="87"/>
    <n v="4.8"/>
    <x v="1"/>
    <x v="3"/>
    <x v="0"/>
    <x v="0"/>
  </r>
  <r>
    <s v="Call_7884"/>
    <x v="7"/>
    <x v="64"/>
    <x v="4"/>
    <x v="180"/>
    <n v="84"/>
    <n v="4.8"/>
    <x v="1"/>
    <x v="3"/>
    <x v="2"/>
    <x v="0"/>
  </r>
  <r>
    <s v="Call_7885"/>
    <x v="10"/>
    <x v="59"/>
    <x v="3"/>
    <x v="180"/>
    <n v="114"/>
    <n v="3.9"/>
    <x v="1"/>
    <x v="3"/>
    <x v="0"/>
    <x v="2"/>
  </r>
  <r>
    <s v="Call_7886"/>
    <x v="9"/>
    <x v="53"/>
    <x v="1"/>
    <x v="181"/>
    <n v="56"/>
    <n v="3.9"/>
    <x v="1"/>
    <x v="4"/>
    <x v="0"/>
    <x v="2"/>
  </r>
  <r>
    <s v="Call_7887"/>
    <x v="14"/>
    <x v="147"/>
    <x v="2"/>
    <x v="181"/>
    <n v="27"/>
    <n v="3.7"/>
    <x v="1"/>
    <x v="4"/>
    <x v="2"/>
    <x v="2"/>
  </r>
  <r>
    <s v="Call_7888"/>
    <x v="1"/>
    <x v="7"/>
    <x v="0"/>
    <x v="182"/>
    <n v="84"/>
    <n v="4.8"/>
    <x v="1"/>
    <x v="5"/>
    <x v="2"/>
    <x v="0"/>
  </r>
  <r>
    <s v="Call_7889"/>
    <x v="7"/>
    <x v="57"/>
    <x v="2"/>
    <x v="182"/>
    <n v="72"/>
    <n v="3.5"/>
    <x v="1"/>
    <x v="5"/>
    <x v="1"/>
    <x v="2"/>
  </r>
  <r>
    <s v="Call_7890"/>
    <x v="2"/>
    <x v="75"/>
    <x v="3"/>
    <x v="183"/>
    <n v="126"/>
    <n v="4.2"/>
    <x v="1"/>
    <x v="6"/>
    <x v="0"/>
    <x v="2"/>
  </r>
  <r>
    <s v="Call_7891"/>
    <x v="1"/>
    <x v="24"/>
    <x v="2"/>
    <x v="184"/>
    <n v="88"/>
    <n v="4.9000000000000004"/>
    <x v="1"/>
    <x v="0"/>
    <x v="0"/>
    <x v="0"/>
  </r>
  <r>
    <s v="Call_7892"/>
    <x v="0"/>
    <x v="39"/>
    <x v="2"/>
    <x v="184"/>
    <n v="124"/>
    <n v="4.5999999999999996"/>
    <x v="1"/>
    <x v="0"/>
    <x v="2"/>
    <x v="0"/>
  </r>
  <r>
    <s v="Call_7893"/>
    <x v="13"/>
    <x v="65"/>
    <x v="2"/>
    <x v="185"/>
    <n v="84"/>
    <n v="2.6"/>
    <x v="1"/>
    <x v="1"/>
    <x v="1"/>
    <x v="1"/>
  </r>
  <r>
    <s v="Call_7894"/>
    <x v="9"/>
    <x v="114"/>
    <x v="3"/>
    <x v="185"/>
    <n v="80"/>
    <n v="2.7"/>
    <x v="1"/>
    <x v="1"/>
    <x v="1"/>
    <x v="1"/>
  </r>
  <r>
    <s v="Call_7895"/>
    <x v="12"/>
    <x v="28"/>
    <x v="3"/>
    <x v="186"/>
    <n v="176"/>
    <n v="4.7"/>
    <x v="1"/>
    <x v="2"/>
    <x v="0"/>
    <x v="0"/>
  </r>
  <r>
    <s v="Call_7896"/>
    <x v="0"/>
    <x v="77"/>
    <x v="4"/>
    <x v="187"/>
    <n v="84"/>
    <n v="3.9"/>
    <x v="1"/>
    <x v="3"/>
    <x v="0"/>
    <x v="2"/>
  </r>
  <r>
    <s v="Call_7897"/>
    <x v="1"/>
    <x v="111"/>
    <x v="4"/>
    <x v="187"/>
    <n v="164"/>
    <n v="2.8"/>
    <x v="1"/>
    <x v="3"/>
    <x v="1"/>
    <x v="1"/>
  </r>
  <r>
    <s v="Call_7898"/>
    <x v="14"/>
    <x v="66"/>
    <x v="0"/>
    <x v="187"/>
    <n v="132"/>
    <n v="3.1"/>
    <x v="1"/>
    <x v="3"/>
    <x v="0"/>
    <x v="1"/>
  </r>
  <r>
    <s v="Call_7899"/>
    <x v="9"/>
    <x v="152"/>
    <x v="2"/>
    <x v="188"/>
    <n v="27"/>
    <n v="4.2"/>
    <x v="1"/>
    <x v="4"/>
    <x v="1"/>
    <x v="2"/>
  </r>
  <r>
    <s v="Call_7900"/>
    <x v="1"/>
    <x v="108"/>
    <x v="3"/>
    <x v="188"/>
    <n v="27"/>
    <n v="4.3"/>
    <x v="1"/>
    <x v="4"/>
    <x v="2"/>
    <x v="2"/>
  </r>
  <r>
    <s v="Call_7901"/>
    <x v="1"/>
    <x v="110"/>
    <x v="1"/>
    <x v="188"/>
    <n v="20"/>
    <n v="2.7"/>
    <x v="1"/>
    <x v="4"/>
    <x v="1"/>
    <x v="1"/>
  </r>
  <r>
    <s v="Call_7902"/>
    <x v="9"/>
    <x v="103"/>
    <x v="3"/>
    <x v="189"/>
    <n v="112"/>
    <n v="2.2999999999999998"/>
    <x v="1"/>
    <x v="5"/>
    <x v="2"/>
    <x v="3"/>
  </r>
  <r>
    <s v="Call_7903"/>
    <x v="3"/>
    <x v="73"/>
    <x v="2"/>
    <x v="189"/>
    <n v="60"/>
    <n v="2.2999999999999998"/>
    <x v="1"/>
    <x v="5"/>
    <x v="2"/>
    <x v="3"/>
  </r>
  <r>
    <s v="Call_7904"/>
    <x v="3"/>
    <x v="111"/>
    <x v="2"/>
    <x v="190"/>
    <n v="102"/>
    <n v="2.9"/>
    <x v="1"/>
    <x v="6"/>
    <x v="1"/>
    <x v="1"/>
  </r>
  <r>
    <s v="Call_7905"/>
    <x v="4"/>
    <x v="19"/>
    <x v="2"/>
    <x v="190"/>
    <n v="38"/>
    <n v="4.2"/>
    <x v="1"/>
    <x v="6"/>
    <x v="0"/>
    <x v="2"/>
  </r>
  <r>
    <s v="Call_7906"/>
    <x v="9"/>
    <x v="153"/>
    <x v="0"/>
    <x v="190"/>
    <n v="82"/>
    <n v="4.5999999999999996"/>
    <x v="1"/>
    <x v="6"/>
    <x v="1"/>
    <x v="0"/>
  </r>
  <r>
    <s v="Call_7907"/>
    <x v="3"/>
    <x v="69"/>
    <x v="1"/>
    <x v="191"/>
    <n v="125"/>
    <n v="4.5"/>
    <x v="1"/>
    <x v="2"/>
    <x v="0"/>
    <x v="0"/>
  </r>
  <r>
    <s v="Call_7908"/>
    <x v="11"/>
    <x v="154"/>
    <x v="4"/>
    <x v="192"/>
    <n v="72"/>
    <n v="3.7"/>
    <x v="1"/>
    <x v="3"/>
    <x v="4"/>
    <x v="2"/>
  </r>
  <r>
    <s v="Call_7909"/>
    <x v="1"/>
    <x v="87"/>
    <x v="4"/>
    <x v="192"/>
    <n v="195"/>
    <n v="4.0999999999999996"/>
    <x v="1"/>
    <x v="3"/>
    <x v="1"/>
    <x v="2"/>
  </r>
  <r>
    <s v="Call_7910"/>
    <x v="9"/>
    <x v="7"/>
    <x v="4"/>
    <x v="193"/>
    <n v="160"/>
    <n v="3.4"/>
    <x v="1"/>
    <x v="4"/>
    <x v="2"/>
    <x v="1"/>
  </r>
  <r>
    <s v="Call_7911"/>
    <x v="12"/>
    <x v="29"/>
    <x v="0"/>
    <x v="193"/>
    <n v="78"/>
    <n v="3.3"/>
    <x v="1"/>
    <x v="4"/>
    <x v="0"/>
    <x v="1"/>
  </r>
  <r>
    <s v="Call_7912"/>
    <x v="0"/>
    <x v="83"/>
    <x v="0"/>
    <x v="194"/>
    <n v="70"/>
    <n v="4.4000000000000004"/>
    <x v="1"/>
    <x v="5"/>
    <x v="0"/>
    <x v="2"/>
  </r>
  <r>
    <s v="Call_7913"/>
    <x v="2"/>
    <x v="32"/>
    <x v="3"/>
    <x v="194"/>
    <n v="105"/>
    <n v="4.2"/>
    <x v="1"/>
    <x v="5"/>
    <x v="0"/>
    <x v="2"/>
  </r>
  <r>
    <s v="Call_7914"/>
    <x v="0"/>
    <x v="99"/>
    <x v="3"/>
    <x v="195"/>
    <n v="78"/>
    <n v="3.4"/>
    <x v="1"/>
    <x v="6"/>
    <x v="0"/>
    <x v="1"/>
  </r>
  <r>
    <s v="Call_7915"/>
    <x v="13"/>
    <x v="67"/>
    <x v="3"/>
    <x v="196"/>
    <n v="205"/>
    <n v="4.4000000000000004"/>
    <x v="1"/>
    <x v="1"/>
    <x v="0"/>
    <x v="2"/>
  </r>
  <r>
    <s v="Call_7916"/>
    <x v="8"/>
    <x v="150"/>
    <x v="3"/>
    <x v="196"/>
    <n v="78"/>
    <n v="2.7"/>
    <x v="1"/>
    <x v="1"/>
    <x v="1"/>
    <x v="1"/>
  </r>
  <r>
    <s v="Call_7917"/>
    <x v="1"/>
    <x v="20"/>
    <x v="4"/>
    <x v="196"/>
    <n v="38"/>
    <n v="4.5"/>
    <x v="1"/>
    <x v="1"/>
    <x v="2"/>
    <x v="0"/>
  </r>
  <r>
    <s v="Call_7918"/>
    <x v="13"/>
    <x v="147"/>
    <x v="2"/>
    <x v="196"/>
    <n v="92"/>
    <n v="1.7"/>
    <x v="1"/>
    <x v="1"/>
    <x v="2"/>
    <x v="3"/>
  </r>
  <r>
    <s v="Call_7919"/>
    <x v="14"/>
    <x v="155"/>
    <x v="0"/>
    <x v="196"/>
    <n v="36"/>
    <n v="4.7"/>
    <x v="1"/>
    <x v="1"/>
    <x v="1"/>
    <x v="0"/>
  </r>
  <r>
    <s v="Call_7920"/>
    <x v="12"/>
    <x v="136"/>
    <x v="1"/>
    <x v="196"/>
    <n v="76"/>
    <n v="4.4000000000000004"/>
    <x v="1"/>
    <x v="1"/>
    <x v="1"/>
    <x v="2"/>
  </r>
  <r>
    <s v="Call_7921"/>
    <x v="5"/>
    <x v="51"/>
    <x v="0"/>
    <x v="197"/>
    <n v="170"/>
    <n v="3.5"/>
    <x v="1"/>
    <x v="3"/>
    <x v="0"/>
    <x v="2"/>
  </r>
  <r>
    <s v="Call_7922"/>
    <x v="13"/>
    <x v="6"/>
    <x v="4"/>
    <x v="198"/>
    <n v="117"/>
    <n v="4.7"/>
    <x v="1"/>
    <x v="4"/>
    <x v="0"/>
    <x v="0"/>
  </r>
  <r>
    <s v="Call_7923"/>
    <x v="10"/>
    <x v="53"/>
    <x v="1"/>
    <x v="198"/>
    <n v="20"/>
    <n v="4.3"/>
    <x v="1"/>
    <x v="4"/>
    <x v="0"/>
    <x v="2"/>
  </r>
  <r>
    <s v="Call_7924"/>
    <x v="12"/>
    <x v="75"/>
    <x v="4"/>
    <x v="198"/>
    <n v="99"/>
    <n v="4.0999999999999996"/>
    <x v="1"/>
    <x v="4"/>
    <x v="0"/>
    <x v="2"/>
  </r>
  <r>
    <s v="Call_7925"/>
    <x v="6"/>
    <x v="156"/>
    <x v="1"/>
    <x v="199"/>
    <n v="105"/>
    <n v="2.9"/>
    <x v="1"/>
    <x v="5"/>
    <x v="0"/>
    <x v="1"/>
  </r>
  <r>
    <s v="Call_7926"/>
    <x v="7"/>
    <x v="111"/>
    <x v="3"/>
    <x v="199"/>
    <n v="195"/>
    <n v="3.4"/>
    <x v="1"/>
    <x v="5"/>
    <x v="1"/>
    <x v="1"/>
  </r>
  <r>
    <s v="Call_7927"/>
    <x v="2"/>
    <x v="108"/>
    <x v="1"/>
    <x v="200"/>
    <n v="152"/>
    <n v="4.5999999999999996"/>
    <x v="1"/>
    <x v="6"/>
    <x v="2"/>
    <x v="0"/>
  </r>
  <r>
    <s v="Call_7928"/>
    <x v="7"/>
    <x v="35"/>
    <x v="3"/>
    <x v="201"/>
    <n v="195"/>
    <n v="4.9000000000000004"/>
    <x v="1"/>
    <x v="0"/>
    <x v="1"/>
    <x v="0"/>
  </r>
  <r>
    <s v="Call_7929"/>
    <x v="5"/>
    <x v="113"/>
    <x v="2"/>
    <x v="201"/>
    <n v="70"/>
    <n v="3.6"/>
    <x v="1"/>
    <x v="0"/>
    <x v="0"/>
    <x v="2"/>
  </r>
  <r>
    <s v="Call_7930"/>
    <x v="12"/>
    <x v="157"/>
    <x v="2"/>
    <x v="201"/>
    <n v="22"/>
    <n v="3.5"/>
    <x v="1"/>
    <x v="0"/>
    <x v="3"/>
    <x v="2"/>
  </r>
  <r>
    <s v="Call_7931"/>
    <x v="4"/>
    <x v="86"/>
    <x v="4"/>
    <x v="202"/>
    <n v="40"/>
    <n v="3.3"/>
    <x v="1"/>
    <x v="1"/>
    <x v="0"/>
    <x v="1"/>
  </r>
  <r>
    <s v="Call_7932"/>
    <x v="4"/>
    <x v="55"/>
    <x v="1"/>
    <x v="203"/>
    <n v="54"/>
    <n v="3.8"/>
    <x v="1"/>
    <x v="2"/>
    <x v="1"/>
    <x v="2"/>
  </r>
  <r>
    <s v="Call_7933"/>
    <x v="1"/>
    <x v="49"/>
    <x v="1"/>
    <x v="203"/>
    <n v="60"/>
    <n v="2.5"/>
    <x v="1"/>
    <x v="2"/>
    <x v="1"/>
    <x v="1"/>
  </r>
  <r>
    <s v="Call_7934"/>
    <x v="11"/>
    <x v="134"/>
    <x v="0"/>
    <x v="204"/>
    <n v="58"/>
    <n v="4.5999999999999996"/>
    <x v="1"/>
    <x v="4"/>
    <x v="0"/>
    <x v="0"/>
  </r>
  <r>
    <s v="Call_7935"/>
    <x v="6"/>
    <x v="29"/>
    <x v="4"/>
    <x v="204"/>
    <n v="220"/>
    <n v="4.7"/>
    <x v="1"/>
    <x v="4"/>
    <x v="0"/>
    <x v="0"/>
  </r>
  <r>
    <s v="Call_7936"/>
    <x v="0"/>
    <x v="47"/>
    <x v="4"/>
    <x v="204"/>
    <n v="27"/>
    <n v="3.6"/>
    <x v="1"/>
    <x v="4"/>
    <x v="0"/>
    <x v="2"/>
  </r>
  <r>
    <s v="Call_7937"/>
    <x v="7"/>
    <x v="33"/>
    <x v="4"/>
    <x v="205"/>
    <n v="26"/>
    <n v="4.3"/>
    <x v="1"/>
    <x v="6"/>
    <x v="0"/>
    <x v="2"/>
  </r>
  <r>
    <s v="Call_7938"/>
    <x v="10"/>
    <x v="104"/>
    <x v="3"/>
    <x v="206"/>
    <n v="160"/>
    <n v="4.7"/>
    <x v="1"/>
    <x v="0"/>
    <x v="1"/>
    <x v="0"/>
  </r>
  <r>
    <s v="Call_7939"/>
    <x v="12"/>
    <x v="6"/>
    <x v="1"/>
    <x v="206"/>
    <n v="200"/>
    <n v="4.9000000000000004"/>
    <x v="1"/>
    <x v="0"/>
    <x v="0"/>
    <x v="0"/>
  </r>
  <r>
    <s v="Call_7940"/>
    <x v="12"/>
    <x v="23"/>
    <x v="0"/>
    <x v="207"/>
    <n v="135"/>
    <n v="4.9000000000000004"/>
    <x v="1"/>
    <x v="3"/>
    <x v="1"/>
    <x v="0"/>
  </r>
  <r>
    <s v="Call_7941"/>
    <x v="0"/>
    <x v="3"/>
    <x v="1"/>
    <x v="208"/>
    <n v="22"/>
    <n v="1.9"/>
    <x v="1"/>
    <x v="4"/>
    <x v="1"/>
    <x v="3"/>
  </r>
  <r>
    <s v="Call_7942"/>
    <x v="6"/>
    <x v="34"/>
    <x v="3"/>
    <x v="209"/>
    <n v="164"/>
    <n v="4.5"/>
    <x v="1"/>
    <x v="5"/>
    <x v="0"/>
    <x v="0"/>
  </r>
  <r>
    <s v="Call_7943"/>
    <x v="4"/>
    <x v="22"/>
    <x v="0"/>
    <x v="209"/>
    <n v="21"/>
    <n v="4.9000000000000004"/>
    <x v="1"/>
    <x v="5"/>
    <x v="0"/>
    <x v="0"/>
  </r>
  <r>
    <s v="Call_7944"/>
    <x v="6"/>
    <x v="131"/>
    <x v="3"/>
    <x v="210"/>
    <n v="120"/>
    <n v="4.5"/>
    <x v="1"/>
    <x v="6"/>
    <x v="0"/>
    <x v="0"/>
  </r>
  <r>
    <s v="Call_7945"/>
    <x v="5"/>
    <x v="84"/>
    <x v="2"/>
    <x v="210"/>
    <n v="93"/>
    <n v="2.7"/>
    <x v="1"/>
    <x v="6"/>
    <x v="0"/>
    <x v="1"/>
  </r>
  <r>
    <s v="Call_7946"/>
    <x v="4"/>
    <x v="3"/>
    <x v="2"/>
    <x v="210"/>
    <n v="135"/>
    <n v="2.1"/>
    <x v="1"/>
    <x v="6"/>
    <x v="1"/>
    <x v="3"/>
  </r>
  <r>
    <s v="Call_7947"/>
    <x v="12"/>
    <x v="78"/>
    <x v="0"/>
    <x v="210"/>
    <n v="210"/>
    <n v="4.2"/>
    <x v="1"/>
    <x v="6"/>
    <x v="3"/>
    <x v="2"/>
  </r>
  <r>
    <s v="Call_7948"/>
    <x v="14"/>
    <x v="47"/>
    <x v="2"/>
    <x v="211"/>
    <n v="29"/>
    <n v="4.7"/>
    <x v="1"/>
    <x v="0"/>
    <x v="0"/>
    <x v="0"/>
  </r>
  <r>
    <s v="Call_7949"/>
    <x v="8"/>
    <x v="90"/>
    <x v="4"/>
    <x v="211"/>
    <n v="111"/>
    <n v="3.9"/>
    <x v="1"/>
    <x v="0"/>
    <x v="0"/>
    <x v="2"/>
  </r>
  <r>
    <s v="Call_7950"/>
    <x v="3"/>
    <x v="89"/>
    <x v="1"/>
    <x v="212"/>
    <n v="63"/>
    <n v="4.0999999999999996"/>
    <x v="1"/>
    <x v="1"/>
    <x v="1"/>
    <x v="2"/>
  </r>
  <r>
    <s v="Call_7951"/>
    <x v="13"/>
    <x v="0"/>
    <x v="3"/>
    <x v="212"/>
    <n v="44"/>
    <n v="3.8"/>
    <x v="1"/>
    <x v="1"/>
    <x v="0"/>
    <x v="2"/>
  </r>
  <r>
    <s v="Call_7952"/>
    <x v="3"/>
    <x v="75"/>
    <x v="3"/>
    <x v="213"/>
    <n v="120"/>
    <n v="1.8"/>
    <x v="1"/>
    <x v="3"/>
    <x v="0"/>
    <x v="3"/>
  </r>
  <r>
    <s v="Call_7953"/>
    <x v="4"/>
    <x v="138"/>
    <x v="3"/>
    <x v="213"/>
    <n v="120"/>
    <n v="4.0999999999999996"/>
    <x v="1"/>
    <x v="3"/>
    <x v="3"/>
    <x v="2"/>
  </r>
  <r>
    <s v="Call_7954"/>
    <x v="8"/>
    <x v="157"/>
    <x v="1"/>
    <x v="214"/>
    <n v="40"/>
    <n v="4.4000000000000004"/>
    <x v="1"/>
    <x v="4"/>
    <x v="3"/>
    <x v="2"/>
  </r>
  <r>
    <s v="Call_7955"/>
    <x v="5"/>
    <x v="148"/>
    <x v="2"/>
    <x v="214"/>
    <n v="160"/>
    <n v="4.0999999999999996"/>
    <x v="1"/>
    <x v="4"/>
    <x v="1"/>
    <x v="2"/>
  </r>
  <r>
    <s v="Call_7956"/>
    <x v="12"/>
    <x v="21"/>
    <x v="3"/>
    <x v="215"/>
    <n v="44"/>
    <n v="3.8"/>
    <x v="1"/>
    <x v="5"/>
    <x v="0"/>
    <x v="2"/>
  </r>
  <r>
    <s v="Call_7957"/>
    <x v="3"/>
    <x v="130"/>
    <x v="1"/>
    <x v="215"/>
    <n v="80"/>
    <n v="4.3"/>
    <x v="1"/>
    <x v="5"/>
    <x v="0"/>
    <x v="2"/>
  </r>
  <r>
    <s v="Call_7958"/>
    <x v="10"/>
    <x v="143"/>
    <x v="1"/>
    <x v="216"/>
    <n v="66"/>
    <n v="4.5"/>
    <x v="1"/>
    <x v="6"/>
    <x v="2"/>
    <x v="0"/>
  </r>
  <r>
    <s v="Call_7959"/>
    <x v="13"/>
    <x v="133"/>
    <x v="4"/>
    <x v="216"/>
    <n v="82"/>
    <n v="3.4"/>
    <x v="1"/>
    <x v="6"/>
    <x v="1"/>
    <x v="1"/>
  </r>
  <r>
    <s v="Call_7960"/>
    <x v="5"/>
    <x v="38"/>
    <x v="3"/>
    <x v="216"/>
    <n v="66"/>
    <n v="4.8"/>
    <x v="1"/>
    <x v="6"/>
    <x v="0"/>
    <x v="0"/>
  </r>
  <r>
    <s v="Call_7961"/>
    <x v="12"/>
    <x v="37"/>
    <x v="2"/>
    <x v="216"/>
    <n v="92"/>
    <n v="4.9000000000000004"/>
    <x v="1"/>
    <x v="6"/>
    <x v="1"/>
    <x v="0"/>
  </r>
  <r>
    <s v="Call_7962"/>
    <x v="11"/>
    <x v="24"/>
    <x v="4"/>
    <x v="217"/>
    <n v="104"/>
    <n v="4.7"/>
    <x v="1"/>
    <x v="0"/>
    <x v="0"/>
    <x v="0"/>
  </r>
  <r>
    <s v="Call_7963"/>
    <x v="4"/>
    <x v="4"/>
    <x v="3"/>
    <x v="217"/>
    <n v="105"/>
    <n v="3.3"/>
    <x v="1"/>
    <x v="0"/>
    <x v="2"/>
    <x v="1"/>
  </r>
  <r>
    <s v="Call_7964"/>
    <x v="13"/>
    <x v="21"/>
    <x v="3"/>
    <x v="217"/>
    <n v="100"/>
    <n v="2.8"/>
    <x v="1"/>
    <x v="0"/>
    <x v="0"/>
    <x v="1"/>
  </r>
  <r>
    <s v="Call_7965"/>
    <x v="5"/>
    <x v="146"/>
    <x v="4"/>
    <x v="217"/>
    <n v="90"/>
    <n v="4.0999999999999996"/>
    <x v="1"/>
    <x v="0"/>
    <x v="0"/>
    <x v="2"/>
  </r>
  <r>
    <s v="Call_7966"/>
    <x v="2"/>
    <x v="18"/>
    <x v="0"/>
    <x v="217"/>
    <n v="110"/>
    <n v="3.5"/>
    <x v="1"/>
    <x v="0"/>
    <x v="2"/>
    <x v="2"/>
  </r>
  <r>
    <s v="Call_7967"/>
    <x v="10"/>
    <x v="66"/>
    <x v="4"/>
    <x v="218"/>
    <n v="68"/>
    <n v="2.2999999999999998"/>
    <x v="1"/>
    <x v="2"/>
    <x v="0"/>
    <x v="3"/>
  </r>
  <r>
    <s v="Call_7968"/>
    <x v="4"/>
    <x v="95"/>
    <x v="1"/>
    <x v="219"/>
    <n v="210"/>
    <n v="4.0999999999999996"/>
    <x v="1"/>
    <x v="3"/>
    <x v="0"/>
    <x v="2"/>
  </r>
  <r>
    <s v="Call_7969"/>
    <x v="1"/>
    <x v="145"/>
    <x v="0"/>
    <x v="219"/>
    <n v="111"/>
    <n v="4.3"/>
    <x v="1"/>
    <x v="3"/>
    <x v="2"/>
    <x v="2"/>
  </r>
  <r>
    <s v="Call_7970"/>
    <x v="1"/>
    <x v="41"/>
    <x v="1"/>
    <x v="220"/>
    <n v="45"/>
    <n v="4.9000000000000004"/>
    <x v="1"/>
    <x v="4"/>
    <x v="0"/>
    <x v="0"/>
  </r>
  <r>
    <s v="Call_7971"/>
    <x v="7"/>
    <x v="55"/>
    <x v="0"/>
    <x v="221"/>
    <n v="132"/>
    <n v="4"/>
    <x v="1"/>
    <x v="5"/>
    <x v="1"/>
    <x v="2"/>
  </r>
  <r>
    <s v="Call_7972"/>
    <x v="0"/>
    <x v="70"/>
    <x v="4"/>
    <x v="221"/>
    <n v="20"/>
    <n v="4.7"/>
    <x v="1"/>
    <x v="5"/>
    <x v="1"/>
    <x v="0"/>
  </r>
  <r>
    <s v="Call_7973"/>
    <x v="6"/>
    <x v="74"/>
    <x v="3"/>
    <x v="221"/>
    <n v="36"/>
    <n v="3.4"/>
    <x v="1"/>
    <x v="5"/>
    <x v="0"/>
    <x v="1"/>
  </r>
  <r>
    <s v="Call_7974"/>
    <x v="13"/>
    <x v="5"/>
    <x v="1"/>
    <x v="222"/>
    <n v="72"/>
    <n v="4"/>
    <x v="1"/>
    <x v="0"/>
    <x v="0"/>
    <x v="2"/>
  </r>
  <r>
    <s v="Call_7975"/>
    <x v="9"/>
    <x v="75"/>
    <x v="1"/>
    <x v="222"/>
    <n v="63"/>
    <n v="4.5"/>
    <x v="1"/>
    <x v="0"/>
    <x v="0"/>
    <x v="0"/>
  </r>
  <r>
    <s v="Call_7976"/>
    <x v="9"/>
    <x v="6"/>
    <x v="0"/>
    <x v="223"/>
    <n v="44"/>
    <n v="4.5"/>
    <x v="1"/>
    <x v="1"/>
    <x v="0"/>
    <x v="0"/>
  </r>
  <r>
    <s v="Call_7977"/>
    <x v="0"/>
    <x v="84"/>
    <x v="2"/>
    <x v="223"/>
    <n v="132"/>
    <n v="4.9000000000000004"/>
    <x v="1"/>
    <x v="1"/>
    <x v="0"/>
    <x v="0"/>
  </r>
  <r>
    <s v="Call_7978"/>
    <x v="12"/>
    <x v="97"/>
    <x v="3"/>
    <x v="223"/>
    <n v="46"/>
    <n v="4.4000000000000004"/>
    <x v="1"/>
    <x v="1"/>
    <x v="0"/>
    <x v="2"/>
  </r>
  <r>
    <s v="Call_7979"/>
    <x v="12"/>
    <x v="74"/>
    <x v="3"/>
    <x v="223"/>
    <n v="96"/>
    <n v="2.9"/>
    <x v="1"/>
    <x v="1"/>
    <x v="0"/>
    <x v="1"/>
  </r>
  <r>
    <s v="Call_7980"/>
    <x v="8"/>
    <x v="37"/>
    <x v="0"/>
    <x v="224"/>
    <n v="75"/>
    <n v="4.4000000000000004"/>
    <x v="1"/>
    <x v="2"/>
    <x v="1"/>
    <x v="2"/>
  </r>
  <r>
    <s v="Call_7981"/>
    <x v="5"/>
    <x v="143"/>
    <x v="3"/>
    <x v="225"/>
    <n v="88"/>
    <n v="4.3"/>
    <x v="1"/>
    <x v="3"/>
    <x v="2"/>
    <x v="2"/>
  </r>
  <r>
    <s v="Call_7982"/>
    <x v="1"/>
    <x v="41"/>
    <x v="0"/>
    <x v="225"/>
    <n v="24"/>
    <n v="4.7"/>
    <x v="1"/>
    <x v="3"/>
    <x v="0"/>
    <x v="0"/>
  </r>
  <r>
    <s v="Call_7983"/>
    <x v="3"/>
    <x v="20"/>
    <x v="4"/>
    <x v="225"/>
    <n v="96"/>
    <n v="3.2"/>
    <x v="1"/>
    <x v="3"/>
    <x v="2"/>
    <x v="1"/>
  </r>
  <r>
    <s v="Call_7984"/>
    <x v="4"/>
    <x v="111"/>
    <x v="4"/>
    <x v="226"/>
    <n v="124"/>
    <n v="2.2999999999999998"/>
    <x v="1"/>
    <x v="4"/>
    <x v="1"/>
    <x v="3"/>
  </r>
  <r>
    <s v="Call_7985"/>
    <x v="3"/>
    <x v="93"/>
    <x v="2"/>
    <x v="227"/>
    <n v="130"/>
    <n v="3.6"/>
    <x v="1"/>
    <x v="5"/>
    <x v="2"/>
    <x v="2"/>
  </r>
  <r>
    <s v="Call_7986"/>
    <x v="12"/>
    <x v="156"/>
    <x v="1"/>
    <x v="227"/>
    <n v="45"/>
    <n v="4.5999999999999996"/>
    <x v="1"/>
    <x v="5"/>
    <x v="0"/>
    <x v="0"/>
  </r>
  <r>
    <s v="Call_7987"/>
    <x v="2"/>
    <x v="90"/>
    <x v="4"/>
    <x v="227"/>
    <n v="66"/>
    <n v="4"/>
    <x v="1"/>
    <x v="5"/>
    <x v="0"/>
    <x v="2"/>
  </r>
  <r>
    <s v="Call_7988"/>
    <x v="0"/>
    <x v="32"/>
    <x v="0"/>
    <x v="227"/>
    <n v="58"/>
    <n v="4.7"/>
    <x v="1"/>
    <x v="5"/>
    <x v="0"/>
    <x v="0"/>
  </r>
  <r>
    <s v="Call_7989"/>
    <x v="13"/>
    <x v="125"/>
    <x v="4"/>
    <x v="228"/>
    <n v="152"/>
    <n v="4.3"/>
    <x v="1"/>
    <x v="6"/>
    <x v="2"/>
    <x v="2"/>
  </r>
  <r>
    <s v="Call_7990"/>
    <x v="4"/>
    <x v="33"/>
    <x v="3"/>
    <x v="228"/>
    <n v="75"/>
    <n v="2.8"/>
    <x v="1"/>
    <x v="6"/>
    <x v="0"/>
    <x v="1"/>
  </r>
  <r>
    <s v="Call_7991"/>
    <x v="10"/>
    <x v="70"/>
    <x v="1"/>
    <x v="228"/>
    <n v="78"/>
    <n v="4"/>
    <x v="1"/>
    <x v="6"/>
    <x v="1"/>
    <x v="2"/>
  </r>
  <r>
    <s v="Call_7992"/>
    <x v="0"/>
    <x v="30"/>
    <x v="2"/>
    <x v="228"/>
    <n v="69"/>
    <n v="3.9"/>
    <x v="1"/>
    <x v="6"/>
    <x v="0"/>
    <x v="2"/>
  </r>
  <r>
    <s v="Call_7993"/>
    <x v="11"/>
    <x v="55"/>
    <x v="0"/>
    <x v="229"/>
    <n v="46"/>
    <n v="3.1"/>
    <x v="1"/>
    <x v="0"/>
    <x v="1"/>
    <x v="1"/>
  </r>
  <r>
    <s v="Call_7994"/>
    <x v="13"/>
    <x v="139"/>
    <x v="4"/>
    <x v="229"/>
    <n v="64"/>
    <n v="2.7"/>
    <x v="1"/>
    <x v="0"/>
    <x v="1"/>
    <x v="1"/>
  </r>
  <r>
    <s v="Call_7995"/>
    <x v="6"/>
    <x v="99"/>
    <x v="1"/>
    <x v="229"/>
    <n v="38"/>
    <n v="4.7"/>
    <x v="1"/>
    <x v="0"/>
    <x v="0"/>
    <x v="0"/>
  </r>
  <r>
    <s v="Call_7996"/>
    <x v="0"/>
    <x v="20"/>
    <x v="1"/>
    <x v="230"/>
    <n v="90"/>
    <n v="4.3"/>
    <x v="1"/>
    <x v="2"/>
    <x v="2"/>
    <x v="2"/>
  </r>
  <r>
    <s v="Call_7997"/>
    <x v="7"/>
    <x v="131"/>
    <x v="1"/>
    <x v="230"/>
    <n v="32"/>
    <n v="3.8"/>
    <x v="1"/>
    <x v="2"/>
    <x v="0"/>
    <x v="2"/>
  </r>
  <r>
    <s v="Call_7998"/>
    <x v="8"/>
    <x v="29"/>
    <x v="4"/>
    <x v="230"/>
    <n v="120"/>
    <n v="4.4000000000000004"/>
    <x v="1"/>
    <x v="2"/>
    <x v="0"/>
    <x v="2"/>
  </r>
  <r>
    <s v="Call_7999"/>
    <x v="6"/>
    <x v="126"/>
    <x v="1"/>
    <x v="230"/>
    <n v="31"/>
    <n v="3.9"/>
    <x v="1"/>
    <x v="2"/>
    <x v="4"/>
    <x v="2"/>
  </r>
  <r>
    <s v="Call_8000"/>
    <x v="2"/>
    <x v="77"/>
    <x v="4"/>
    <x v="231"/>
    <n v="108"/>
    <n v="4.9000000000000004"/>
    <x v="1"/>
    <x v="3"/>
    <x v="0"/>
    <x v="0"/>
  </r>
  <r>
    <s v="Call_8001"/>
    <x v="0"/>
    <x v="50"/>
    <x v="4"/>
    <x v="231"/>
    <n v="180"/>
    <n v="4.2"/>
    <x v="1"/>
    <x v="3"/>
    <x v="0"/>
    <x v="2"/>
  </r>
  <r>
    <s v="Call_8002"/>
    <x v="7"/>
    <x v="54"/>
    <x v="2"/>
    <x v="232"/>
    <n v="124"/>
    <n v="4"/>
    <x v="1"/>
    <x v="4"/>
    <x v="2"/>
    <x v="2"/>
  </r>
  <r>
    <s v="Call_8003"/>
    <x v="5"/>
    <x v="67"/>
    <x v="2"/>
    <x v="232"/>
    <n v="23"/>
    <n v="4.2"/>
    <x v="1"/>
    <x v="4"/>
    <x v="0"/>
    <x v="2"/>
  </r>
  <r>
    <s v="Call_8004"/>
    <x v="12"/>
    <x v="44"/>
    <x v="0"/>
    <x v="233"/>
    <n v="24"/>
    <n v="4.8"/>
    <x v="1"/>
    <x v="5"/>
    <x v="2"/>
    <x v="0"/>
  </r>
  <r>
    <s v="Call_8005"/>
    <x v="5"/>
    <x v="116"/>
    <x v="1"/>
    <x v="234"/>
    <n v="52"/>
    <n v="1.1000000000000001"/>
    <x v="1"/>
    <x v="6"/>
    <x v="1"/>
    <x v="5"/>
  </r>
  <r>
    <s v="Call_8006"/>
    <x v="2"/>
    <x v="62"/>
    <x v="0"/>
    <x v="235"/>
    <n v="168"/>
    <n v="4"/>
    <x v="1"/>
    <x v="0"/>
    <x v="2"/>
    <x v="2"/>
  </r>
  <r>
    <s v="Call_8007"/>
    <x v="13"/>
    <x v="42"/>
    <x v="4"/>
    <x v="236"/>
    <n v="125"/>
    <n v="4.8"/>
    <x v="1"/>
    <x v="2"/>
    <x v="0"/>
    <x v="0"/>
  </r>
  <r>
    <s v="Call_8008"/>
    <x v="0"/>
    <x v="51"/>
    <x v="0"/>
    <x v="237"/>
    <n v="50"/>
    <n v="4.2"/>
    <x v="1"/>
    <x v="3"/>
    <x v="0"/>
    <x v="2"/>
  </r>
  <r>
    <s v="Call_8009"/>
    <x v="9"/>
    <x v="30"/>
    <x v="1"/>
    <x v="238"/>
    <n v="220"/>
    <n v="4.5999999999999996"/>
    <x v="1"/>
    <x v="4"/>
    <x v="0"/>
    <x v="0"/>
  </r>
  <r>
    <s v="Call_8010"/>
    <x v="6"/>
    <x v="130"/>
    <x v="0"/>
    <x v="238"/>
    <n v="180"/>
    <n v="4"/>
    <x v="1"/>
    <x v="4"/>
    <x v="0"/>
    <x v="2"/>
  </r>
  <r>
    <s v="Call_8011"/>
    <x v="2"/>
    <x v="77"/>
    <x v="1"/>
    <x v="238"/>
    <n v="110"/>
    <n v="3.9"/>
    <x v="1"/>
    <x v="4"/>
    <x v="0"/>
    <x v="2"/>
  </r>
  <r>
    <s v="Call_8012"/>
    <x v="12"/>
    <x v="151"/>
    <x v="0"/>
    <x v="238"/>
    <n v="36"/>
    <n v="2.8"/>
    <x v="1"/>
    <x v="4"/>
    <x v="1"/>
    <x v="1"/>
  </r>
  <r>
    <s v="Call_8013"/>
    <x v="1"/>
    <x v="92"/>
    <x v="2"/>
    <x v="239"/>
    <n v="93"/>
    <n v="4.7"/>
    <x v="1"/>
    <x v="5"/>
    <x v="1"/>
    <x v="0"/>
  </r>
  <r>
    <s v="Call_8014"/>
    <x v="6"/>
    <x v="134"/>
    <x v="0"/>
    <x v="239"/>
    <n v="38"/>
    <n v="4.2"/>
    <x v="1"/>
    <x v="5"/>
    <x v="0"/>
    <x v="2"/>
  </r>
  <r>
    <s v="Call_8015"/>
    <x v="2"/>
    <x v="130"/>
    <x v="2"/>
    <x v="240"/>
    <n v="66"/>
    <n v="3.9"/>
    <x v="1"/>
    <x v="6"/>
    <x v="0"/>
    <x v="2"/>
  </r>
  <r>
    <s v="Call_8016"/>
    <x v="5"/>
    <x v="42"/>
    <x v="0"/>
    <x v="240"/>
    <n v="215"/>
    <n v="4.5999999999999996"/>
    <x v="1"/>
    <x v="6"/>
    <x v="0"/>
    <x v="0"/>
  </r>
  <r>
    <s v="Call_8017"/>
    <x v="5"/>
    <x v="64"/>
    <x v="2"/>
    <x v="240"/>
    <n v="92"/>
    <n v="4.3"/>
    <x v="1"/>
    <x v="6"/>
    <x v="2"/>
    <x v="2"/>
  </r>
  <r>
    <s v="Call_8018"/>
    <x v="4"/>
    <x v="74"/>
    <x v="0"/>
    <x v="240"/>
    <n v="80"/>
    <n v="3.6"/>
    <x v="1"/>
    <x v="6"/>
    <x v="0"/>
    <x v="2"/>
  </r>
  <r>
    <s v="Call_8019"/>
    <x v="4"/>
    <x v="22"/>
    <x v="0"/>
    <x v="241"/>
    <n v="123"/>
    <n v="4.9000000000000004"/>
    <x v="1"/>
    <x v="0"/>
    <x v="0"/>
    <x v="0"/>
  </r>
  <r>
    <s v="Call_8020"/>
    <x v="12"/>
    <x v="48"/>
    <x v="3"/>
    <x v="241"/>
    <n v="23"/>
    <n v="2.4"/>
    <x v="1"/>
    <x v="0"/>
    <x v="0"/>
    <x v="3"/>
  </r>
  <r>
    <s v="Call_8021"/>
    <x v="11"/>
    <x v="127"/>
    <x v="1"/>
    <x v="241"/>
    <n v="63"/>
    <n v="4.2"/>
    <x v="1"/>
    <x v="0"/>
    <x v="1"/>
    <x v="2"/>
  </r>
  <r>
    <s v="Call_8022"/>
    <x v="14"/>
    <x v="66"/>
    <x v="4"/>
    <x v="241"/>
    <n v="52"/>
    <n v="3.9"/>
    <x v="1"/>
    <x v="0"/>
    <x v="0"/>
    <x v="2"/>
  </r>
  <r>
    <s v="Call_8023"/>
    <x v="5"/>
    <x v="99"/>
    <x v="4"/>
    <x v="241"/>
    <n v="60"/>
    <n v="4.2"/>
    <x v="1"/>
    <x v="0"/>
    <x v="0"/>
    <x v="2"/>
  </r>
  <r>
    <s v="Call_8024"/>
    <x v="4"/>
    <x v="19"/>
    <x v="2"/>
    <x v="242"/>
    <n v="87"/>
    <n v="3.9"/>
    <x v="1"/>
    <x v="1"/>
    <x v="0"/>
    <x v="2"/>
  </r>
  <r>
    <s v="Call_8025"/>
    <x v="8"/>
    <x v="74"/>
    <x v="0"/>
    <x v="243"/>
    <n v="42"/>
    <n v="4.5"/>
    <x v="1"/>
    <x v="2"/>
    <x v="0"/>
    <x v="0"/>
  </r>
  <r>
    <s v="Call_8026"/>
    <x v="10"/>
    <x v="112"/>
    <x v="1"/>
    <x v="244"/>
    <n v="37"/>
    <n v="3.8"/>
    <x v="1"/>
    <x v="3"/>
    <x v="1"/>
    <x v="2"/>
  </r>
  <r>
    <s v="Call_8027"/>
    <x v="10"/>
    <x v="51"/>
    <x v="3"/>
    <x v="244"/>
    <n v="135"/>
    <n v="3.9"/>
    <x v="1"/>
    <x v="3"/>
    <x v="0"/>
    <x v="2"/>
  </r>
  <r>
    <s v="Call_8028"/>
    <x v="8"/>
    <x v="72"/>
    <x v="3"/>
    <x v="244"/>
    <n v="88"/>
    <n v="4.7"/>
    <x v="1"/>
    <x v="3"/>
    <x v="1"/>
    <x v="0"/>
  </r>
  <r>
    <s v="Call_8029"/>
    <x v="13"/>
    <x v="130"/>
    <x v="1"/>
    <x v="244"/>
    <n v="190"/>
    <n v="3.2"/>
    <x v="1"/>
    <x v="3"/>
    <x v="0"/>
    <x v="1"/>
  </r>
  <r>
    <s v="Call_8030"/>
    <x v="13"/>
    <x v="139"/>
    <x v="3"/>
    <x v="244"/>
    <n v="81"/>
    <n v="5"/>
    <x v="1"/>
    <x v="3"/>
    <x v="1"/>
    <x v="0"/>
  </r>
  <r>
    <s v="Call_8031"/>
    <x v="10"/>
    <x v="116"/>
    <x v="1"/>
    <x v="244"/>
    <n v="44"/>
    <n v="3.7"/>
    <x v="1"/>
    <x v="3"/>
    <x v="1"/>
    <x v="2"/>
  </r>
  <r>
    <s v="Call_8032"/>
    <x v="2"/>
    <x v="10"/>
    <x v="3"/>
    <x v="245"/>
    <n v="92"/>
    <n v="3.9"/>
    <x v="1"/>
    <x v="4"/>
    <x v="1"/>
    <x v="2"/>
  </r>
  <r>
    <s v="Call_8033"/>
    <x v="10"/>
    <x v="50"/>
    <x v="0"/>
    <x v="246"/>
    <n v="90"/>
    <n v="3.1"/>
    <x v="1"/>
    <x v="5"/>
    <x v="0"/>
    <x v="1"/>
  </r>
  <r>
    <s v="Call_8034"/>
    <x v="11"/>
    <x v="90"/>
    <x v="3"/>
    <x v="246"/>
    <n v="112"/>
    <n v="2"/>
    <x v="1"/>
    <x v="5"/>
    <x v="0"/>
    <x v="3"/>
  </r>
  <r>
    <s v="Call_8035"/>
    <x v="9"/>
    <x v="76"/>
    <x v="1"/>
    <x v="246"/>
    <n v="112"/>
    <n v="4.5999999999999996"/>
    <x v="1"/>
    <x v="5"/>
    <x v="1"/>
    <x v="0"/>
  </r>
  <r>
    <s v="Call_8036"/>
    <x v="14"/>
    <x v="55"/>
    <x v="2"/>
    <x v="246"/>
    <n v="48"/>
    <n v="3.7"/>
    <x v="1"/>
    <x v="5"/>
    <x v="1"/>
    <x v="2"/>
  </r>
  <r>
    <s v="Call_8037"/>
    <x v="11"/>
    <x v="118"/>
    <x v="1"/>
    <x v="246"/>
    <n v="116"/>
    <n v="4.4000000000000004"/>
    <x v="1"/>
    <x v="5"/>
    <x v="1"/>
    <x v="2"/>
  </r>
  <r>
    <s v="Call_8038"/>
    <x v="1"/>
    <x v="95"/>
    <x v="1"/>
    <x v="246"/>
    <n v="29"/>
    <n v="2.1"/>
    <x v="1"/>
    <x v="5"/>
    <x v="0"/>
    <x v="3"/>
  </r>
  <r>
    <s v="Call_8039"/>
    <x v="9"/>
    <x v="107"/>
    <x v="3"/>
    <x v="247"/>
    <n v="170"/>
    <n v="2.2000000000000002"/>
    <x v="1"/>
    <x v="6"/>
    <x v="0"/>
    <x v="3"/>
  </r>
  <r>
    <s v="Call_8040"/>
    <x v="1"/>
    <x v="134"/>
    <x v="4"/>
    <x v="247"/>
    <n v="68"/>
    <n v="3.4"/>
    <x v="1"/>
    <x v="6"/>
    <x v="0"/>
    <x v="1"/>
  </r>
  <r>
    <s v="Call_8041"/>
    <x v="4"/>
    <x v="74"/>
    <x v="0"/>
    <x v="247"/>
    <n v="195"/>
    <n v="2.7"/>
    <x v="1"/>
    <x v="6"/>
    <x v="0"/>
    <x v="1"/>
  </r>
  <r>
    <s v="Call_8042"/>
    <x v="3"/>
    <x v="19"/>
    <x v="0"/>
    <x v="247"/>
    <n v="96"/>
    <n v="3.7"/>
    <x v="1"/>
    <x v="6"/>
    <x v="0"/>
    <x v="2"/>
  </r>
  <r>
    <s v="Call_8043"/>
    <x v="11"/>
    <x v="1"/>
    <x v="0"/>
    <x v="247"/>
    <n v="96"/>
    <n v="3.1"/>
    <x v="1"/>
    <x v="6"/>
    <x v="0"/>
    <x v="1"/>
  </r>
  <r>
    <s v="Call_8044"/>
    <x v="14"/>
    <x v="84"/>
    <x v="2"/>
    <x v="247"/>
    <n v="117"/>
    <n v="4.0999999999999996"/>
    <x v="1"/>
    <x v="6"/>
    <x v="0"/>
    <x v="2"/>
  </r>
  <r>
    <s v="Call_8045"/>
    <x v="4"/>
    <x v="26"/>
    <x v="3"/>
    <x v="247"/>
    <n v="80"/>
    <n v="4.8"/>
    <x v="1"/>
    <x v="6"/>
    <x v="3"/>
    <x v="0"/>
  </r>
  <r>
    <s v="Call_8046"/>
    <x v="8"/>
    <x v="104"/>
    <x v="4"/>
    <x v="247"/>
    <n v="117"/>
    <n v="4"/>
    <x v="1"/>
    <x v="6"/>
    <x v="1"/>
    <x v="2"/>
  </r>
  <r>
    <s v="Call_8047"/>
    <x v="10"/>
    <x v="97"/>
    <x v="0"/>
    <x v="248"/>
    <n v="40"/>
    <n v="3"/>
    <x v="1"/>
    <x v="0"/>
    <x v="0"/>
    <x v="1"/>
  </r>
  <r>
    <s v="Call_8048"/>
    <x v="13"/>
    <x v="158"/>
    <x v="4"/>
    <x v="248"/>
    <n v="117"/>
    <n v="4.8"/>
    <x v="1"/>
    <x v="0"/>
    <x v="3"/>
    <x v="0"/>
  </r>
  <r>
    <s v="Call_8049"/>
    <x v="7"/>
    <x v="67"/>
    <x v="3"/>
    <x v="248"/>
    <n v="135"/>
    <n v="4.0999999999999996"/>
    <x v="1"/>
    <x v="0"/>
    <x v="0"/>
    <x v="2"/>
  </r>
  <r>
    <s v="Call_8050"/>
    <x v="11"/>
    <x v="25"/>
    <x v="1"/>
    <x v="248"/>
    <n v="99"/>
    <n v="4.2"/>
    <x v="1"/>
    <x v="0"/>
    <x v="0"/>
    <x v="2"/>
  </r>
  <r>
    <s v="Call_8051"/>
    <x v="6"/>
    <x v="40"/>
    <x v="2"/>
    <x v="248"/>
    <n v="130"/>
    <n v="3.3"/>
    <x v="1"/>
    <x v="0"/>
    <x v="1"/>
    <x v="1"/>
  </r>
  <r>
    <s v="Call_8052"/>
    <x v="5"/>
    <x v="108"/>
    <x v="4"/>
    <x v="248"/>
    <n v="96"/>
    <n v="4.7"/>
    <x v="1"/>
    <x v="0"/>
    <x v="2"/>
    <x v="0"/>
  </r>
  <r>
    <s v="Call_8053"/>
    <x v="4"/>
    <x v="24"/>
    <x v="2"/>
    <x v="248"/>
    <n v="128"/>
    <n v="3.7"/>
    <x v="1"/>
    <x v="0"/>
    <x v="0"/>
    <x v="2"/>
  </r>
  <r>
    <s v="Call_8054"/>
    <x v="14"/>
    <x v="37"/>
    <x v="0"/>
    <x v="248"/>
    <n v="69"/>
    <n v="4.7"/>
    <x v="1"/>
    <x v="0"/>
    <x v="1"/>
    <x v="0"/>
  </r>
  <r>
    <s v="Call_8055"/>
    <x v="14"/>
    <x v="66"/>
    <x v="0"/>
    <x v="248"/>
    <n v="44"/>
    <n v="4.5999999999999996"/>
    <x v="1"/>
    <x v="0"/>
    <x v="0"/>
    <x v="0"/>
  </r>
  <r>
    <s v="Call_8056"/>
    <x v="5"/>
    <x v="112"/>
    <x v="0"/>
    <x v="248"/>
    <n v="44"/>
    <n v="4.8"/>
    <x v="1"/>
    <x v="0"/>
    <x v="1"/>
    <x v="0"/>
  </r>
  <r>
    <s v="Call_8057"/>
    <x v="9"/>
    <x v="59"/>
    <x v="4"/>
    <x v="249"/>
    <n v="135"/>
    <n v="2"/>
    <x v="1"/>
    <x v="1"/>
    <x v="0"/>
    <x v="3"/>
  </r>
  <r>
    <s v="Call_8058"/>
    <x v="3"/>
    <x v="107"/>
    <x v="2"/>
    <x v="249"/>
    <n v="45"/>
    <n v="3.9"/>
    <x v="1"/>
    <x v="1"/>
    <x v="0"/>
    <x v="2"/>
  </r>
  <r>
    <s v="Call_8059"/>
    <x v="13"/>
    <x v="62"/>
    <x v="2"/>
    <x v="249"/>
    <n v="87"/>
    <n v="3"/>
    <x v="1"/>
    <x v="1"/>
    <x v="2"/>
    <x v="1"/>
  </r>
  <r>
    <s v="Call_8060"/>
    <x v="8"/>
    <x v="67"/>
    <x v="3"/>
    <x v="250"/>
    <n v="84"/>
    <n v="4.5999999999999996"/>
    <x v="1"/>
    <x v="2"/>
    <x v="0"/>
    <x v="0"/>
  </r>
  <r>
    <s v="Call_8061"/>
    <x v="9"/>
    <x v="34"/>
    <x v="0"/>
    <x v="250"/>
    <n v="81"/>
    <n v="3.8"/>
    <x v="1"/>
    <x v="2"/>
    <x v="0"/>
    <x v="2"/>
  </r>
  <r>
    <s v="Call_8062"/>
    <x v="5"/>
    <x v="25"/>
    <x v="1"/>
    <x v="250"/>
    <n v="130"/>
    <n v="4.4000000000000004"/>
    <x v="1"/>
    <x v="2"/>
    <x v="0"/>
    <x v="2"/>
  </r>
  <r>
    <s v="Call_8063"/>
    <x v="4"/>
    <x v="96"/>
    <x v="0"/>
    <x v="251"/>
    <n v="92"/>
    <n v="2.4"/>
    <x v="1"/>
    <x v="3"/>
    <x v="0"/>
    <x v="3"/>
  </r>
  <r>
    <s v="Call_8064"/>
    <x v="12"/>
    <x v="82"/>
    <x v="3"/>
    <x v="251"/>
    <n v="48"/>
    <n v="4.5"/>
    <x v="1"/>
    <x v="3"/>
    <x v="2"/>
    <x v="0"/>
  </r>
  <r>
    <s v="Call_8065"/>
    <x v="3"/>
    <x v="6"/>
    <x v="4"/>
    <x v="251"/>
    <n v="160"/>
    <n v="4.5"/>
    <x v="1"/>
    <x v="3"/>
    <x v="0"/>
    <x v="0"/>
  </r>
  <r>
    <s v="Call_8066"/>
    <x v="7"/>
    <x v="87"/>
    <x v="3"/>
    <x v="252"/>
    <n v="155"/>
    <n v="2.7"/>
    <x v="1"/>
    <x v="4"/>
    <x v="1"/>
    <x v="1"/>
  </r>
  <r>
    <s v="Call_8067"/>
    <x v="6"/>
    <x v="117"/>
    <x v="1"/>
    <x v="252"/>
    <n v="100"/>
    <n v="4.9000000000000004"/>
    <x v="1"/>
    <x v="4"/>
    <x v="0"/>
    <x v="0"/>
  </r>
  <r>
    <s v="Call_8068"/>
    <x v="9"/>
    <x v="46"/>
    <x v="2"/>
    <x v="252"/>
    <n v="56"/>
    <n v="3.7"/>
    <x v="1"/>
    <x v="4"/>
    <x v="0"/>
    <x v="2"/>
  </r>
  <r>
    <s v="Call_8069"/>
    <x v="4"/>
    <x v="159"/>
    <x v="0"/>
    <x v="252"/>
    <n v="170"/>
    <n v="3.9"/>
    <x v="1"/>
    <x v="4"/>
    <x v="4"/>
    <x v="2"/>
  </r>
  <r>
    <s v="Call_8070"/>
    <x v="13"/>
    <x v="67"/>
    <x v="4"/>
    <x v="253"/>
    <n v="74"/>
    <n v="3.5"/>
    <x v="1"/>
    <x v="5"/>
    <x v="0"/>
    <x v="2"/>
  </r>
  <r>
    <s v="Call_8071"/>
    <x v="10"/>
    <x v="53"/>
    <x v="0"/>
    <x v="253"/>
    <n v="99"/>
    <n v="2.7"/>
    <x v="1"/>
    <x v="5"/>
    <x v="0"/>
    <x v="1"/>
  </r>
  <r>
    <s v="Call_8072"/>
    <x v="5"/>
    <x v="31"/>
    <x v="3"/>
    <x v="253"/>
    <n v="84"/>
    <n v="3.9"/>
    <x v="1"/>
    <x v="5"/>
    <x v="0"/>
    <x v="2"/>
  </r>
  <r>
    <s v="Call_8073"/>
    <x v="10"/>
    <x v="104"/>
    <x v="0"/>
    <x v="253"/>
    <n v="35"/>
    <n v="3.4"/>
    <x v="1"/>
    <x v="5"/>
    <x v="1"/>
    <x v="1"/>
  </r>
  <r>
    <s v="Call_8074"/>
    <x v="1"/>
    <x v="83"/>
    <x v="2"/>
    <x v="253"/>
    <n v="150"/>
    <n v="5"/>
    <x v="1"/>
    <x v="5"/>
    <x v="0"/>
    <x v="0"/>
  </r>
  <r>
    <s v="Call_8075"/>
    <x v="2"/>
    <x v="17"/>
    <x v="4"/>
    <x v="254"/>
    <n v="176"/>
    <n v="4.4000000000000004"/>
    <x v="1"/>
    <x v="6"/>
    <x v="2"/>
    <x v="2"/>
  </r>
  <r>
    <s v="Call_8076"/>
    <x v="2"/>
    <x v="31"/>
    <x v="4"/>
    <x v="254"/>
    <n v="84"/>
    <n v="4.3"/>
    <x v="1"/>
    <x v="6"/>
    <x v="0"/>
    <x v="2"/>
  </r>
  <r>
    <s v="Call_8077"/>
    <x v="5"/>
    <x v="131"/>
    <x v="4"/>
    <x v="254"/>
    <n v="136"/>
    <n v="4.7"/>
    <x v="1"/>
    <x v="6"/>
    <x v="0"/>
    <x v="0"/>
  </r>
  <r>
    <s v="Call_8078"/>
    <x v="4"/>
    <x v="124"/>
    <x v="4"/>
    <x v="255"/>
    <n v="70"/>
    <n v="4.0999999999999996"/>
    <x v="1"/>
    <x v="0"/>
    <x v="1"/>
    <x v="2"/>
  </r>
  <r>
    <s v="Call_8079"/>
    <x v="8"/>
    <x v="157"/>
    <x v="2"/>
    <x v="255"/>
    <n v="96"/>
    <n v="4.8"/>
    <x v="1"/>
    <x v="0"/>
    <x v="3"/>
    <x v="0"/>
  </r>
  <r>
    <s v="Call_8080"/>
    <x v="2"/>
    <x v="69"/>
    <x v="2"/>
    <x v="255"/>
    <n v="23"/>
    <n v="4.2"/>
    <x v="1"/>
    <x v="0"/>
    <x v="0"/>
    <x v="2"/>
  </r>
  <r>
    <s v="Call_8081"/>
    <x v="7"/>
    <x v="30"/>
    <x v="4"/>
    <x v="256"/>
    <n v="120"/>
    <n v="3.4"/>
    <x v="1"/>
    <x v="1"/>
    <x v="0"/>
    <x v="1"/>
  </r>
  <r>
    <s v="Call_8082"/>
    <x v="12"/>
    <x v="108"/>
    <x v="4"/>
    <x v="256"/>
    <n v="205"/>
    <n v="3.3"/>
    <x v="1"/>
    <x v="1"/>
    <x v="2"/>
    <x v="1"/>
  </r>
  <r>
    <s v="Call_8083"/>
    <x v="9"/>
    <x v="103"/>
    <x v="1"/>
    <x v="257"/>
    <n v="42"/>
    <n v="3.8"/>
    <x v="1"/>
    <x v="2"/>
    <x v="2"/>
    <x v="2"/>
  </r>
  <r>
    <s v="Call_8084"/>
    <x v="4"/>
    <x v="1"/>
    <x v="3"/>
    <x v="257"/>
    <n v="111"/>
    <n v="3.9"/>
    <x v="1"/>
    <x v="2"/>
    <x v="0"/>
    <x v="2"/>
  </r>
  <r>
    <s v="Call_8085"/>
    <x v="3"/>
    <x v="130"/>
    <x v="4"/>
    <x v="257"/>
    <n v="68"/>
    <n v="2.5"/>
    <x v="1"/>
    <x v="2"/>
    <x v="0"/>
    <x v="1"/>
  </r>
  <r>
    <s v="Call_8086"/>
    <x v="13"/>
    <x v="47"/>
    <x v="0"/>
    <x v="257"/>
    <n v="172"/>
    <n v="4.9000000000000004"/>
    <x v="1"/>
    <x v="2"/>
    <x v="0"/>
    <x v="0"/>
  </r>
  <r>
    <s v="Call_8087"/>
    <x v="11"/>
    <x v="44"/>
    <x v="4"/>
    <x v="257"/>
    <n v="152"/>
    <n v="4.8"/>
    <x v="1"/>
    <x v="2"/>
    <x v="2"/>
    <x v="0"/>
  </r>
  <r>
    <s v="Call_8088"/>
    <x v="11"/>
    <x v="31"/>
    <x v="1"/>
    <x v="257"/>
    <n v="48"/>
    <n v="4.7"/>
    <x v="1"/>
    <x v="2"/>
    <x v="0"/>
    <x v="0"/>
  </r>
  <r>
    <s v="Call_8089"/>
    <x v="6"/>
    <x v="71"/>
    <x v="1"/>
    <x v="257"/>
    <n v="25"/>
    <n v="4.7"/>
    <x v="1"/>
    <x v="2"/>
    <x v="2"/>
    <x v="0"/>
  </r>
  <r>
    <s v="Call_8090"/>
    <x v="3"/>
    <x v="5"/>
    <x v="3"/>
    <x v="258"/>
    <n v="54"/>
    <n v="3.3"/>
    <x v="1"/>
    <x v="3"/>
    <x v="0"/>
    <x v="1"/>
  </r>
  <r>
    <s v="Call_8091"/>
    <x v="3"/>
    <x v="124"/>
    <x v="2"/>
    <x v="258"/>
    <n v="108"/>
    <n v="4.7"/>
    <x v="1"/>
    <x v="3"/>
    <x v="1"/>
    <x v="0"/>
  </r>
  <r>
    <s v="Call_8092"/>
    <x v="14"/>
    <x v="53"/>
    <x v="4"/>
    <x v="258"/>
    <n v="36"/>
    <n v="4.5"/>
    <x v="1"/>
    <x v="3"/>
    <x v="0"/>
    <x v="0"/>
  </r>
  <r>
    <s v="Call_8093"/>
    <x v="0"/>
    <x v="134"/>
    <x v="1"/>
    <x v="259"/>
    <n v="140"/>
    <n v="4.5999999999999996"/>
    <x v="1"/>
    <x v="4"/>
    <x v="0"/>
    <x v="0"/>
  </r>
  <r>
    <s v="Call_8094"/>
    <x v="2"/>
    <x v="116"/>
    <x v="3"/>
    <x v="259"/>
    <n v="50"/>
    <n v="4.8"/>
    <x v="1"/>
    <x v="4"/>
    <x v="1"/>
    <x v="0"/>
  </r>
  <r>
    <s v="Call_8095"/>
    <x v="14"/>
    <x v="134"/>
    <x v="0"/>
    <x v="259"/>
    <n v="195"/>
    <n v="4.3"/>
    <x v="1"/>
    <x v="4"/>
    <x v="0"/>
    <x v="2"/>
  </r>
  <r>
    <s v="Call_8096"/>
    <x v="2"/>
    <x v="12"/>
    <x v="1"/>
    <x v="260"/>
    <n v="48"/>
    <n v="4.7"/>
    <x v="1"/>
    <x v="5"/>
    <x v="1"/>
    <x v="0"/>
  </r>
  <r>
    <s v="Call_8097"/>
    <x v="6"/>
    <x v="55"/>
    <x v="4"/>
    <x v="261"/>
    <n v="29"/>
    <n v="4.8"/>
    <x v="1"/>
    <x v="6"/>
    <x v="1"/>
    <x v="0"/>
  </r>
  <r>
    <s v="Call_8098"/>
    <x v="0"/>
    <x v="130"/>
    <x v="0"/>
    <x v="261"/>
    <n v="44"/>
    <n v="4.7"/>
    <x v="1"/>
    <x v="6"/>
    <x v="0"/>
    <x v="0"/>
  </r>
  <r>
    <s v="Call_8099"/>
    <x v="1"/>
    <x v="35"/>
    <x v="2"/>
    <x v="261"/>
    <n v="140"/>
    <n v="4.3"/>
    <x v="1"/>
    <x v="6"/>
    <x v="1"/>
    <x v="2"/>
  </r>
  <r>
    <s v="Call_8100"/>
    <x v="13"/>
    <x v="19"/>
    <x v="2"/>
    <x v="261"/>
    <n v="105"/>
    <n v="3.8"/>
    <x v="1"/>
    <x v="6"/>
    <x v="0"/>
    <x v="2"/>
  </r>
  <r>
    <s v="Call_8101"/>
    <x v="5"/>
    <x v="118"/>
    <x v="2"/>
    <x v="261"/>
    <n v="82"/>
    <n v="4.5999999999999996"/>
    <x v="1"/>
    <x v="6"/>
    <x v="1"/>
    <x v="0"/>
  </r>
  <r>
    <s v="Call_8102"/>
    <x v="0"/>
    <x v="123"/>
    <x v="0"/>
    <x v="261"/>
    <n v="24"/>
    <n v="2.9"/>
    <x v="1"/>
    <x v="6"/>
    <x v="3"/>
    <x v="1"/>
  </r>
  <r>
    <s v="Call_8103"/>
    <x v="4"/>
    <x v="37"/>
    <x v="4"/>
    <x v="262"/>
    <n v="205"/>
    <n v="4.8"/>
    <x v="1"/>
    <x v="0"/>
    <x v="1"/>
    <x v="0"/>
  </r>
  <r>
    <s v="Call_8104"/>
    <x v="1"/>
    <x v="108"/>
    <x v="1"/>
    <x v="262"/>
    <n v="225"/>
    <n v="4.9000000000000004"/>
    <x v="1"/>
    <x v="0"/>
    <x v="2"/>
    <x v="0"/>
  </r>
  <r>
    <s v="Call_8105"/>
    <x v="4"/>
    <x v="95"/>
    <x v="4"/>
    <x v="262"/>
    <n v="50"/>
    <n v="3.4"/>
    <x v="1"/>
    <x v="0"/>
    <x v="0"/>
    <x v="1"/>
  </r>
  <r>
    <s v="Call_8106"/>
    <x v="4"/>
    <x v="71"/>
    <x v="2"/>
    <x v="262"/>
    <n v="80"/>
    <n v="4.3"/>
    <x v="1"/>
    <x v="0"/>
    <x v="2"/>
    <x v="2"/>
  </r>
  <r>
    <s v="Call_8107"/>
    <x v="5"/>
    <x v="120"/>
    <x v="1"/>
    <x v="262"/>
    <n v="78"/>
    <n v="3.9"/>
    <x v="1"/>
    <x v="0"/>
    <x v="0"/>
    <x v="2"/>
  </r>
  <r>
    <s v="Call_8108"/>
    <x v="3"/>
    <x v="122"/>
    <x v="4"/>
    <x v="263"/>
    <n v="40"/>
    <n v="3.9"/>
    <x v="1"/>
    <x v="1"/>
    <x v="1"/>
    <x v="2"/>
  </r>
  <r>
    <s v="Call_8109"/>
    <x v="5"/>
    <x v="120"/>
    <x v="1"/>
    <x v="263"/>
    <n v="176"/>
    <n v="1.5"/>
    <x v="1"/>
    <x v="1"/>
    <x v="0"/>
    <x v="3"/>
  </r>
  <r>
    <s v="Call_8110"/>
    <x v="11"/>
    <x v="6"/>
    <x v="4"/>
    <x v="263"/>
    <n v="78"/>
    <n v="3"/>
    <x v="1"/>
    <x v="1"/>
    <x v="0"/>
    <x v="1"/>
  </r>
  <r>
    <s v="Call_8111"/>
    <x v="14"/>
    <x v="81"/>
    <x v="1"/>
    <x v="263"/>
    <n v="42"/>
    <n v="4.2"/>
    <x v="1"/>
    <x v="1"/>
    <x v="2"/>
    <x v="2"/>
  </r>
  <r>
    <s v="Call_8112"/>
    <x v="3"/>
    <x v="78"/>
    <x v="4"/>
    <x v="263"/>
    <n v="38"/>
    <n v="3.7"/>
    <x v="1"/>
    <x v="1"/>
    <x v="3"/>
    <x v="2"/>
  </r>
  <r>
    <s v="Call_8113"/>
    <x v="2"/>
    <x v="69"/>
    <x v="3"/>
    <x v="263"/>
    <n v="27"/>
    <n v="4.2"/>
    <x v="1"/>
    <x v="1"/>
    <x v="0"/>
    <x v="2"/>
  </r>
  <r>
    <s v="Call_8114"/>
    <x v="5"/>
    <x v="65"/>
    <x v="0"/>
    <x v="264"/>
    <n v="45"/>
    <n v="4.4000000000000004"/>
    <x v="1"/>
    <x v="2"/>
    <x v="1"/>
    <x v="2"/>
  </r>
  <r>
    <s v="Call_8115"/>
    <x v="7"/>
    <x v="74"/>
    <x v="4"/>
    <x v="264"/>
    <n v="215"/>
    <n v="4"/>
    <x v="1"/>
    <x v="2"/>
    <x v="0"/>
    <x v="2"/>
  </r>
  <r>
    <s v="Call_8116"/>
    <x v="6"/>
    <x v="23"/>
    <x v="4"/>
    <x v="265"/>
    <n v="72"/>
    <n v="4.7"/>
    <x v="1"/>
    <x v="3"/>
    <x v="1"/>
    <x v="0"/>
  </r>
  <r>
    <s v="Call_8117"/>
    <x v="3"/>
    <x v="160"/>
    <x v="2"/>
    <x v="265"/>
    <n v="160"/>
    <n v="2.8"/>
    <x v="1"/>
    <x v="3"/>
    <x v="1"/>
    <x v="1"/>
  </r>
  <r>
    <s v="Call_8118"/>
    <x v="6"/>
    <x v="76"/>
    <x v="4"/>
    <x v="265"/>
    <n v="165"/>
    <n v="2.5"/>
    <x v="1"/>
    <x v="3"/>
    <x v="1"/>
    <x v="1"/>
  </r>
  <r>
    <s v="Call_8119"/>
    <x v="1"/>
    <x v="146"/>
    <x v="2"/>
    <x v="265"/>
    <n v="120"/>
    <n v="3.4"/>
    <x v="1"/>
    <x v="3"/>
    <x v="0"/>
    <x v="1"/>
  </r>
  <r>
    <s v="Call_8120"/>
    <x v="0"/>
    <x v="122"/>
    <x v="1"/>
    <x v="265"/>
    <n v="117"/>
    <n v="4.8"/>
    <x v="1"/>
    <x v="3"/>
    <x v="1"/>
    <x v="0"/>
  </r>
  <r>
    <s v="Call_8121"/>
    <x v="8"/>
    <x v="94"/>
    <x v="3"/>
    <x v="266"/>
    <n v="29"/>
    <n v="4.3"/>
    <x v="1"/>
    <x v="4"/>
    <x v="1"/>
    <x v="2"/>
  </r>
  <r>
    <s v="Call_8122"/>
    <x v="0"/>
    <x v="54"/>
    <x v="2"/>
    <x v="266"/>
    <n v="64"/>
    <n v="4.5"/>
    <x v="1"/>
    <x v="4"/>
    <x v="2"/>
    <x v="0"/>
  </r>
  <r>
    <s v="Call_8123"/>
    <x v="11"/>
    <x v="62"/>
    <x v="1"/>
    <x v="266"/>
    <n v="84"/>
    <n v="3.6"/>
    <x v="1"/>
    <x v="4"/>
    <x v="2"/>
    <x v="2"/>
  </r>
  <r>
    <s v="Call_8124"/>
    <x v="7"/>
    <x v="55"/>
    <x v="4"/>
    <x v="266"/>
    <n v="42"/>
    <n v="3.7"/>
    <x v="1"/>
    <x v="4"/>
    <x v="1"/>
    <x v="2"/>
  </r>
  <r>
    <s v="Call_8125"/>
    <x v="3"/>
    <x v="30"/>
    <x v="4"/>
    <x v="266"/>
    <n v="120"/>
    <n v="3.5"/>
    <x v="1"/>
    <x v="4"/>
    <x v="0"/>
    <x v="2"/>
  </r>
  <r>
    <s v="Call_8126"/>
    <x v="11"/>
    <x v="116"/>
    <x v="3"/>
    <x v="267"/>
    <n v="80"/>
    <n v="4.7"/>
    <x v="1"/>
    <x v="5"/>
    <x v="1"/>
    <x v="0"/>
  </r>
  <r>
    <s v="Call_8127"/>
    <x v="8"/>
    <x v="28"/>
    <x v="2"/>
    <x v="267"/>
    <n v="185"/>
    <n v="3.5"/>
    <x v="1"/>
    <x v="5"/>
    <x v="0"/>
    <x v="2"/>
  </r>
  <r>
    <s v="Call_8128"/>
    <x v="4"/>
    <x v="73"/>
    <x v="0"/>
    <x v="268"/>
    <n v="135"/>
    <n v="3.9"/>
    <x v="1"/>
    <x v="6"/>
    <x v="2"/>
    <x v="2"/>
  </r>
  <r>
    <s v="Call_8129"/>
    <x v="4"/>
    <x v="113"/>
    <x v="2"/>
    <x v="268"/>
    <n v="20"/>
    <n v="4.8"/>
    <x v="1"/>
    <x v="6"/>
    <x v="0"/>
    <x v="0"/>
  </r>
  <r>
    <s v="Call_8130"/>
    <x v="12"/>
    <x v="101"/>
    <x v="2"/>
    <x v="268"/>
    <n v="31"/>
    <n v="4"/>
    <x v="1"/>
    <x v="6"/>
    <x v="2"/>
    <x v="2"/>
  </r>
  <r>
    <s v="Call_8131"/>
    <x v="14"/>
    <x v="17"/>
    <x v="3"/>
    <x v="269"/>
    <n v="120"/>
    <n v="4.7"/>
    <x v="1"/>
    <x v="0"/>
    <x v="2"/>
    <x v="0"/>
  </r>
  <r>
    <s v="Call_8132"/>
    <x v="1"/>
    <x v="22"/>
    <x v="1"/>
    <x v="269"/>
    <n v="117"/>
    <n v="3.6"/>
    <x v="1"/>
    <x v="0"/>
    <x v="0"/>
    <x v="2"/>
  </r>
  <r>
    <s v="Call_8133"/>
    <x v="14"/>
    <x v="77"/>
    <x v="4"/>
    <x v="269"/>
    <n v="80"/>
    <n v="4.5"/>
    <x v="1"/>
    <x v="0"/>
    <x v="0"/>
    <x v="0"/>
  </r>
  <r>
    <s v="Call_8134"/>
    <x v="14"/>
    <x v="39"/>
    <x v="0"/>
    <x v="270"/>
    <n v="117"/>
    <n v="4"/>
    <x v="1"/>
    <x v="1"/>
    <x v="2"/>
    <x v="2"/>
  </r>
  <r>
    <s v="Call_8135"/>
    <x v="8"/>
    <x v="74"/>
    <x v="3"/>
    <x v="270"/>
    <n v="60"/>
    <n v="4.5"/>
    <x v="1"/>
    <x v="1"/>
    <x v="0"/>
    <x v="0"/>
  </r>
  <r>
    <s v="Call_8136"/>
    <x v="4"/>
    <x v="79"/>
    <x v="4"/>
    <x v="271"/>
    <n v="58"/>
    <n v="3.9"/>
    <x v="1"/>
    <x v="2"/>
    <x v="3"/>
    <x v="2"/>
  </r>
  <r>
    <s v="Call_8137"/>
    <x v="12"/>
    <x v="113"/>
    <x v="0"/>
    <x v="271"/>
    <n v="41"/>
    <n v="4.3"/>
    <x v="1"/>
    <x v="2"/>
    <x v="0"/>
    <x v="2"/>
  </r>
  <r>
    <s v="Call_8138"/>
    <x v="3"/>
    <x v="21"/>
    <x v="1"/>
    <x v="271"/>
    <n v="180"/>
    <n v="3.6"/>
    <x v="1"/>
    <x v="2"/>
    <x v="0"/>
    <x v="2"/>
  </r>
  <r>
    <s v="Call_8139"/>
    <x v="13"/>
    <x v="69"/>
    <x v="1"/>
    <x v="271"/>
    <n v="42"/>
    <n v="3.6"/>
    <x v="1"/>
    <x v="2"/>
    <x v="0"/>
    <x v="2"/>
  </r>
  <r>
    <s v="Call_8140"/>
    <x v="13"/>
    <x v="2"/>
    <x v="1"/>
    <x v="272"/>
    <n v="24"/>
    <n v="4"/>
    <x v="1"/>
    <x v="3"/>
    <x v="0"/>
    <x v="2"/>
  </r>
  <r>
    <s v="Call_8141"/>
    <x v="12"/>
    <x v="58"/>
    <x v="1"/>
    <x v="272"/>
    <n v="125"/>
    <n v="4.2"/>
    <x v="1"/>
    <x v="3"/>
    <x v="0"/>
    <x v="2"/>
  </r>
  <r>
    <s v="Call_8142"/>
    <x v="12"/>
    <x v="99"/>
    <x v="0"/>
    <x v="273"/>
    <n v="78"/>
    <n v="4.3"/>
    <x v="1"/>
    <x v="4"/>
    <x v="0"/>
    <x v="2"/>
  </r>
  <r>
    <s v="Call_8143"/>
    <x v="9"/>
    <x v="66"/>
    <x v="2"/>
    <x v="273"/>
    <n v="180"/>
    <n v="3.8"/>
    <x v="1"/>
    <x v="4"/>
    <x v="0"/>
    <x v="2"/>
  </r>
  <r>
    <s v="Call_8144"/>
    <x v="7"/>
    <x v="161"/>
    <x v="0"/>
    <x v="273"/>
    <n v="84"/>
    <n v="4.4000000000000004"/>
    <x v="1"/>
    <x v="4"/>
    <x v="1"/>
    <x v="2"/>
  </r>
  <r>
    <s v="Call_8145"/>
    <x v="4"/>
    <x v="98"/>
    <x v="0"/>
    <x v="273"/>
    <n v="26"/>
    <n v="4.7"/>
    <x v="1"/>
    <x v="4"/>
    <x v="3"/>
    <x v="0"/>
  </r>
  <r>
    <s v="Call_8146"/>
    <x v="1"/>
    <x v="30"/>
    <x v="0"/>
    <x v="274"/>
    <n v="140"/>
    <n v="3.6"/>
    <x v="1"/>
    <x v="5"/>
    <x v="0"/>
    <x v="2"/>
  </r>
  <r>
    <s v="Call_8147"/>
    <x v="3"/>
    <x v="156"/>
    <x v="2"/>
    <x v="274"/>
    <n v="31"/>
    <n v="2.2000000000000002"/>
    <x v="1"/>
    <x v="5"/>
    <x v="0"/>
    <x v="3"/>
  </r>
  <r>
    <s v="Call_8148"/>
    <x v="8"/>
    <x v="113"/>
    <x v="2"/>
    <x v="274"/>
    <n v="108"/>
    <n v="4.8"/>
    <x v="1"/>
    <x v="5"/>
    <x v="0"/>
    <x v="0"/>
  </r>
  <r>
    <s v="Call_8149"/>
    <x v="7"/>
    <x v="70"/>
    <x v="3"/>
    <x v="275"/>
    <n v="58"/>
    <n v="4.3"/>
    <x v="1"/>
    <x v="6"/>
    <x v="1"/>
    <x v="2"/>
  </r>
  <r>
    <s v="Call_8150"/>
    <x v="7"/>
    <x v="90"/>
    <x v="2"/>
    <x v="275"/>
    <n v="185"/>
    <n v="2.2000000000000002"/>
    <x v="1"/>
    <x v="6"/>
    <x v="0"/>
    <x v="3"/>
  </r>
  <r>
    <s v="Call_8151"/>
    <x v="7"/>
    <x v="53"/>
    <x v="2"/>
    <x v="275"/>
    <n v="40"/>
    <n v="4.8"/>
    <x v="1"/>
    <x v="6"/>
    <x v="0"/>
    <x v="0"/>
  </r>
  <r>
    <s v="Call_8152"/>
    <x v="7"/>
    <x v="157"/>
    <x v="4"/>
    <x v="275"/>
    <n v="225"/>
    <n v="2.6"/>
    <x v="1"/>
    <x v="6"/>
    <x v="3"/>
    <x v="1"/>
  </r>
  <r>
    <s v="Call_8153"/>
    <x v="3"/>
    <x v="41"/>
    <x v="3"/>
    <x v="275"/>
    <n v="150"/>
    <n v="2.6"/>
    <x v="1"/>
    <x v="6"/>
    <x v="0"/>
    <x v="1"/>
  </r>
  <r>
    <s v="Call_8154"/>
    <x v="6"/>
    <x v="50"/>
    <x v="1"/>
    <x v="276"/>
    <n v="88"/>
    <n v="3.4"/>
    <x v="1"/>
    <x v="0"/>
    <x v="0"/>
    <x v="1"/>
  </r>
  <r>
    <s v="Call_8155"/>
    <x v="10"/>
    <x v="103"/>
    <x v="0"/>
    <x v="276"/>
    <n v="140"/>
    <n v="3.7"/>
    <x v="1"/>
    <x v="0"/>
    <x v="2"/>
    <x v="2"/>
  </r>
  <r>
    <s v="Call_8156"/>
    <x v="6"/>
    <x v="52"/>
    <x v="1"/>
    <x v="276"/>
    <n v="68"/>
    <n v="2.1"/>
    <x v="1"/>
    <x v="0"/>
    <x v="1"/>
    <x v="3"/>
  </r>
  <r>
    <s v="Call_8157"/>
    <x v="1"/>
    <x v="7"/>
    <x v="4"/>
    <x v="277"/>
    <n v="105"/>
    <n v="3.6"/>
    <x v="1"/>
    <x v="1"/>
    <x v="2"/>
    <x v="2"/>
  </r>
  <r>
    <s v="Call_8158"/>
    <x v="13"/>
    <x v="112"/>
    <x v="0"/>
    <x v="277"/>
    <n v="40"/>
    <n v="3.8"/>
    <x v="1"/>
    <x v="1"/>
    <x v="1"/>
    <x v="2"/>
  </r>
  <r>
    <s v="Call_8159"/>
    <x v="9"/>
    <x v="84"/>
    <x v="0"/>
    <x v="277"/>
    <n v="82"/>
    <n v="3.1"/>
    <x v="1"/>
    <x v="1"/>
    <x v="0"/>
    <x v="1"/>
  </r>
  <r>
    <s v="Call_8160"/>
    <x v="0"/>
    <x v="96"/>
    <x v="4"/>
    <x v="278"/>
    <n v="90"/>
    <n v="4.4000000000000004"/>
    <x v="1"/>
    <x v="2"/>
    <x v="0"/>
    <x v="2"/>
  </r>
  <r>
    <s v="Call_8161"/>
    <x v="2"/>
    <x v="133"/>
    <x v="3"/>
    <x v="279"/>
    <n v="66"/>
    <n v="4.8"/>
    <x v="1"/>
    <x v="3"/>
    <x v="1"/>
    <x v="0"/>
  </r>
  <r>
    <s v="Call_8162"/>
    <x v="14"/>
    <x v="63"/>
    <x v="1"/>
    <x v="279"/>
    <n v="78"/>
    <n v="3.5"/>
    <x v="1"/>
    <x v="3"/>
    <x v="0"/>
    <x v="2"/>
  </r>
  <r>
    <s v="Call_8163"/>
    <x v="3"/>
    <x v="6"/>
    <x v="3"/>
    <x v="280"/>
    <n v="66"/>
    <n v="4.4000000000000004"/>
    <x v="1"/>
    <x v="4"/>
    <x v="0"/>
    <x v="2"/>
  </r>
  <r>
    <s v="Call_8164"/>
    <x v="13"/>
    <x v="108"/>
    <x v="4"/>
    <x v="281"/>
    <n v="160"/>
    <n v="3.8"/>
    <x v="1"/>
    <x v="5"/>
    <x v="2"/>
    <x v="2"/>
  </r>
  <r>
    <s v="Call_8165"/>
    <x v="12"/>
    <x v="59"/>
    <x v="0"/>
    <x v="282"/>
    <n v="144"/>
    <n v="3.8"/>
    <x v="1"/>
    <x v="6"/>
    <x v="0"/>
    <x v="2"/>
  </r>
  <r>
    <s v="Call_8166"/>
    <x v="13"/>
    <x v="141"/>
    <x v="2"/>
    <x v="282"/>
    <n v="200"/>
    <n v="4.5999999999999996"/>
    <x v="1"/>
    <x v="6"/>
    <x v="0"/>
    <x v="0"/>
  </r>
  <r>
    <s v="Call_8167"/>
    <x v="5"/>
    <x v="143"/>
    <x v="1"/>
    <x v="283"/>
    <n v="220"/>
    <n v="5"/>
    <x v="1"/>
    <x v="1"/>
    <x v="2"/>
    <x v="0"/>
  </r>
  <r>
    <s v="Call_8168"/>
    <x v="3"/>
    <x v="28"/>
    <x v="3"/>
    <x v="284"/>
    <n v="112"/>
    <n v="3.2"/>
    <x v="1"/>
    <x v="2"/>
    <x v="0"/>
    <x v="1"/>
  </r>
  <r>
    <s v="Call_8169"/>
    <x v="2"/>
    <x v="129"/>
    <x v="4"/>
    <x v="284"/>
    <n v="110"/>
    <n v="3.7"/>
    <x v="1"/>
    <x v="2"/>
    <x v="0"/>
    <x v="2"/>
  </r>
  <r>
    <s v="Call_8170"/>
    <x v="11"/>
    <x v="33"/>
    <x v="0"/>
    <x v="285"/>
    <n v="160"/>
    <n v="2.7"/>
    <x v="1"/>
    <x v="3"/>
    <x v="0"/>
    <x v="1"/>
  </r>
  <r>
    <s v="Call_8171"/>
    <x v="11"/>
    <x v="78"/>
    <x v="4"/>
    <x v="285"/>
    <n v="84"/>
    <n v="4"/>
    <x v="1"/>
    <x v="3"/>
    <x v="3"/>
    <x v="2"/>
  </r>
  <r>
    <s v="Call_8172"/>
    <x v="2"/>
    <x v="108"/>
    <x v="1"/>
    <x v="285"/>
    <n v="124"/>
    <n v="2.6"/>
    <x v="1"/>
    <x v="3"/>
    <x v="2"/>
    <x v="1"/>
  </r>
  <r>
    <s v="Call_8173"/>
    <x v="11"/>
    <x v="89"/>
    <x v="2"/>
    <x v="285"/>
    <n v="84"/>
    <n v="4.5999999999999996"/>
    <x v="1"/>
    <x v="3"/>
    <x v="1"/>
    <x v="0"/>
  </r>
  <r>
    <s v="Call_8174"/>
    <x v="1"/>
    <x v="130"/>
    <x v="3"/>
    <x v="286"/>
    <n v="130"/>
    <n v="2.7"/>
    <x v="1"/>
    <x v="4"/>
    <x v="0"/>
    <x v="1"/>
  </r>
  <r>
    <s v="Call_8175"/>
    <x v="12"/>
    <x v="55"/>
    <x v="0"/>
    <x v="286"/>
    <n v="215"/>
    <n v="3.5"/>
    <x v="1"/>
    <x v="4"/>
    <x v="1"/>
    <x v="2"/>
  </r>
  <r>
    <s v="Call_8176"/>
    <x v="3"/>
    <x v="50"/>
    <x v="1"/>
    <x v="287"/>
    <n v="132"/>
    <n v="3.6"/>
    <x v="1"/>
    <x v="5"/>
    <x v="0"/>
    <x v="2"/>
  </r>
  <r>
    <s v="Call_8177"/>
    <x v="6"/>
    <x v="34"/>
    <x v="3"/>
    <x v="287"/>
    <n v="88"/>
    <n v="4.9000000000000004"/>
    <x v="1"/>
    <x v="5"/>
    <x v="0"/>
    <x v="0"/>
  </r>
  <r>
    <s v="Call_8178"/>
    <x v="0"/>
    <x v="48"/>
    <x v="1"/>
    <x v="287"/>
    <n v="140"/>
    <n v="3.9"/>
    <x v="1"/>
    <x v="5"/>
    <x v="0"/>
    <x v="2"/>
  </r>
  <r>
    <s v="Call_8179"/>
    <x v="11"/>
    <x v="5"/>
    <x v="3"/>
    <x v="288"/>
    <n v="66"/>
    <n v="4.7"/>
    <x v="1"/>
    <x v="6"/>
    <x v="0"/>
    <x v="0"/>
  </r>
  <r>
    <s v="Call_8180"/>
    <x v="8"/>
    <x v="34"/>
    <x v="0"/>
    <x v="288"/>
    <n v="23"/>
    <n v="4.5"/>
    <x v="1"/>
    <x v="6"/>
    <x v="0"/>
    <x v="0"/>
  </r>
  <r>
    <s v="Call_8181"/>
    <x v="6"/>
    <x v="148"/>
    <x v="0"/>
    <x v="289"/>
    <n v="220"/>
    <n v="4.5"/>
    <x v="1"/>
    <x v="0"/>
    <x v="1"/>
    <x v="0"/>
  </r>
  <r>
    <s v="Call_8182"/>
    <x v="7"/>
    <x v="63"/>
    <x v="4"/>
    <x v="290"/>
    <n v="175"/>
    <n v="4.4000000000000004"/>
    <x v="1"/>
    <x v="1"/>
    <x v="0"/>
    <x v="2"/>
  </r>
  <r>
    <s v="Call_8183"/>
    <x v="13"/>
    <x v="25"/>
    <x v="0"/>
    <x v="290"/>
    <n v="172"/>
    <n v="4.0999999999999996"/>
    <x v="1"/>
    <x v="1"/>
    <x v="0"/>
    <x v="2"/>
  </r>
  <r>
    <s v="Call_8184"/>
    <x v="9"/>
    <x v="129"/>
    <x v="2"/>
    <x v="290"/>
    <n v="108"/>
    <n v="3.8"/>
    <x v="1"/>
    <x v="1"/>
    <x v="0"/>
    <x v="2"/>
  </r>
  <r>
    <s v="Call_8185"/>
    <x v="8"/>
    <x v="121"/>
    <x v="0"/>
    <x v="291"/>
    <n v="43"/>
    <n v="4.2"/>
    <x v="1"/>
    <x v="2"/>
    <x v="2"/>
    <x v="2"/>
  </r>
  <r>
    <s v="Call_8186"/>
    <x v="6"/>
    <x v="40"/>
    <x v="1"/>
    <x v="291"/>
    <n v="44"/>
    <n v="2.2000000000000002"/>
    <x v="1"/>
    <x v="2"/>
    <x v="1"/>
    <x v="3"/>
  </r>
  <r>
    <s v="Call_8187"/>
    <x v="13"/>
    <x v="87"/>
    <x v="4"/>
    <x v="291"/>
    <n v="105"/>
    <n v="3.9"/>
    <x v="1"/>
    <x v="2"/>
    <x v="1"/>
    <x v="2"/>
  </r>
  <r>
    <s v="Call_8188"/>
    <x v="7"/>
    <x v="97"/>
    <x v="1"/>
    <x v="292"/>
    <n v="34"/>
    <n v="3.9"/>
    <x v="1"/>
    <x v="3"/>
    <x v="0"/>
    <x v="2"/>
  </r>
  <r>
    <s v="Call_8189"/>
    <x v="4"/>
    <x v="117"/>
    <x v="0"/>
    <x v="292"/>
    <n v="220"/>
    <n v="4.0999999999999996"/>
    <x v="1"/>
    <x v="3"/>
    <x v="0"/>
    <x v="2"/>
  </r>
  <r>
    <s v="Call_8190"/>
    <x v="0"/>
    <x v="90"/>
    <x v="4"/>
    <x v="292"/>
    <n v="225"/>
    <n v="4.5999999999999996"/>
    <x v="1"/>
    <x v="3"/>
    <x v="0"/>
    <x v="0"/>
  </r>
  <r>
    <s v="Call_8191"/>
    <x v="2"/>
    <x v="93"/>
    <x v="4"/>
    <x v="293"/>
    <n v="37"/>
    <n v="4.0999999999999996"/>
    <x v="1"/>
    <x v="4"/>
    <x v="2"/>
    <x v="2"/>
  </r>
  <r>
    <s v="Call_8192"/>
    <x v="12"/>
    <x v="47"/>
    <x v="1"/>
    <x v="293"/>
    <n v="44"/>
    <n v="5"/>
    <x v="1"/>
    <x v="4"/>
    <x v="0"/>
    <x v="0"/>
  </r>
  <r>
    <s v="Call_8193"/>
    <x v="5"/>
    <x v="17"/>
    <x v="1"/>
    <x v="294"/>
    <n v="35"/>
    <n v="2.8"/>
    <x v="1"/>
    <x v="5"/>
    <x v="2"/>
    <x v="1"/>
  </r>
  <r>
    <s v="Call_8194"/>
    <x v="12"/>
    <x v="17"/>
    <x v="0"/>
    <x v="294"/>
    <n v="145"/>
    <n v="2.7"/>
    <x v="1"/>
    <x v="5"/>
    <x v="2"/>
    <x v="1"/>
  </r>
  <r>
    <s v="Call_8195"/>
    <x v="6"/>
    <x v="51"/>
    <x v="4"/>
    <x v="294"/>
    <n v="64"/>
    <n v="3.9"/>
    <x v="1"/>
    <x v="5"/>
    <x v="0"/>
    <x v="2"/>
  </r>
  <r>
    <s v="Call_8196"/>
    <x v="12"/>
    <x v="107"/>
    <x v="0"/>
    <x v="295"/>
    <n v="185"/>
    <n v="4.3"/>
    <x v="1"/>
    <x v="6"/>
    <x v="0"/>
    <x v="2"/>
  </r>
  <r>
    <s v="Call_8197"/>
    <x v="3"/>
    <x v="74"/>
    <x v="1"/>
    <x v="295"/>
    <n v="215"/>
    <n v="2.5"/>
    <x v="1"/>
    <x v="6"/>
    <x v="0"/>
    <x v="1"/>
  </r>
  <r>
    <s v="Call_8198"/>
    <x v="8"/>
    <x v="7"/>
    <x v="2"/>
    <x v="295"/>
    <n v="88"/>
    <n v="3.4"/>
    <x v="1"/>
    <x v="6"/>
    <x v="2"/>
    <x v="1"/>
  </r>
  <r>
    <s v="Call_8199"/>
    <x v="12"/>
    <x v="99"/>
    <x v="4"/>
    <x v="295"/>
    <n v="23"/>
    <n v="3.4"/>
    <x v="1"/>
    <x v="6"/>
    <x v="0"/>
    <x v="1"/>
  </r>
  <r>
    <s v="Call_8200"/>
    <x v="2"/>
    <x v="54"/>
    <x v="2"/>
    <x v="296"/>
    <n v="180"/>
    <n v="1.8"/>
    <x v="1"/>
    <x v="0"/>
    <x v="2"/>
    <x v="3"/>
  </r>
  <r>
    <s v="Call_8201"/>
    <x v="13"/>
    <x v="53"/>
    <x v="4"/>
    <x v="297"/>
    <n v="225"/>
    <n v="3.7"/>
    <x v="1"/>
    <x v="1"/>
    <x v="0"/>
    <x v="2"/>
  </r>
  <r>
    <s v="Call_8202"/>
    <x v="4"/>
    <x v="137"/>
    <x v="1"/>
    <x v="298"/>
    <n v="74"/>
    <n v="4.0999999999999996"/>
    <x v="1"/>
    <x v="2"/>
    <x v="3"/>
    <x v="2"/>
  </r>
  <r>
    <s v="Call_8203"/>
    <x v="3"/>
    <x v="119"/>
    <x v="4"/>
    <x v="298"/>
    <n v="36"/>
    <n v="3"/>
    <x v="1"/>
    <x v="2"/>
    <x v="1"/>
    <x v="1"/>
  </r>
  <r>
    <s v="Call_8204"/>
    <x v="5"/>
    <x v="15"/>
    <x v="4"/>
    <x v="299"/>
    <n v="116"/>
    <n v="3.9"/>
    <x v="1"/>
    <x v="4"/>
    <x v="0"/>
    <x v="2"/>
  </r>
  <r>
    <s v="Call_8205"/>
    <x v="3"/>
    <x v="67"/>
    <x v="2"/>
    <x v="299"/>
    <n v="140"/>
    <n v="4"/>
    <x v="1"/>
    <x v="4"/>
    <x v="0"/>
    <x v="2"/>
  </r>
  <r>
    <s v="Call_8206"/>
    <x v="3"/>
    <x v="9"/>
    <x v="1"/>
    <x v="300"/>
    <n v="104"/>
    <n v="4.5"/>
    <x v="1"/>
    <x v="5"/>
    <x v="0"/>
    <x v="0"/>
  </r>
  <r>
    <s v="Call_8207"/>
    <x v="5"/>
    <x v="119"/>
    <x v="3"/>
    <x v="300"/>
    <n v="148"/>
    <n v="4"/>
    <x v="1"/>
    <x v="5"/>
    <x v="1"/>
    <x v="2"/>
  </r>
  <r>
    <s v="Call_8208"/>
    <x v="8"/>
    <x v="108"/>
    <x v="4"/>
    <x v="300"/>
    <n v="205"/>
    <n v="4.3"/>
    <x v="1"/>
    <x v="5"/>
    <x v="2"/>
    <x v="2"/>
  </r>
  <r>
    <s v="Call_8209"/>
    <x v="1"/>
    <x v="132"/>
    <x v="0"/>
    <x v="300"/>
    <n v="210"/>
    <n v="4.8"/>
    <x v="1"/>
    <x v="5"/>
    <x v="3"/>
    <x v="0"/>
  </r>
  <r>
    <s v="Call_8210"/>
    <x v="4"/>
    <x v="38"/>
    <x v="3"/>
    <x v="301"/>
    <n v="41"/>
    <n v="4.7"/>
    <x v="1"/>
    <x v="0"/>
    <x v="0"/>
    <x v="0"/>
  </r>
  <r>
    <s v="Call_8211"/>
    <x v="11"/>
    <x v="74"/>
    <x v="2"/>
    <x v="301"/>
    <n v="136"/>
    <n v="5"/>
    <x v="1"/>
    <x v="0"/>
    <x v="0"/>
    <x v="0"/>
  </r>
  <r>
    <s v="Call_8212"/>
    <x v="9"/>
    <x v="45"/>
    <x v="1"/>
    <x v="302"/>
    <n v="126"/>
    <n v="1.5"/>
    <x v="1"/>
    <x v="1"/>
    <x v="0"/>
    <x v="3"/>
  </r>
  <r>
    <s v="Call_8213"/>
    <x v="2"/>
    <x v="24"/>
    <x v="0"/>
    <x v="303"/>
    <n v="148"/>
    <n v="4.0999999999999996"/>
    <x v="1"/>
    <x v="2"/>
    <x v="0"/>
    <x v="2"/>
  </r>
  <r>
    <s v="Call_8214"/>
    <x v="9"/>
    <x v="72"/>
    <x v="1"/>
    <x v="303"/>
    <n v="125"/>
    <n v="3.9"/>
    <x v="1"/>
    <x v="2"/>
    <x v="1"/>
    <x v="2"/>
  </r>
  <r>
    <s v="Call_8215"/>
    <x v="6"/>
    <x v="144"/>
    <x v="2"/>
    <x v="303"/>
    <n v="25"/>
    <n v="4.0999999999999996"/>
    <x v="1"/>
    <x v="2"/>
    <x v="2"/>
    <x v="2"/>
  </r>
  <r>
    <s v="Call_8216"/>
    <x v="7"/>
    <x v="162"/>
    <x v="4"/>
    <x v="304"/>
    <n v="62"/>
    <n v="2.8"/>
    <x v="1"/>
    <x v="3"/>
    <x v="4"/>
    <x v="1"/>
  </r>
  <r>
    <s v="Call_8217"/>
    <x v="2"/>
    <x v="115"/>
    <x v="2"/>
    <x v="305"/>
    <n v="90"/>
    <n v="4.5999999999999996"/>
    <x v="1"/>
    <x v="4"/>
    <x v="1"/>
    <x v="0"/>
  </r>
  <r>
    <s v="Call_8218"/>
    <x v="1"/>
    <x v="116"/>
    <x v="3"/>
    <x v="306"/>
    <n v="33"/>
    <n v="4.8"/>
    <x v="1"/>
    <x v="5"/>
    <x v="1"/>
    <x v="0"/>
  </r>
  <r>
    <s v="Call_8219"/>
    <x v="3"/>
    <x v="42"/>
    <x v="4"/>
    <x v="306"/>
    <n v="115"/>
    <n v="2.2999999999999998"/>
    <x v="1"/>
    <x v="5"/>
    <x v="0"/>
    <x v="3"/>
  </r>
  <r>
    <s v="Call_8220"/>
    <x v="1"/>
    <x v="122"/>
    <x v="3"/>
    <x v="306"/>
    <n v="45"/>
    <n v="2.6"/>
    <x v="1"/>
    <x v="5"/>
    <x v="1"/>
    <x v="1"/>
  </r>
  <r>
    <s v="Call_8221"/>
    <x v="6"/>
    <x v="156"/>
    <x v="0"/>
    <x v="306"/>
    <n v="114"/>
    <n v="4.8"/>
    <x v="1"/>
    <x v="5"/>
    <x v="0"/>
    <x v="0"/>
  </r>
  <r>
    <s v="Call_8222"/>
    <x v="3"/>
    <x v="9"/>
    <x v="1"/>
    <x v="307"/>
    <n v="72"/>
    <n v="3.7"/>
    <x v="1"/>
    <x v="6"/>
    <x v="0"/>
    <x v="2"/>
  </r>
  <r>
    <s v="Call_8223"/>
    <x v="10"/>
    <x v="63"/>
    <x v="0"/>
    <x v="307"/>
    <n v="205"/>
    <n v="4.2"/>
    <x v="1"/>
    <x v="6"/>
    <x v="0"/>
    <x v="2"/>
  </r>
  <r>
    <s v="Call_8224"/>
    <x v="1"/>
    <x v="40"/>
    <x v="1"/>
    <x v="308"/>
    <n v="42"/>
    <n v="3.3"/>
    <x v="1"/>
    <x v="0"/>
    <x v="1"/>
    <x v="1"/>
  </r>
  <r>
    <s v="Call_8225"/>
    <x v="7"/>
    <x v="122"/>
    <x v="0"/>
    <x v="308"/>
    <n v="96"/>
    <n v="4.3"/>
    <x v="1"/>
    <x v="0"/>
    <x v="1"/>
    <x v="2"/>
  </r>
  <r>
    <s v="Call_8226"/>
    <x v="3"/>
    <x v="145"/>
    <x v="4"/>
    <x v="308"/>
    <n v="64"/>
    <n v="3.7"/>
    <x v="1"/>
    <x v="0"/>
    <x v="2"/>
    <x v="2"/>
  </r>
  <r>
    <s v="Call_8227"/>
    <x v="10"/>
    <x v="50"/>
    <x v="0"/>
    <x v="309"/>
    <n v="72"/>
    <n v="3.7"/>
    <x v="1"/>
    <x v="1"/>
    <x v="0"/>
    <x v="2"/>
  </r>
  <r>
    <s v="Call_8228"/>
    <x v="6"/>
    <x v="18"/>
    <x v="3"/>
    <x v="310"/>
    <n v="27"/>
    <n v="3.1"/>
    <x v="1"/>
    <x v="2"/>
    <x v="2"/>
    <x v="1"/>
  </r>
  <r>
    <s v="Call_8229"/>
    <x v="7"/>
    <x v="67"/>
    <x v="3"/>
    <x v="311"/>
    <n v="200"/>
    <n v="2.4"/>
    <x v="1"/>
    <x v="4"/>
    <x v="0"/>
    <x v="3"/>
  </r>
  <r>
    <s v="Call_8230"/>
    <x v="6"/>
    <x v="128"/>
    <x v="1"/>
    <x v="312"/>
    <n v="93"/>
    <n v="3.5"/>
    <x v="1"/>
    <x v="5"/>
    <x v="3"/>
    <x v="2"/>
  </r>
  <r>
    <s v="Call_8231"/>
    <x v="12"/>
    <x v="54"/>
    <x v="4"/>
    <x v="312"/>
    <n v="54"/>
    <n v="4.3"/>
    <x v="1"/>
    <x v="5"/>
    <x v="2"/>
    <x v="2"/>
  </r>
  <r>
    <s v="Call_8232"/>
    <x v="6"/>
    <x v="6"/>
    <x v="1"/>
    <x v="313"/>
    <n v="72"/>
    <n v="3.4"/>
    <x v="1"/>
    <x v="6"/>
    <x v="0"/>
    <x v="1"/>
  </r>
  <r>
    <s v="Call_8233"/>
    <x v="9"/>
    <x v="47"/>
    <x v="2"/>
    <x v="313"/>
    <n v="82"/>
    <n v="3.7"/>
    <x v="1"/>
    <x v="6"/>
    <x v="0"/>
    <x v="2"/>
  </r>
  <r>
    <s v="Call_8234"/>
    <x v="12"/>
    <x v="74"/>
    <x v="4"/>
    <x v="314"/>
    <n v="164"/>
    <n v="4.8"/>
    <x v="1"/>
    <x v="3"/>
    <x v="0"/>
    <x v="0"/>
  </r>
  <r>
    <s v="Call_8235"/>
    <x v="2"/>
    <x v="30"/>
    <x v="1"/>
    <x v="314"/>
    <n v="78"/>
    <n v="3.3"/>
    <x v="1"/>
    <x v="3"/>
    <x v="0"/>
    <x v="1"/>
  </r>
  <r>
    <s v="Call_8236"/>
    <x v="10"/>
    <x v="109"/>
    <x v="3"/>
    <x v="315"/>
    <n v="135"/>
    <n v="4.2"/>
    <x v="1"/>
    <x v="4"/>
    <x v="2"/>
    <x v="2"/>
  </r>
  <r>
    <s v="Call_8237"/>
    <x v="14"/>
    <x v="76"/>
    <x v="4"/>
    <x v="316"/>
    <n v="145"/>
    <n v="2.6"/>
    <x v="1"/>
    <x v="5"/>
    <x v="1"/>
    <x v="1"/>
  </r>
  <r>
    <s v="Call_8238"/>
    <x v="5"/>
    <x v="74"/>
    <x v="3"/>
    <x v="316"/>
    <n v="115"/>
    <n v="4.9000000000000004"/>
    <x v="1"/>
    <x v="5"/>
    <x v="0"/>
    <x v="0"/>
  </r>
  <r>
    <s v="Call_8239"/>
    <x v="13"/>
    <x v="89"/>
    <x v="1"/>
    <x v="316"/>
    <n v="117"/>
    <n v="2"/>
    <x v="1"/>
    <x v="5"/>
    <x v="1"/>
    <x v="3"/>
  </r>
  <r>
    <s v="Call_8240"/>
    <x v="14"/>
    <x v="119"/>
    <x v="0"/>
    <x v="317"/>
    <n v="36"/>
    <n v="4.7"/>
    <x v="1"/>
    <x v="6"/>
    <x v="1"/>
    <x v="0"/>
  </r>
  <r>
    <s v="Call_8241"/>
    <x v="2"/>
    <x v="64"/>
    <x v="0"/>
    <x v="317"/>
    <n v="84"/>
    <n v="2.8"/>
    <x v="1"/>
    <x v="6"/>
    <x v="2"/>
    <x v="1"/>
  </r>
  <r>
    <s v="Call_8242"/>
    <x v="8"/>
    <x v="56"/>
    <x v="0"/>
    <x v="317"/>
    <n v="66"/>
    <n v="3.2"/>
    <x v="1"/>
    <x v="6"/>
    <x v="1"/>
    <x v="1"/>
  </r>
  <r>
    <s v="Call_8243"/>
    <x v="6"/>
    <x v="52"/>
    <x v="3"/>
    <x v="317"/>
    <n v="76"/>
    <n v="4.7"/>
    <x v="1"/>
    <x v="6"/>
    <x v="1"/>
    <x v="0"/>
  </r>
  <r>
    <s v="Call_8244"/>
    <x v="11"/>
    <x v="116"/>
    <x v="3"/>
    <x v="317"/>
    <n v="185"/>
    <n v="4.8"/>
    <x v="1"/>
    <x v="6"/>
    <x v="1"/>
    <x v="0"/>
  </r>
  <r>
    <s v="Call_8245"/>
    <x v="2"/>
    <x v="116"/>
    <x v="2"/>
    <x v="318"/>
    <n v="80"/>
    <n v="4.7"/>
    <x v="1"/>
    <x v="0"/>
    <x v="1"/>
    <x v="0"/>
  </r>
  <r>
    <s v="Call_8246"/>
    <x v="7"/>
    <x v="81"/>
    <x v="3"/>
    <x v="318"/>
    <n v="148"/>
    <n v="4"/>
    <x v="1"/>
    <x v="0"/>
    <x v="2"/>
    <x v="2"/>
  </r>
  <r>
    <s v="Call_8247"/>
    <x v="2"/>
    <x v="5"/>
    <x v="4"/>
    <x v="319"/>
    <n v="180"/>
    <n v="4.9000000000000004"/>
    <x v="1"/>
    <x v="2"/>
    <x v="0"/>
    <x v="0"/>
  </r>
  <r>
    <s v="Call_8248"/>
    <x v="9"/>
    <x v="134"/>
    <x v="2"/>
    <x v="320"/>
    <n v="190"/>
    <n v="3.7"/>
    <x v="1"/>
    <x v="3"/>
    <x v="0"/>
    <x v="2"/>
  </r>
  <r>
    <s v="Call_8249"/>
    <x v="4"/>
    <x v="107"/>
    <x v="3"/>
    <x v="320"/>
    <n v="38"/>
    <n v="4.5"/>
    <x v="1"/>
    <x v="3"/>
    <x v="0"/>
    <x v="0"/>
  </r>
  <r>
    <s v="Call_8250"/>
    <x v="5"/>
    <x v="77"/>
    <x v="1"/>
    <x v="321"/>
    <n v="82"/>
    <n v="2.1"/>
    <x v="1"/>
    <x v="4"/>
    <x v="0"/>
    <x v="3"/>
  </r>
  <r>
    <s v="Call_8251"/>
    <x v="14"/>
    <x v="34"/>
    <x v="3"/>
    <x v="322"/>
    <n v="88"/>
    <n v="2.8"/>
    <x v="1"/>
    <x v="0"/>
    <x v="0"/>
    <x v="1"/>
  </r>
  <r>
    <s v="Call_8252"/>
    <x v="3"/>
    <x v="129"/>
    <x v="4"/>
    <x v="322"/>
    <n v="42"/>
    <n v="4.0999999999999996"/>
    <x v="1"/>
    <x v="0"/>
    <x v="0"/>
    <x v="2"/>
  </r>
  <r>
    <s v="Call_8253"/>
    <x v="10"/>
    <x v="163"/>
    <x v="0"/>
    <x v="323"/>
    <n v="64"/>
    <n v="3.3"/>
    <x v="1"/>
    <x v="1"/>
    <x v="4"/>
    <x v="1"/>
  </r>
  <r>
    <s v="Call_8254"/>
    <x v="7"/>
    <x v="115"/>
    <x v="0"/>
    <x v="323"/>
    <n v="105"/>
    <n v="1.7"/>
    <x v="1"/>
    <x v="1"/>
    <x v="1"/>
    <x v="3"/>
  </r>
  <r>
    <s v="Call_8255"/>
    <x v="1"/>
    <x v="20"/>
    <x v="2"/>
    <x v="323"/>
    <n v="25"/>
    <n v="3.6"/>
    <x v="1"/>
    <x v="1"/>
    <x v="2"/>
    <x v="2"/>
  </r>
  <r>
    <s v="Call_8256"/>
    <x v="0"/>
    <x v="31"/>
    <x v="1"/>
    <x v="324"/>
    <n v="176"/>
    <n v="3.6"/>
    <x v="1"/>
    <x v="2"/>
    <x v="0"/>
    <x v="2"/>
  </r>
  <r>
    <s v="Call_8257"/>
    <x v="0"/>
    <x v="32"/>
    <x v="3"/>
    <x v="325"/>
    <n v="46"/>
    <n v="4.5999999999999996"/>
    <x v="1"/>
    <x v="3"/>
    <x v="0"/>
    <x v="0"/>
  </r>
  <r>
    <s v="Call_8258"/>
    <x v="9"/>
    <x v="113"/>
    <x v="0"/>
    <x v="325"/>
    <n v="164"/>
    <n v="4.8"/>
    <x v="1"/>
    <x v="3"/>
    <x v="0"/>
    <x v="0"/>
  </r>
  <r>
    <s v="Call_8259"/>
    <x v="10"/>
    <x v="55"/>
    <x v="0"/>
    <x v="326"/>
    <n v="64"/>
    <n v="4.5"/>
    <x v="1"/>
    <x v="4"/>
    <x v="1"/>
    <x v="0"/>
  </r>
  <r>
    <s v="Call_8260"/>
    <x v="8"/>
    <x v="96"/>
    <x v="4"/>
    <x v="326"/>
    <n v="205"/>
    <n v="4.5"/>
    <x v="1"/>
    <x v="4"/>
    <x v="0"/>
    <x v="0"/>
  </r>
  <r>
    <s v="Call_8261"/>
    <x v="2"/>
    <x v="155"/>
    <x v="4"/>
    <x v="327"/>
    <n v="100"/>
    <n v="4.5999999999999996"/>
    <x v="1"/>
    <x v="5"/>
    <x v="1"/>
    <x v="0"/>
  </r>
  <r>
    <s v="Call_8262"/>
    <x v="4"/>
    <x v="101"/>
    <x v="1"/>
    <x v="327"/>
    <n v="111"/>
    <n v="4.5999999999999996"/>
    <x v="1"/>
    <x v="5"/>
    <x v="2"/>
    <x v="0"/>
  </r>
  <r>
    <s v="Call_8263"/>
    <x v="3"/>
    <x v="77"/>
    <x v="2"/>
    <x v="327"/>
    <n v="80"/>
    <n v="3.5"/>
    <x v="1"/>
    <x v="5"/>
    <x v="0"/>
    <x v="2"/>
  </r>
  <r>
    <s v="Call_8264"/>
    <x v="10"/>
    <x v="48"/>
    <x v="3"/>
    <x v="327"/>
    <n v="50"/>
    <n v="2.9"/>
    <x v="1"/>
    <x v="5"/>
    <x v="0"/>
    <x v="1"/>
  </r>
  <r>
    <s v="Call_8265"/>
    <x v="3"/>
    <x v="97"/>
    <x v="0"/>
    <x v="328"/>
    <n v="165"/>
    <n v="4.7"/>
    <x v="1"/>
    <x v="6"/>
    <x v="0"/>
    <x v="0"/>
  </r>
  <r>
    <s v="Call_8266"/>
    <x v="8"/>
    <x v="22"/>
    <x v="0"/>
    <x v="328"/>
    <n v="28"/>
    <n v="3.9"/>
    <x v="1"/>
    <x v="6"/>
    <x v="0"/>
    <x v="2"/>
  </r>
  <r>
    <s v="Call_8267"/>
    <x v="5"/>
    <x v="76"/>
    <x v="3"/>
    <x v="328"/>
    <n v="215"/>
    <n v="3.8"/>
    <x v="1"/>
    <x v="6"/>
    <x v="1"/>
    <x v="2"/>
  </r>
  <r>
    <s v="Call_8268"/>
    <x v="7"/>
    <x v="148"/>
    <x v="0"/>
    <x v="329"/>
    <n v="115"/>
    <n v="2.2999999999999998"/>
    <x v="1"/>
    <x v="0"/>
    <x v="1"/>
    <x v="3"/>
  </r>
  <r>
    <s v="Call_8269"/>
    <x v="6"/>
    <x v="114"/>
    <x v="0"/>
    <x v="329"/>
    <n v="64"/>
    <n v="3.7"/>
    <x v="1"/>
    <x v="0"/>
    <x v="1"/>
    <x v="2"/>
  </r>
  <r>
    <s v="Call_8270"/>
    <x v="9"/>
    <x v="59"/>
    <x v="2"/>
    <x v="329"/>
    <n v="40"/>
    <n v="3.9"/>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B3CEB0-8093-41B5-A3D7-382328877A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9" firstHeaderRow="0" firstDataRow="1" firstDataCol="1"/>
  <pivotFields count="13">
    <pivotField dataField="1" showAll="0"/>
    <pivotField axis="axisRow" showAll="0">
      <items count="16">
        <item x="13"/>
        <item x="8"/>
        <item x="0"/>
        <item x="1"/>
        <item x="2"/>
        <item x="10"/>
        <item x="5"/>
        <item x="14"/>
        <item x="9"/>
        <item x="6"/>
        <item x="4"/>
        <item x="12"/>
        <item x="7"/>
        <item x="3"/>
        <item x="11"/>
        <item t="default"/>
      </items>
    </pivotField>
    <pivotField showAll="0"/>
    <pivotField showAll="0"/>
    <pivotField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Count of Call number" fld="0" subtotal="count" baseField="0" baseItem="0"/>
    <dataField name="Average of Satisfaction Rating" fld="6"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3FB698-CAA0-4DB8-BB0D-25FAC760DDA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13">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pivotField showAll="0">
      <items count="6">
        <item h="1" x="2"/>
        <item h="1" x="1"/>
        <item h="1" x="4"/>
        <item h="1" x="3"/>
        <item x="0"/>
        <item t="default"/>
      </items>
    </pivotField>
    <pivotField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11"/>
    </i>
    <i>
      <x v="10"/>
    </i>
    <i>
      <x v="3"/>
    </i>
    <i>
      <x v="12"/>
    </i>
    <i>
      <x v="8"/>
    </i>
    <i>
      <x v="1"/>
    </i>
    <i>
      <x v="5"/>
    </i>
    <i>
      <x v="6"/>
    </i>
    <i>
      <x v="4"/>
    </i>
    <i>
      <x v="7"/>
    </i>
    <i t="grand">
      <x/>
    </i>
  </rowItems>
  <colItems count="1">
    <i/>
  </colItems>
  <dataFields count="1">
    <dataField name="Sum of Purchase Amount" fld="5" baseField="0" baseItem="0" numFmtId="167"/>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614B70-436C-45B9-BD23-DD65EBB975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13">
    <pivotField dataField="1" showAll="0"/>
    <pivotField showAll="0"/>
    <pivotField showAll="0"/>
    <pivotField showAll="0">
      <items count="6">
        <item h="1" x="2"/>
        <item h="1" x="1"/>
        <item h="1" x="4"/>
        <item x="3"/>
        <item h="1" x="0"/>
        <item t="default"/>
      </items>
    </pivotField>
    <pivotField axis="axisRow"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E8D5EB-326C-406B-8FE8-415547FA7F8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0:B33" firstHeaderRow="1" firstDataRow="1" firstDataCol="1"/>
  <pivotFields count="13">
    <pivotField showAll="0"/>
    <pivotField showAll="0"/>
    <pivotField showAll="0"/>
    <pivotField showAll="0">
      <items count="6">
        <item h="1" x="2"/>
        <item h="1" x="1"/>
        <item h="1" x="4"/>
        <item x="3"/>
        <item h="1" x="0"/>
        <item t="default"/>
      </items>
    </pivotField>
    <pivotField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
        <item x="0"/>
        <item x="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2"/>
    <field x="7"/>
  </rowFields>
  <rowItems count="13">
    <i>
      <x v="1"/>
    </i>
    <i>
      <x v="2"/>
    </i>
    <i>
      <x v="3"/>
    </i>
    <i>
      <x v="4"/>
    </i>
    <i>
      <x v="5"/>
    </i>
    <i>
      <x v="6"/>
    </i>
    <i>
      <x v="7"/>
    </i>
    <i>
      <x v="8"/>
    </i>
    <i>
      <x v="9"/>
    </i>
    <i>
      <x v="10"/>
    </i>
    <i>
      <x v="11"/>
    </i>
    <i>
      <x v="12"/>
    </i>
    <i t="grand">
      <x/>
    </i>
  </rowItems>
  <colItems count="1">
    <i/>
  </colItems>
  <dataFields count="1">
    <dataField name="Sum of Purchase Amoun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DCC05C-CC70-4B8C-B8B5-E71820FFB6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8" firstHeaderRow="1" firstDataRow="1" firstDataCol="1"/>
  <pivotFields count="13">
    <pivotField dataField="1" showAll="0"/>
    <pivotField showAll="0"/>
    <pivotField axis="axisRow"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BA8BF9-3345-4BE2-9156-23336FFB929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2" firstDataCol="1"/>
  <pivotFields count="13">
    <pivotField dataField="1" showAll="0"/>
    <pivotField showAll="0"/>
    <pivotField showAll="0"/>
    <pivotField axis="axisRow" showAll="0">
      <items count="6">
        <item x="2"/>
        <item x="1"/>
        <item x="4"/>
        <item x="3"/>
        <item x="0"/>
        <item t="default"/>
      </items>
    </pivotField>
    <pivotField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0"/>
        <item x="1"/>
        <item x="2"/>
        <item x="3"/>
        <item x="4"/>
        <item x="5"/>
        <item x="6"/>
        <item t="default"/>
      </items>
    </pivotField>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2">
    <conditionalFormat priority="2">
      <pivotAreas count="1">
        <pivotArea type="data" collapsedLevelsAreSubtotals="1" fieldPosition="0">
          <references count="3">
            <reference field="4294967294" count="1" selected="0">
              <x v="0"/>
            </reference>
            <reference field="3" count="1">
              <x v="0"/>
            </reference>
            <reference field="8" count="1" selected="0">
              <x v="0"/>
            </reference>
          </references>
        </pivotArea>
      </pivotAreas>
    </conditionalFormat>
    <conditionalFormat priority="1">
      <pivotAreas count="1">
        <pivotArea type="data" collapsedLevelsAreSubtotals="1" fieldPosition="0">
          <references count="3">
            <reference field="4294967294" count="1" selected="0">
              <x v="0"/>
            </reference>
            <reference field="3" count="5">
              <x v="0"/>
              <x v="1"/>
              <x v="2"/>
              <x v="3"/>
              <x v="4"/>
            </reference>
            <reference field="8" count="7" selected="0">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89E19B-35AC-460B-A355-31738AA8ED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0" firstHeaderRow="1" firstDataRow="2" firstDataCol="1"/>
  <pivotFields count="13">
    <pivotField dataField="1" showAll="0"/>
    <pivotField showAll="0"/>
    <pivotField showAll="0"/>
    <pivotField showAll="0"/>
    <pivotField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conditionalFormats count="2">
    <conditionalFormat priority="2">
      <pivotAreas count="1">
        <pivotArea type="data" collapsedLevelsAreSubtotals="1" fieldPosition="0">
          <references count="3">
            <reference field="4294967294" count="1" selected="0">
              <x v="0"/>
            </reference>
            <reference field="9" count="1">
              <x v="1"/>
            </reference>
            <reference field="10" count="1" selected="0">
              <x v="2"/>
            </reference>
          </references>
        </pivotArea>
      </pivotAreas>
    </conditionalFormat>
    <conditionalFormat priority="1">
      <pivotAreas count="1">
        <pivotArea type="data" collapsedLevelsAreSubtotals="1" fieldPosition="0">
          <references count="3">
            <reference field="4294967294" count="1" selected="0">
              <x v="0"/>
            </reference>
            <reference field="9" count="5">
              <x v="0"/>
              <x v="1"/>
              <x v="2"/>
              <x v="3"/>
              <x v="4"/>
            </reference>
            <reference field="10" count="6" selected="0">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35FEF4-2B45-4923-8B10-3DB2043F9C7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0" firstHeaderRow="1" firstDataRow="2" firstDataCol="1"/>
  <pivotFields count="13">
    <pivotField dataField="1" showAll="0"/>
    <pivotField showAll="0"/>
    <pivotField showAll="0"/>
    <pivotField axis="axisRow" showAll="0">
      <items count="6">
        <item x="2"/>
        <item x="1"/>
        <item x="4"/>
        <item x="3"/>
        <item x="0"/>
        <item t="default"/>
      </items>
    </pivotField>
    <pivotField numFmtId="165"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pivotField axis="axisCol"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2"/>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2"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B6A515-A0B5-4D44-BFC8-6E4DDA42CE77}" name="PivotTable8"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78:G97"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name="Sum of Purchase Amount" fld="3" baseField="0" baseItem="0"/>
  </dataFields>
  <formats count="5">
    <format dxfId="27">
      <pivotArea collapsedLevelsAreSubtotals="1" fieldPosition="0">
        <references count="2">
          <reference field="0" count="1" selected="0">
            <x v="0"/>
          </reference>
          <reference field="1" count="4">
            <x v="0"/>
            <x v="1"/>
            <x v="2"/>
            <x v="3"/>
          </reference>
        </references>
      </pivotArea>
    </format>
    <format dxfId="26">
      <pivotArea collapsedLevelsAreSubtotals="1" fieldPosition="0">
        <references count="1">
          <reference field="0" count="1">
            <x v="1"/>
          </reference>
        </references>
      </pivotArea>
    </format>
    <format dxfId="25">
      <pivotArea collapsedLevelsAreSubtotals="1" fieldPosition="0">
        <references count="2">
          <reference field="0" count="1" selected="0">
            <x v="1"/>
          </reference>
          <reference field="1" count="6">
            <x v="4"/>
            <x v="5"/>
            <x v="6"/>
            <x v="7"/>
            <x v="8"/>
            <x v="9"/>
          </reference>
        </references>
      </pivotArea>
    </format>
    <format dxfId="24">
      <pivotArea collapsedLevelsAreSubtotals="1" fieldPosition="0">
        <references count="1">
          <reference field="0" count="1">
            <x v="2"/>
          </reference>
        </references>
      </pivotArea>
    </format>
    <format dxfId="23">
      <pivotArea collapsedLevelsAreSubtotals="1" fieldPosition="0">
        <references count="2">
          <reference field="0" count="1" selected="0">
            <x v="2"/>
          </reference>
          <reference field="1" count="5">
            <x v="10"/>
            <x v="11"/>
            <x v="12"/>
            <x v="13"/>
            <x v="14"/>
          </reference>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027AFB-B467-47B6-8242-52BB20458E5D}"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8:B7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20learning (Recovere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6A457B-F0BE-483B-AE44-EC7BC8943AAE}" name="REP PIVO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20learning (Recovere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6BDE83-6243-41C6-9586-B5CCA1AE1F23}" name="new pivo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A52"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20learning (Recovere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766BC76-5AFD-4B42-A019-7AA9A8FB2F88}" name="PivotTable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15:B2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2">
    <field x="2"/>
    <field x="1"/>
  </rowFields>
  <rowItems count="13">
    <i>
      <x/>
    </i>
    <i>
      <x v="1"/>
    </i>
    <i>
      <x v="2"/>
    </i>
    <i>
      <x v="3"/>
    </i>
    <i>
      <x v="4"/>
    </i>
    <i>
      <x v="5"/>
    </i>
    <i>
      <x v="6"/>
    </i>
    <i>
      <x v="7"/>
    </i>
    <i>
      <x v="8"/>
    </i>
    <i>
      <x v="9"/>
    </i>
    <i>
      <x v="10"/>
    </i>
    <i>
      <x v="11"/>
    </i>
    <i t="grand">
      <x/>
    </i>
  </rowItems>
  <colItems count="1">
    <i/>
  </colItems>
  <dataFields count="1">
    <dataField fld="3" subtotal="count" baseField="0" baseItem="0"/>
  </dataFields>
  <chartFormats count="1">
    <chartFormat chart="1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20learning (Recovere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4408A3F-B282-4682-B059-A44A5708A63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C43"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Call number" fld="1" subtotal="count" baseField="0" baseItem="0"/>
    <dataField name="Sum of Purchase Amount" fld="2"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20learning (Recovere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07229D4-ACD6-46B7-990F-BEEFCA1884E1}"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8:D6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Count of Call number"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C2A6836-9CCB-4550-B9AC-2A74780552C5}" name="SUMMARY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20learning (Recovere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D796186-7775-4629-95CE-A78D19A66319}" name="PivotTable2"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D15:E23"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2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20learning (Recovered).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9EC1685-18A1-4864-A5AE-F8B28C871E16}" autoFormatId="16" applyNumberFormats="0" applyBorderFormats="0" applyFontFormats="0" applyPatternFormats="0" applyAlignmentFormats="0" applyWidthHeightFormats="0">
  <queryTableRefresh nextId="8">
    <queryTableFields count="7">
      <queryTableField id="1" name="Rank" tableColumnId="1"/>
      <queryTableField id="2" name="Country" tableColumnId="2"/>
      <queryTableField id="3" name="Gold" tableColumnId="3"/>
      <queryTableField id="4" name="Silver" tableColumnId="4"/>
      <queryTableField id="5" name="Bronze" tableColumnId="5"/>
      <queryTableField id="6" name="Total" tableColumnId="6"/>
      <queryTableField id="7" name="Division"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7C68AC1-AE4A-42CB-AE7C-5D6452296E90}" autoFormatId="16" applyNumberFormats="0" applyBorderFormats="0" applyFontFormats="0" applyPatternFormats="0" applyAlignmentFormats="0" applyWidthHeightFormats="0">
  <queryTableRefresh nextId="15">
    <queryTableFields count="14">
      <queryTableField id="1" name="Emp ID" tableColumnId="1"/>
      <queryTableField id="2" name="First name" tableColumnId="2"/>
      <queryTableField id="3" name="Last name" tableColumnId="3"/>
      <queryTableField id="4" name="Gender" tableColumnId="4"/>
      <queryTableField id="5" name="Department" tableColumnId="5"/>
      <queryTableField id="6" name="Salary" tableColumnId="6"/>
      <queryTableField id="7" name="Salary bucket" tableColumnId="7"/>
      <queryTableField id="8" name="Start Date" tableColumnId="8"/>
      <queryTableField id="9" name="FTE" tableColumnId="9"/>
      <queryTableField id="10" name="Employee type" tableColumnId="10"/>
      <queryTableField id="11" name="Work type" tableColumnId="11"/>
      <queryTableField id="12" name="Work location" tableColumnId="12"/>
      <queryTableField id="13" name="Age" tableColumnId="13"/>
      <queryTableField id="14" name="Total Years"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4A10E947-E88F-438D-87FA-15B26FA6420D}" sourceName="Representative">
  <pivotTables>
    <pivotTable tabId="9" name="PivotTable2"/>
  </pivotTables>
  <data>
    <tabular pivotCacheId="1953596580">
      <items count="5">
        <i x="2"/>
        <i x="1"/>
        <i x="4"/>
        <i x="3"/>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2D5B26E3-F5BF-4E5C-B2E8-4B4DCBA010F5}" sourceName="Representative">
  <pivotTables>
    <pivotTable tabId="11" name="PivotTable4"/>
    <pivotTable tabId="11" name="PivotTable1"/>
  </pivotTables>
  <data>
    <tabular pivotCacheId="1953596580">
      <items count="5">
        <i x="2"/>
        <i x="1"/>
        <i x="4"/>
        <i x="3"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FA172FE4-D296-4368-94CD-12E1773558F8}" sourceName="[CALLS].[Representative]">
  <pivotTables>
    <pivotTable tabId="16" name="REP PIVOT"/>
    <pivotTable tabId="16" name="PivotTable1"/>
    <pivotTable tabId="16" name="PivotTable2"/>
    <pivotTable tabId="16" name="new pivot"/>
    <pivotTable tabId="16" name="PivotTable7"/>
  </pivotTables>
  <data>
    <olap pivotCacheId="116019844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D14CCBD3-558B-4539-9A20-1670FB45B0EC}" cache="Slicer_Representative" caption="Representativ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BC99A4F9-6514-4B0D-8D28-2251DC69AFA5}" cache="Slicer_Representative1" caption="Representativ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D04968FC-FB6A-4C31-B5A2-9CC5D924C259}" cache="Slicer_Representative2" caption="Representative"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3" xr10:uid="{3E9030DD-9DE4-4150-9769-11307BA51528}" cache="Slicer_Representative2" caption="Representative" level="1" style="SlicerStyleOther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C4D33F-4BF7-406A-9E68-31B289A05A1C}" name="Medals" displayName="Medals" ref="A1:G94" tableType="queryTable" totalsRowShown="0">
  <autoFilter ref="A1:G94" xr:uid="{F2C4D33F-4BF7-406A-9E68-31B289A05A1C}"/>
  <tableColumns count="7">
    <tableColumn id="1" xr3:uid="{F812B35C-7129-4D42-9F9C-9EF067363CD4}" uniqueName="1" name="Rank" queryTableFieldId="1" dataDxfId="38"/>
    <tableColumn id="2" xr3:uid="{6E8060CE-9517-4BC1-B568-D5D6180AF98B}" uniqueName="2" name="Country" queryTableFieldId="2" dataDxfId="37"/>
    <tableColumn id="3" xr3:uid="{AB89CAED-DC3E-431D-8332-7CF66FBD811A}" uniqueName="3" name="Gold" queryTableFieldId="3"/>
    <tableColumn id="4" xr3:uid="{AF99454A-53B3-4EED-820B-C2AE5151E02A}" uniqueName="4" name="Silver" queryTableFieldId="4"/>
    <tableColumn id="5" xr3:uid="{64F0FBB3-E218-4796-BE2F-61B039ED929C}" uniqueName="5" name="Bronze" queryTableFieldId="5"/>
    <tableColumn id="6" xr3:uid="{C821A7A9-9D12-4869-BDDE-01D87F68F45A}" uniqueName="6" name="Total" queryTableFieldId="6"/>
    <tableColumn id="7" xr3:uid="{6708F13F-48F7-44EB-9C55-CACE7827F0CC}" uniqueName="7" name="Division" queryTableFieldId="7" dataDxfId="3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CD412D-E4A3-44C3-8F30-32BB3E1A05DA}" name="Staff" displayName="Staff" ref="A1:N261" tableType="queryTable" totalsRowShown="0">
  <autoFilter ref="A1:N261" xr:uid="{77CD412D-E4A3-44C3-8F30-32BB3E1A05DA}"/>
  <tableColumns count="14">
    <tableColumn id="1" xr3:uid="{7B2F7123-B1DA-4A41-86B4-8CAD7BBB3DC3}" uniqueName="1" name="Emp ID" queryTableFieldId="1" dataDxfId="35"/>
    <tableColumn id="2" xr3:uid="{2AFAA8FC-7BD0-4ADF-AD99-6DECCD494A7E}" uniqueName="2" name="First name" queryTableFieldId="2" dataDxfId="34"/>
    <tableColumn id="3" xr3:uid="{7B0181ED-5496-4D18-8DAE-1D8DF28B2660}" uniqueName="3" name="Last name" queryTableFieldId="3" dataDxfId="33"/>
    <tableColumn id="4" xr3:uid="{11DC8290-5111-4B25-8094-86B1474394BF}" uniqueName="4" name="Gender" queryTableFieldId="4" dataDxfId="32"/>
    <tableColumn id="5" xr3:uid="{A824E7E5-0624-4F56-9B82-4D7F745C4388}" uniqueName="5" name="Department" queryTableFieldId="5" dataDxfId="31"/>
    <tableColumn id="6" xr3:uid="{B1D9AD75-AEFB-4557-A392-58C41390AEEE}" uniqueName="6" name="Salary" queryTableFieldId="6"/>
    <tableColumn id="7" xr3:uid="{30EEE64E-E82A-48BD-BA16-786FCDF01829}" uniqueName="7" name="Salary bucket" queryTableFieldId="7"/>
    <tableColumn id="8" xr3:uid="{6ECF2C9F-314B-44F4-A60A-4980F5DF4C5A}" uniqueName="8" name="Start Date" queryTableFieldId="8" dataDxfId="30"/>
    <tableColumn id="9" xr3:uid="{C7CA7730-D4D2-4741-8124-D365F4AE459E}" uniqueName="9" name="FTE" queryTableFieldId="9"/>
    <tableColumn id="10" xr3:uid="{F2DCE1E7-4EAB-44C3-AFFC-EFE5622EC286}" uniqueName="10" name="Employee type" queryTableFieldId="10" dataDxfId="29"/>
    <tableColumn id="11" xr3:uid="{3D437B78-56A2-4554-AD5B-1C4B24775C6F}" uniqueName="11" name="Work type" queryTableFieldId="11"/>
    <tableColumn id="12" xr3:uid="{B269A57E-42AA-40D8-8ACE-E2FDA6A90CBE}" uniqueName="12" name="Work location" queryTableFieldId="12" dataDxfId="28"/>
    <tableColumn id="13" xr3:uid="{081EA034-1DFB-402E-AFBD-5310DD7B2850}" uniqueName="13" name="Age" queryTableFieldId="13"/>
    <tableColumn id="14" xr3:uid="{E22CFCFA-7F99-47F2-9D38-4EE1784267A2}" uniqueName="14" name="Total Years"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4C1766-D5E9-4154-AD7E-06C754D80F84}" name="calls" displayName="calls" ref="A4:K1004" totalsRowShown="0" headerRowBorderDxfId="22" tableBorderDxfId="21" totalsRowBorderDxfId="20">
  <autoFilter ref="A4:K1004" xr:uid="{B44C1766-D5E9-4154-AD7E-06C754D80F84}"/>
  <tableColumns count="11">
    <tableColumn id="1" xr3:uid="{168C6639-34FB-4BBA-95CF-B5E4D61A4E43}" name="Call number" dataDxfId="19"/>
    <tableColumn id="2" xr3:uid="{E45EC18C-AA00-42AE-8CFC-C2355928ED44}" name="Customer ID" dataDxfId="18"/>
    <tableColumn id="3" xr3:uid="{A8B5610A-B6F8-4CAB-B391-AF5D504A59A7}" name="Duration" dataDxfId="17"/>
    <tableColumn id="4" xr3:uid="{DD7E774F-6ADE-42CB-B1C0-845816B66604}" name="Representative" dataDxfId="16"/>
    <tableColumn id="5" xr3:uid="{5E65FD96-CF62-464A-992F-095D979F1529}" name="Date of Call" dataDxfId="15"/>
    <tableColumn id="6" xr3:uid="{964602E6-6E28-4E53-A514-B173AE1F30F1}" name="Purchase Amount" dataDxfId="14"/>
    <tableColumn id="7" xr3:uid="{752E6CF0-7079-465B-9D04-10545F6D41C8}" name="Satisfaction Rating" dataDxfId="13"/>
    <tableColumn id="8" xr3:uid="{8FB8BA15-3B36-4122-B13F-D402B16F78CE}" name="FY" dataDxfId="12">
      <calculatedColumnFormula>IF(MONTH(calls[[#This Row],[Date of Call]])&lt;=6,YEAR(calls[[#This Row],[Date of Call]]),YEAR(calls[[#This Row],[Date of Call]])+1)</calculatedColumnFormula>
    </tableColumn>
    <tableColumn id="9" xr3:uid="{EA07201E-C7ED-47C9-8EF1-17BF55275F16}" name="DAY OF WEEK" dataDxfId="11">
      <calculatedColumnFormula>TEXT(calls[[#This Row],[Date of Call]],"DDDD")</calculatedColumnFormula>
    </tableColumn>
    <tableColumn id="10" xr3:uid="{6150DE65-617E-401C-AC0D-8B4445EC6E65}" name="DURATION BUCKET" dataDxfId="10">
      <calculatedColumnFormula array="1">_xlfn.IFS(calls[[#This Row],[Duration]]&lt;=10,"UNDER 10 MINS",calls[[#This Row],[Duration]]&lt;=30,"10 TO 30 MINS",calls[[#This Row],[Duration]]&lt;=60,"30 TO 60 MINS",calls[[#This Row],[Duration]]&lt;=120,"1 TO 2 HRS",TRUE,"MORE THAN 2 HRS")</calculatedColumnFormula>
    </tableColumn>
    <tableColumn id="11" xr3:uid="{DD1CB591-B766-4854-99C1-33D630A6EBB5}" name="ROUND OFF" dataDxfId="9">
      <calculatedColumnFormula>ROUND(calls[[#This Row],[Satisfaction Rating]],0)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832075-5B4E-4A21-B5E3-90908EC8664A}" name="CUSTOMERS" displayName="CUSTOMERS" ref="M4:P19" totalsRowShown="0" headerRowDxfId="8" headerRowBorderDxfId="7">
  <autoFilter ref="M4:P19" xr:uid="{0A832075-5B4E-4A21-B5E3-90908EC8664A}"/>
  <tableColumns count="4">
    <tableColumn id="1" xr3:uid="{B74C7FEB-0E25-441B-989D-4E40B1BE324B}" name="Customer ID" dataDxfId="6"/>
    <tableColumn id="2" xr3:uid="{0E38DA9C-0D60-4651-A28A-B7DEF918F306}" name="Gedner" dataDxfId="5"/>
    <tableColumn id="3" xr3:uid="{5E26A0EA-6E70-4F00-A565-746F7F36EDB2}" name="Age" dataDxfId="4"/>
    <tableColumn id="4" xr3:uid="{4388D2B1-797E-4F72-945B-88D906514328}" name="City" dataDxfId="3"/>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microsoft.com/office/2007/relationships/slicer" Target="../slicers/slicer3.xml"/><Relationship Id="rId5" Type="http://schemas.openxmlformats.org/officeDocument/2006/relationships/pivotTable" Target="../pivotTables/pivotTable13.xml"/><Relationship Id="rId10" Type="http://schemas.openxmlformats.org/officeDocument/2006/relationships/drawing" Target="../drawings/drawing3.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1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B9B09-EAC4-4C77-9BA2-6ECC72D22BBA}">
  <sheetPr filterMode="1"/>
  <dimension ref="A1:I58"/>
  <sheetViews>
    <sheetView workbookViewId="0">
      <selection activeCell="E50" sqref="E50"/>
    </sheetView>
  </sheetViews>
  <sheetFormatPr defaultRowHeight="14.4" x14ac:dyDescent="0.3"/>
  <cols>
    <col min="1" max="1" width="10.6640625" bestFit="1" customWidth="1"/>
    <col min="2" max="2" width="28.33203125" bestFit="1" customWidth="1"/>
    <col min="3" max="3" width="14.109375" customWidth="1"/>
    <col min="4" max="4" width="29.6640625" bestFit="1" customWidth="1"/>
    <col min="5" max="5" width="15.88671875" bestFit="1" customWidth="1"/>
    <col min="6" max="6" width="13.33203125" bestFit="1" customWidth="1"/>
    <col min="7" max="7" width="5" bestFit="1" customWidth="1"/>
    <col min="8" max="8" width="13.33203125" bestFit="1" customWidth="1"/>
    <col min="9" max="9" width="26.88671875" bestFit="1" customWidth="1"/>
  </cols>
  <sheetData>
    <row r="1" spans="1:9" x14ac:dyDescent="0.3">
      <c r="A1" s="2" t="s">
        <v>0</v>
      </c>
      <c r="B1" s="2" t="s">
        <v>1</v>
      </c>
      <c r="C1" s="2" t="s">
        <v>2</v>
      </c>
      <c r="D1" s="2" t="s">
        <v>3</v>
      </c>
      <c r="E1" s="3" t="s">
        <v>4</v>
      </c>
      <c r="F1" s="3" t="s">
        <v>5</v>
      </c>
      <c r="G1" s="4" t="s">
        <v>6</v>
      </c>
      <c r="H1" s="2" t="s">
        <v>7</v>
      </c>
      <c r="I1" s="2" t="s">
        <v>8</v>
      </c>
    </row>
    <row r="2" spans="1:9" ht="18" hidden="1" x14ac:dyDescent="0.35">
      <c r="A2" s="1" t="s">
        <v>38</v>
      </c>
      <c r="B2" s="1" t="s">
        <v>39</v>
      </c>
      <c r="C2" s="1" t="s">
        <v>24</v>
      </c>
      <c r="D2" s="1" t="s">
        <v>34</v>
      </c>
      <c r="E2" s="5">
        <v>29774.76</v>
      </c>
      <c r="F2" s="6">
        <v>44105</v>
      </c>
      <c r="G2" s="7">
        <v>1</v>
      </c>
      <c r="H2" s="1" t="s">
        <v>13</v>
      </c>
      <c r="I2" s="1" t="s">
        <v>14</v>
      </c>
    </row>
    <row r="3" spans="1:9" ht="18" hidden="1" x14ac:dyDescent="0.35">
      <c r="A3" s="1" t="s">
        <v>102</v>
      </c>
      <c r="B3" s="1" t="s">
        <v>103</v>
      </c>
      <c r="C3" s="1" t="s">
        <v>24</v>
      </c>
      <c r="D3" s="1" t="s">
        <v>89</v>
      </c>
      <c r="E3" s="5">
        <v>32192.15</v>
      </c>
      <c r="F3" s="6">
        <v>44473</v>
      </c>
      <c r="G3" s="7">
        <v>1</v>
      </c>
      <c r="H3" s="1" t="s">
        <v>13</v>
      </c>
      <c r="I3" s="1" t="s">
        <v>18</v>
      </c>
    </row>
    <row r="4" spans="1:9" ht="18" hidden="1" x14ac:dyDescent="0.35">
      <c r="A4" s="1" t="s">
        <v>48</v>
      </c>
      <c r="B4" s="1" t="s">
        <v>49</v>
      </c>
      <c r="C4" s="1" t="s">
        <v>24</v>
      </c>
      <c r="D4" s="1" t="s">
        <v>37</v>
      </c>
      <c r="E4" s="5">
        <v>35936.31</v>
      </c>
      <c r="F4" s="6">
        <v>43241</v>
      </c>
      <c r="G4" s="7">
        <v>1</v>
      </c>
      <c r="H4" s="1" t="s">
        <v>13</v>
      </c>
      <c r="I4" s="1" t="s">
        <v>50</v>
      </c>
    </row>
    <row r="5" spans="1:9" ht="18" hidden="1" x14ac:dyDescent="0.35">
      <c r="A5" s="1" t="s">
        <v>117</v>
      </c>
      <c r="B5" s="1" t="s">
        <v>118</v>
      </c>
      <c r="C5" s="1" t="s">
        <v>11</v>
      </c>
      <c r="D5" s="1" t="s">
        <v>44</v>
      </c>
      <c r="E5" s="5">
        <v>35943.620000000003</v>
      </c>
      <c r="F5" s="6">
        <v>44078</v>
      </c>
      <c r="G5" s="7">
        <v>1</v>
      </c>
      <c r="H5" s="1" t="s">
        <v>13</v>
      </c>
      <c r="I5" s="1" t="s">
        <v>21</v>
      </c>
    </row>
    <row r="6" spans="1:9" ht="18" hidden="1" x14ac:dyDescent="0.35">
      <c r="A6" s="1" t="s">
        <v>74</v>
      </c>
      <c r="B6" s="1" t="s">
        <v>75</v>
      </c>
      <c r="C6" s="1" t="s">
        <v>24</v>
      </c>
      <c r="D6" s="1" t="s">
        <v>37</v>
      </c>
      <c r="E6" s="5">
        <v>36547.58</v>
      </c>
      <c r="F6" s="6">
        <v>43416</v>
      </c>
      <c r="G6" s="7">
        <v>1</v>
      </c>
      <c r="H6" s="1" t="s">
        <v>13</v>
      </c>
      <c r="I6" s="1" t="s">
        <v>26</v>
      </c>
    </row>
    <row r="7" spans="1:9" ht="18" hidden="1" x14ac:dyDescent="0.35">
      <c r="A7" s="1" t="s">
        <v>74</v>
      </c>
      <c r="B7" s="1" t="s">
        <v>75</v>
      </c>
      <c r="C7" s="1" t="s">
        <v>24</v>
      </c>
      <c r="D7" s="1" t="s">
        <v>37</v>
      </c>
      <c r="E7" s="5">
        <v>36547.58</v>
      </c>
      <c r="F7" s="6">
        <v>43416</v>
      </c>
      <c r="G7" s="7">
        <v>1</v>
      </c>
      <c r="H7" s="1" t="s">
        <v>13</v>
      </c>
      <c r="I7" s="1" t="s">
        <v>26</v>
      </c>
    </row>
    <row r="8" spans="1:9" ht="18" hidden="1" x14ac:dyDescent="0.35">
      <c r="A8" s="1" t="s">
        <v>104</v>
      </c>
      <c r="B8" s="1" t="s">
        <v>105</v>
      </c>
      <c r="C8" s="1" t="s">
        <v>24</v>
      </c>
      <c r="D8" s="1" t="s">
        <v>82</v>
      </c>
      <c r="E8" s="5">
        <v>36714.379999999997</v>
      </c>
      <c r="F8" s="6">
        <v>44175</v>
      </c>
      <c r="G8" s="7">
        <v>1</v>
      </c>
      <c r="H8" s="1" t="s">
        <v>13</v>
      </c>
      <c r="I8" s="1" t="s">
        <v>50</v>
      </c>
    </row>
    <row r="9" spans="1:9" ht="18" hidden="1" x14ac:dyDescent="0.35">
      <c r="A9" s="1" t="s">
        <v>98</v>
      </c>
      <c r="B9" s="1" t="s">
        <v>99</v>
      </c>
      <c r="C9" s="1" t="s">
        <v>24</v>
      </c>
      <c r="D9" s="1" t="s">
        <v>29</v>
      </c>
      <c r="E9" s="5">
        <v>37362.300000000003</v>
      </c>
      <c r="F9" s="6">
        <v>43642</v>
      </c>
      <c r="G9" s="7">
        <v>1</v>
      </c>
      <c r="H9" s="1" t="s">
        <v>13</v>
      </c>
      <c r="I9" s="1" t="s">
        <v>56</v>
      </c>
    </row>
    <row r="10" spans="1:9" ht="18" hidden="1" x14ac:dyDescent="0.35">
      <c r="A10" s="1" t="s">
        <v>108</v>
      </c>
      <c r="B10" s="1" t="s">
        <v>109</v>
      </c>
      <c r="C10" s="1" t="s">
        <v>11</v>
      </c>
      <c r="D10" s="1" t="s">
        <v>89</v>
      </c>
      <c r="E10" s="5">
        <v>39535.49</v>
      </c>
      <c r="F10" s="6">
        <v>43397</v>
      </c>
      <c r="G10" s="7">
        <v>0.3</v>
      </c>
      <c r="H10" s="1" t="s">
        <v>13</v>
      </c>
      <c r="I10" s="1" t="s">
        <v>26</v>
      </c>
    </row>
    <row r="11" spans="1:9" ht="18" hidden="1" x14ac:dyDescent="0.35">
      <c r="A11" s="1" t="s">
        <v>87</v>
      </c>
      <c r="B11" s="1" t="s">
        <v>88</v>
      </c>
      <c r="C11" s="1" t="s">
        <v>11</v>
      </c>
      <c r="D11" s="1" t="s">
        <v>89</v>
      </c>
      <c r="E11" s="5">
        <v>41934.71</v>
      </c>
      <c r="F11" s="6">
        <v>43780</v>
      </c>
      <c r="G11" s="7">
        <v>1</v>
      </c>
      <c r="H11" s="1" t="s">
        <v>13</v>
      </c>
      <c r="I11" s="1" t="s">
        <v>26</v>
      </c>
    </row>
    <row r="12" spans="1:9" ht="18" hidden="1" x14ac:dyDescent="0.35">
      <c r="A12" s="1" t="s">
        <v>123</v>
      </c>
      <c r="B12" s="1" t="s">
        <v>124</v>
      </c>
      <c r="C12" s="1" t="s">
        <v>11</v>
      </c>
      <c r="D12" s="1" t="s">
        <v>89</v>
      </c>
      <c r="E12" s="5">
        <v>47551.89</v>
      </c>
      <c r="F12" s="6">
        <v>43468</v>
      </c>
      <c r="G12" s="7">
        <v>1</v>
      </c>
      <c r="H12" s="1" t="s">
        <v>13</v>
      </c>
      <c r="I12" s="1" t="s">
        <v>56</v>
      </c>
    </row>
    <row r="13" spans="1:9" ht="18" hidden="1" x14ac:dyDescent="0.35">
      <c r="A13" s="1" t="s">
        <v>72</v>
      </c>
      <c r="B13" s="1" t="s">
        <v>73</v>
      </c>
      <c r="C13" s="1" t="s">
        <v>24</v>
      </c>
      <c r="D13" s="1" t="s">
        <v>44</v>
      </c>
      <c r="E13" s="5">
        <v>48525.71</v>
      </c>
      <c r="F13" s="6">
        <v>43264</v>
      </c>
      <c r="G13" s="7">
        <v>1</v>
      </c>
      <c r="H13" s="1" t="s">
        <v>13</v>
      </c>
      <c r="I13" s="1" t="s">
        <v>18</v>
      </c>
    </row>
    <row r="14" spans="1:9" ht="18" hidden="1" x14ac:dyDescent="0.35">
      <c r="A14" s="1" t="s">
        <v>42</v>
      </c>
      <c r="B14" s="1" t="s">
        <v>43</v>
      </c>
      <c r="C14" s="1" t="s">
        <v>24</v>
      </c>
      <c r="D14" s="1" t="s">
        <v>44</v>
      </c>
      <c r="E14" s="5">
        <v>50310.09</v>
      </c>
      <c r="F14" s="6">
        <v>44285</v>
      </c>
      <c r="G14" s="7">
        <v>0.4</v>
      </c>
      <c r="H14" s="1" t="s">
        <v>13</v>
      </c>
      <c r="I14" s="1" t="s">
        <v>18</v>
      </c>
    </row>
    <row r="15" spans="1:9" ht="18" hidden="1" x14ac:dyDescent="0.35">
      <c r="A15" s="1" t="s">
        <v>70</v>
      </c>
      <c r="B15" s="1" t="s">
        <v>71</v>
      </c>
      <c r="C15" s="1" t="s">
        <v>11</v>
      </c>
      <c r="D15" s="1" t="s">
        <v>47</v>
      </c>
      <c r="E15" s="5">
        <v>50449.46</v>
      </c>
      <c r="F15" s="6">
        <v>43418</v>
      </c>
      <c r="G15" s="7">
        <v>0.8</v>
      </c>
      <c r="H15" s="1" t="s">
        <v>13</v>
      </c>
      <c r="I15" s="1" t="s">
        <v>56</v>
      </c>
    </row>
    <row r="16" spans="1:9" ht="18" hidden="1" x14ac:dyDescent="0.35">
      <c r="A16" s="1" t="s">
        <v>40</v>
      </c>
      <c r="B16" s="1" t="s">
        <v>41</v>
      </c>
      <c r="C16" s="1" t="s">
        <v>24</v>
      </c>
      <c r="D16" s="1" t="s">
        <v>37</v>
      </c>
      <c r="E16" s="5">
        <v>52963.65</v>
      </c>
      <c r="F16" s="6">
        <v>44288</v>
      </c>
      <c r="G16" s="7">
        <v>0.3</v>
      </c>
      <c r="H16" s="1" t="s">
        <v>13</v>
      </c>
      <c r="I16" s="1" t="s">
        <v>21</v>
      </c>
    </row>
    <row r="17" spans="1:9" ht="18" hidden="1" x14ac:dyDescent="0.35">
      <c r="A17" s="1" t="s">
        <v>78</v>
      </c>
      <c r="B17" s="1" t="s">
        <v>79</v>
      </c>
      <c r="C17" s="1" t="s">
        <v>11</v>
      </c>
      <c r="D17" s="1" t="s">
        <v>25</v>
      </c>
      <c r="E17" s="5">
        <v>58861.19</v>
      </c>
      <c r="F17" s="6">
        <v>43654</v>
      </c>
      <c r="G17" s="7">
        <v>1</v>
      </c>
      <c r="H17" s="1" t="s">
        <v>13</v>
      </c>
      <c r="I17" s="1" t="s">
        <v>21</v>
      </c>
    </row>
    <row r="18" spans="1:9" ht="18" hidden="1" x14ac:dyDescent="0.35">
      <c r="A18" s="1" t="s">
        <v>96</v>
      </c>
      <c r="B18" s="1" t="s">
        <v>97</v>
      </c>
      <c r="C18" s="1" t="s">
        <v>11</v>
      </c>
      <c r="D18" s="1" t="s">
        <v>44</v>
      </c>
      <c r="E18" s="5">
        <v>61994.76</v>
      </c>
      <c r="F18" s="6">
        <v>43794</v>
      </c>
      <c r="G18" s="7">
        <v>0.3</v>
      </c>
      <c r="H18" s="1" t="s">
        <v>13</v>
      </c>
      <c r="I18" s="1" t="s">
        <v>18</v>
      </c>
    </row>
    <row r="19" spans="1:9" ht="18" hidden="1" x14ac:dyDescent="0.35">
      <c r="A19" s="1" t="s">
        <v>110</v>
      </c>
      <c r="B19" s="1" t="s">
        <v>111</v>
      </c>
      <c r="C19" s="1" t="s">
        <v>24</v>
      </c>
      <c r="D19" s="1" t="s">
        <v>89</v>
      </c>
      <c r="E19" s="5">
        <v>62195.47</v>
      </c>
      <c r="F19" s="6">
        <v>44434</v>
      </c>
      <c r="G19" s="7">
        <v>1</v>
      </c>
      <c r="H19" s="1" t="s">
        <v>13</v>
      </c>
      <c r="I19" s="1" t="s">
        <v>26</v>
      </c>
    </row>
    <row r="20" spans="1:9" ht="18" hidden="1" x14ac:dyDescent="0.35">
      <c r="A20" s="1" t="s">
        <v>138</v>
      </c>
      <c r="B20" s="1" t="s">
        <v>139</v>
      </c>
      <c r="C20" s="1" t="s">
        <v>24</v>
      </c>
      <c r="D20" s="1" t="s">
        <v>47</v>
      </c>
      <c r="E20" s="5">
        <v>62281.24</v>
      </c>
      <c r="F20" s="6">
        <v>43272</v>
      </c>
      <c r="G20" s="7">
        <v>1</v>
      </c>
      <c r="H20" s="1" t="s">
        <v>13</v>
      </c>
      <c r="I20" s="1" t="s">
        <v>26</v>
      </c>
    </row>
    <row r="21" spans="1:9" ht="18" hidden="1" x14ac:dyDescent="0.35">
      <c r="A21" s="1" t="s">
        <v>32</v>
      </c>
      <c r="B21" s="1" t="s">
        <v>33</v>
      </c>
      <c r="C21" s="1" t="s">
        <v>11</v>
      </c>
      <c r="D21" s="1" t="s">
        <v>34</v>
      </c>
      <c r="E21" s="5">
        <v>63705.4</v>
      </c>
      <c r="F21" s="6">
        <v>43682</v>
      </c>
      <c r="G21" s="7">
        <v>1</v>
      </c>
      <c r="H21" s="1" t="s">
        <v>13</v>
      </c>
      <c r="I21" s="1" t="s">
        <v>18</v>
      </c>
    </row>
    <row r="22" spans="1:9" ht="18" hidden="1" x14ac:dyDescent="0.35">
      <c r="A22" s="1" t="s">
        <v>121</v>
      </c>
      <c r="B22" s="1" t="s">
        <v>122</v>
      </c>
      <c r="C22" s="1" t="s">
        <v>24</v>
      </c>
      <c r="D22" s="1" t="s">
        <v>29</v>
      </c>
      <c r="E22" s="5">
        <v>65699.02</v>
      </c>
      <c r="F22" s="6">
        <v>43951</v>
      </c>
      <c r="G22" s="7">
        <v>1</v>
      </c>
      <c r="H22" s="1" t="s">
        <v>13</v>
      </c>
      <c r="I22" s="1" t="s">
        <v>21</v>
      </c>
    </row>
    <row r="23" spans="1:9" ht="18" hidden="1" x14ac:dyDescent="0.35">
      <c r="A23" s="1" t="s">
        <v>114</v>
      </c>
      <c r="B23" s="1" t="s">
        <v>115</v>
      </c>
      <c r="C23" s="1" t="s">
        <v>24</v>
      </c>
      <c r="D23" s="1" t="s">
        <v>34</v>
      </c>
      <c r="E23" s="5">
        <v>66572.58</v>
      </c>
      <c r="F23" s="6">
        <v>44193</v>
      </c>
      <c r="G23" s="7">
        <v>1</v>
      </c>
      <c r="H23" s="1" t="s">
        <v>13</v>
      </c>
      <c r="I23" s="1" t="s">
        <v>50</v>
      </c>
    </row>
    <row r="24" spans="1:9" ht="18" hidden="1" x14ac:dyDescent="0.35">
      <c r="A24" s="1" t="s">
        <v>114</v>
      </c>
      <c r="B24" s="1" t="s">
        <v>116</v>
      </c>
      <c r="C24" s="1" t="s">
        <v>24</v>
      </c>
      <c r="D24" s="1" t="s">
        <v>34</v>
      </c>
      <c r="E24" s="5">
        <v>66572.58</v>
      </c>
      <c r="F24" s="6">
        <v>44193</v>
      </c>
      <c r="G24" s="7">
        <v>1</v>
      </c>
      <c r="H24" s="1" t="s">
        <v>13</v>
      </c>
      <c r="I24" s="1" t="s">
        <v>50</v>
      </c>
    </row>
    <row r="25" spans="1:9" ht="18" hidden="1" x14ac:dyDescent="0.35">
      <c r="A25" s="1" t="s">
        <v>27</v>
      </c>
      <c r="B25" s="1" t="s">
        <v>28</v>
      </c>
      <c r="C25" s="1" t="s">
        <v>11</v>
      </c>
      <c r="D25" s="1" t="s">
        <v>29</v>
      </c>
      <c r="E25" s="5">
        <v>67905.8</v>
      </c>
      <c r="F25" s="6">
        <v>44194</v>
      </c>
      <c r="G25" s="7">
        <v>1</v>
      </c>
      <c r="H25" s="1" t="s">
        <v>13</v>
      </c>
      <c r="I25" s="1" t="s">
        <v>26</v>
      </c>
    </row>
    <row r="26" spans="1:9" ht="18" hidden="1" x14ac:dyDescent="0.35">
      <c r="A26" s="1" t="s">
        <v>30</v>
      </c>
      <c r="B26" s="1" t="s">
        <v>31</v>
      </c>
      <c r="C26" s="1" t="s">
        <v>11</v>
      </c>
      <c r="D26" s="1" t="s">
        <v>17</v>
      </c>
      <c r="E26" s="5">
        <v>68980.52</v>
      </c>
      <c r="F26" s="6">
        <v>43494</v>
      </c>
      <c r="G26" s="7">
        <v>0.8</v>
      </c>
      <c r="H26" s="1" t="s">
        <v>13</v>
      </c>
      <c r="I26" s="1" t="s">
        <v>26</v>
      </c>
    </row>
    <row r="27" spans="1:9" ht="18" hidden="1" x14ac:dyDescent="0.35">
      <c r="A27" s="1" t="s">
        <v>128</v>
      </c>
      <c r="B27" s="1" t="s">
        <v>129</v>
      </c>
      <c r="C27" s="1" t="s">
        <v>11</v>
      </c>
      <c r="D27" s="1" t="s">
        <v>17</v>
      </c>
      <c r="E27" s="5">
        <v>69192.850000000006</v>
      </c>
      <c r="F27" s="6">
        <v>44305</v>
      </c>
      <c r="G27" s="7">
        <v>1</v>
      </c>
      <c r="H27" s="1" t="s">
        <v>13</v>
      </c>
      <c r="I27" s="1" t="s">
        <v>21</v>
      </c>
    </row>
    <row r="28" spans="1:9" ht="18" hidden="1" x14ac:dyDescent="0.35">
      <c r="A28" s="1" t="s">
        <v>15</v>
      </c>
      <c r="B28" s="1" t="s">
        <v>16</v>
      </c>
      <c r="C28" s="1" t="s">
        <v>11</v>
      </c>
      <c r="D28" s="1" t="s">
        <v>17</v>
      </c>
      <c r="E28" s="5">
        <v>70649.460000000006</v>
      </c>
      <c r="F28" s="6">
        <v>43843</v>
      </c>
      <c r="G28" s="7">
        <v>1</v>
      </c>
      <c r="H28" s="1" t="s">
        <v>13</v>
      </c>
      <c r="I28" s="1" t="s">
        <v>18</v>
      </c>
    </row>
    <row r="29" spans="1:9" ht="18" hidden="1" x14ac:dyDescent="0.35">
      <c r="A29" s="1" t="s">
        <v>65</v>
      </c>
      <c r="B29" s="1" t="s">
        <v>66</v>
      </c>
      <c r="C29" s="1" t="s">
        <v>11</v>
      </c>
      <c r="D29" s="1" t="s">
        <v>67</v>
      </c>
      <c r="E29" s="5">
        <v>72502.61</v>
      </c>
      <c r="F29" s="6">
        <v>44235</v>
      </c>
      <c r="G29" s="7">
        <v>1</v>
      </c>
      <c r="H29" s="1" t="s">
        <v>13</v>
      </c>
      <c r="I29" s="1" t="s">
        <v>14</v>
      </c>
    </row>
    <row r="30" spans="1:9" ht="18" hidden="1" x14ac:dyDescent="0.35">
      <c r="A30" s="1" t="s">
        <v>112</v>
      </c>
      <c r="B30" s="1" t="s">
        <v>113</v>
      </c>
      <c r="C30" s="1" t="s">
        <v>24</v>
      </c>
      <c r="D30" s="1" t="s">
        <v>44</v>
      </c>
      <c r="E30" s="5">
        <v>72876.91</v>
      </c>
      <c r="F30" s="6">
        <v>43837</v>
      </c>
      <c r="G30" s="7">
        <v>1</v>
      </c>
      <c r="H30" s="1" t="s">
        <v>13</v>
      </c>
      <c r="I30" s="1" t="s">
        <v>26</v>
      </c>
    </row>
    <row r="31" spans="1:9" ht="18" hidden="1" x14ac:dyDescent="0.35">
      <c r="A31" s="1" t="s">
        <v>80</v>
      </c>
      <c r="B31" s="1" t="s">
        <v>81</v>
      </c>
      <c r="C31" s="1" t="s">
        <v>11</v>
      </c>
      <c r="D31" s="1" t="s">
        <v>82</v>
      </c>
      <c r="E31" s="5">
        <v>75974.990000000005</v>
      </c>
      <c r="F31" s="6">
        <v>44172</v>
      </c>
      <c r="G31" s="7">
        <v>1</v>
      </c>
      <c r="H31" s="1" t="s">
        <v>13</v>
      </c>
      <c r="I31" s="1" t="s">
        <v>26</v>
      </c>
    </row>
    <row r="32" spans="1:9" ht="18" hidden="1" x14ac:dyDescent="0.35">
      <c r="A32" s="1" t="s">
        <v>134</v>
      </c>
      <c r="B32" s="1" t="s">
        <v>135</v>
      </c>
      <c r="C32" s="1" t="s">
        <v>11</v>
      </c>
      <c r="D32" s="1" t="s">
        <v>89</v>
      </c>
      <c r="E32" s="5">
        <v>77045.440000000002</v>
      </c>
      <c r="F32" s="6">
        <v>43636</v>
      </c>
      <c r="G32" s="7">
        <v>1</v>
      </c>
      <c r="H32" s="1" t="s">
        <v>13</v>
      </c>
      <c r="I32" s="1" t="s">
        <v>26</v>
      </c>
    </row>
    <row r="33" spans="1:9" ht="18" hidden="1" x14ac:dyDescent="0.35">
      <c r="A33" s="1" t="s">
        <v>68</v>
      </c>
      <c r="B33" s="1" t="s">
        <v>69</v>
      </c>
      <c r="C33" s="1" t="s">
        <v>24</v>
      </c>
      <c r="D33" s="1" t="s">
        <v>62</v>
      </c>
      <c r="E33" s="5">
        <v>77096.05</v>
      </c>
      <c r="F33" s="6">
        <v>43217</v>
      </c>
      <c r="G33" s="7">
        <v>1</v>
      </c>
      <c r="H33" s="1" t="s">
        <v>13</v>
      </c>
      <c r="I33" s="1" t="s">
        <v>50</v>
      </c>
    </row>
    <row r="34" spans="1:9" ht="18" hidden="1" x14ac:dyDescent="0.35">
      <c r="A34" s="1" t="s">
        <v>94</v>
      </c>
      <c r="B34" s="1" t="s">
        <v>95</v>
      </c>
      <c r="C34" s="1" t="s">
        <v>11</v>
      </c>
      <c r="D34" s="1" t="s">
        <v>59</v>
      </c>
      <c r="E34" s="5">
        <v>78378.2</v>
      </c>
      <c r="F34" s="6">
        <v>43465</v>
      </c>
      <c r="G34" s="7">
        <v>0.4</v>
      </c>
      <c r="H34" s="1" t="s">
        <v>13</v>
      </c>
      <c r="I34" s="1" t="s">
        <v>26</v>
      </c>
    </row>
    <row r="35" spans="1:9" ht="18" hidden="1" x14ac:dyDescent="0.35">
      <c r="A35" s="1" t="s">
        <v>19</v>
      </c>
      <c r="B35" s="1" t="s">
        <v>20</v>
      </c>
      <c r="C35" s="1" t="s">
        <v>11</v>
      </c>
      <c r="D35" s="1" t="s">
        <v>17</v>
      </c>
      <c r="E35" s="5">
        <v>80695.740000000005</v>
      </c>
      <c r="F35" s="6">
        <v>43360</v>
      </c>
      <c r="G35" s="7">
        <v>1</v>
      </c>
      <c r="H35" s="1" t="s">
        <v>13</v>
      </c>
      <c r="I35" s="1" t="s">
        <v>21</v>
      </c>
    </row>
    <row r="36" spans="1:9" ht="18" hidden="1" x14ac:dyDescent="0.35">
      <c r="A36" s="1" t="s">
        <v>19</v>
      </c>
      <c r="B36" s="1" t="s">
        <v>20</v>
      </c>
      <c r="C36" s="1" t="s">
        <v>11</v>
      </c>
      <c r="D36" s="1" t="s">
        <v>17</v>
      </c>
      <c r="E36" s="5">
        <v>80695.740000000005</v>
      </c>
      <c r="F36" s="6">
        <v>43360</v>
      </c>
      <c r="G36" s="7">
        <v>1</v>
      </c>
      <c r="H36" s="1" t="s">
        <v>13</v>
      </c>
      <c r="I36" s="1" t="s">
        <v>21</v>
      </c>
    </row>
    <row r="37" spans="1:9" ht="18" hidden="1" x14ac:dyDescent="0.35">
      <c r="A37" s="1" t="s">
        <v>125</v>
      </c>
      <c r="B37" s="1" t="s">
        <v>20</v>
      </c>
      <c r="C37" s="1" t="s">
        <v>11</v>
      </c>
      <c r="D37" s="1" t="s">
        <v>17</v>
      </c>
      <c r="E37" s="5">
        <v>80695.740000000005</v>
      </c>
      <c r="F37" s="6">
        <v>43787</v>
      </c>
      <c r="G37" s="7">
        <v>0.8</v>
      </c>
      <c r="H37" s="1" t="s">
        <v>13</v>
      </c>
      <c r="I37" s="1" t="s">
        <v>21</v>
      </c>
    </row>
    <row r="38" spans="1:9" ht="18" hidden="1" x14ac:dyDescent="0.35">
      <c r="A38" s="1" t="s">
        <v>92</v>
      </c>
      <c r="B38" s="1" t="s">
        <v>93</v>
      </c>
      <c r="C38" s="1" t="s">
        <v>11</v>
      </c>
      <c r="D38" s="1" t="s">
        <v>62</v>
      </c>
      <c r="E38" s="5">
        <v>81897.789999999994</v>
      </c>
      <c r="F38" s="6">
        <v>43146</v>
      </c>
      <c r="G38" s="7">
        <v>1</v>
      </c>
      <c r="H38" s="1" t="s">
        <v>13</v>
      </c>
      <c r="I38" s="1" t="s">
        <v>56</v>
      </c>
    </row>
    <row r="39" spans="1:9" ht="18" hidden="1" x14ac:dyDescent="0.35">
      <c r="A39" s="1" t="s">
        <v>45</v>
      </c>
      <c r="B39" s="1" t="s">
        <v>46</v>
      </c>
      <c r="C39" s="1" t="s">
        <v>11</v>
      </c>
      <c r="D39" s="1" t="s">
        <v>47</v>
      </c>
      <c r="E39" s="5">
        <v>84309.95</v>
      </c>
      <c r="F39" s="6">
        <v>44501</v>
      </c>
      <c r="G39" s="7">
        <v>1</v>
      </c>
      <c r="H39" s="1" t="s">
        <v>13</v>
      </c>
      <c r="I39" s="1" t="s">
        <v>26</v>
      </c>
    </row>
    <row r="40" spans="1:9" ht="18" hidden="1" x14ac:dyDescent="0.35">
      <c r="A40" s="1" t="s">
        <v>60</v>
      </c>
      <c r="B40" s="1" t="s">
        <v>61</v>
      </c>
      <c r="C40" s="1" t="s">
        <v>24</v>
      </c>
      <c r="D40" s="1" t="s">
        <v>62</v>
      </c>
      <c r="E40" s="5">
        <v>84742.86</v>
      </c>
      <c r="F40" s="6">
        <v>44098</v>
      </c>
      <c r="G40" s="7">
        <v>1</v>
      </c>
      <c r="H40" s="1" t="s">
        <v>13</v>
      </c>
      <c r="I40" s="1" t="s">
        <v>56</v>
      </c>
    </row>
    <row r="41" spans="1:9" ht="18" hidden="1" x14ac:dyDescent="0.35">
      <c r="A41" s="1" t="s">
        <v>100</v>
      </c>
      <c r="B41" s="1" t="s">
        <v>101</v>
      </c>
      <c r="C41" s="1" t="s">
        <v>11</v>
      </c>
      <c r="D41" s="1" t="s">
        <v>12</v>
      </c>
      <c r="E41" s="5">
        <v>84745.93</v>
      </c>
      <c r="F41" s="6">
        <v>43707</v>
      </c>
      <c r="G41" s="7">
        <v>1</v>
      </c>
      <c r="H41" s="1" t="s">
        <v>13</v>
      </c>
      <c r="I41" s="1" t="s">
        <v>14</v>
      </c>
    </row>
    <row r="42" spans="1:9" ht="18" hidden="1" x14ac:dyDescent="0.35">
      <c r="A42" s="1" t="s">
        <v>63</v>
      </c>
      <c r="B42" s="1" t="s">
        <v>64</v>
      </c>
      <c r="C42" s="1" t="s">
        <v>24</v>
      </c>
      <c r="D42" s="1" t="s">
        <v>17</v>
      </c>
      <c r="E42" s="5">
        <v>85918.61</v>
      </c>
      <c r="F42" s="6">
        <v>43136</v>
      </c>
      <c r="G42" s="7">
        <v>1</v>
      </c>
      <c r="H42" s="1" t="s">
        <v>13</v>
      </c>
      <c r="I42" s="1" t="s">
        <v>21</v>
      </c>
    </row>
    <row r="43" spans="1:9" ht="18" hidden="1" x14ac:dyDescent="0.35">
      <c r="A43" s="1" t="s">
        <v>106</v>
      </c>
      <c r="B43" s="1" t="s">
        <v>107</v>
      </c>
      <c r="C43" s="1" t="s">
        <v>11</v>
      </c>
      <c r="D43" s="1" t="s">
        <v>62</v>
      </c>
      <c r="E43" s="5">
        <v>89690.38</v>
      </c>
      <c r="F43" s="6">
        <v>43206</v>
      </c>
      <c r="G43" s="7">
        <v>1</v>
      </c>
      <c r="H43" s="1" t="s">
        <v>13</v>
      </c>
      <c r="I43" s="1" t="s">
        <v>14</v>
      </c>
    </row>
    <row r="44" spans="1:9" ht="18" hidden="1" x14ac:dyDescent="0.35">
      <c r="A44" s="1" t="s">
        <v>54</v>
      </c>
      <c r="B44" s="1" t="s">
        <v>55</v>
      </c>
      <c r="C44" s="1" t="s">
        <v>24</v>
      </c>
      <c r="D44" s="1" t="s">
        <v>37</v>
      </c>
      <c r="E44" s="5">
        <v>91645.04</v>
      </c>
      <c r="F44" s="6">
        <v>44223</v>
      </c>
      <c r="G44" s="7">
        <v>1</v>
      </c>
      <c r="H44" s="1" t="s">
        <v>13</v>
      </c>
      <c r="I44" s="1" t="s">
        <v>56</v>
      </c>
    </row>
    <row r="45" spans="1:9" ht="18" hidden="1" x14ac:dyDescent="0.35">
      <c r="A45" s="1" t="s">
        <v>126</v>
      </c>
      <c r="B45" s="1" t="s">
        <v>127</v>
      </c>
      <c r="C45" s="1" t="s">
        <v>11</v>
      </c>
      <c r="D45" s="1" t="s">
        <v>47</v>
      </c>
      <c r="E45" s="5">
        <v>92336.08</v>
      </c>
      <c r="F45" s="6">
        <v>44431</v>
      </c>
      <c r="G45" s="7">
        <v>1</v>
      </c>
      <c r="H45" s="1" t="s">
        <v>13</v>
      </c>
      <c r="I45" s="1" t="s">
        <v>18</v>
      </c>
    </row>
    <row r="46" spans="1:9" ht="18" hidden="1" x14ac:dyDescent="0.35">
      <c r="A46" s="1" t="s">
        <v>83</v>
      </c>
      <c r="B46" s="1" t="s">
        <v>84</v>
      </c>
      <c r="C46" s="1" t="s">
        <v>24</v>
      </c>
      <c r="D46" s="1" t="s">
        <v>37</v>
      </c>
      <c r="E46" s="5">
        <v>95954.02</v>
      </c>
      <c r="F46" s="6">
        <v>43567</v>
      </c>
      <c r="G46" s="7">
        <v>0.3</v>
      </c>
      <c r="H46" s="1" t="s">
        <v>13</v>
      </c>
      <c r="I46" s="1" t="s">
        <v>18</v>
      </c>
    </row>
    <row r="47" spans="1:9" ht="18" hidden="1" x14ac:dyDescent="0.35">
      <c r="A47" s="1" t="s">
        <v>9</v>
      </c>
      <c r="B47" s="1" t="s">
        <v>10</v>
      </c>
      <c r="C47" s="1" t="s">
        <v>11</v>
      </c>
      <c r="D47" s="1" t="s">
        <v>12</v>
      </c>
      <c r="E47" s="5">
        <v>96135.75</v>
      </c>
      <c r="F47" s="6">
        <v>44025</v>
      </c>
      <c r="G47" s="7">
        <v>0.3</v>
      </c>
      <c r="H47" s="1" t="s">
        <v>13</v>
      </c>
      <c r="I47" s="1" t="s">
        <v>14</v>
      </c>
    </row>
    <row r="48" spans="1:9" ht="18" hidden="1" x14ac:dyDescent="0.35">
      <c r="A48" s="1" t="s">
        <v>57</v>
      </c>
      <c r="B48" s="1" t="s">
        <v>58</v>
      </c>
      <c r="C48" s="1" t="s">
        <v>11</v>
      </c>
      <c r="D48" s="1" t="s">
        <v>59</v>
      </c>
      <c r="E48" s="5">
        <v>97105.19</v>
      </c>
      <c r="F48" s="6">
        <v>44425</v>
      </c>
      <c r="G48" s="7">
        <v>1</v>
      </c>
      <c r="H48" s="1" t="s">
        <v>13</v>
      </c>
      <c r="I48" s="1" t="s">
        <v>21</v>
      </c>
    </row>
    <row r="49" spans="1:9" ht="18" x14ac:dyDescent="0.35">
      <c r="A49" s="1" t="s">
        <v>22</v>
      </c>
      <c r="B49" s="1" t="s">
        <v>23</v>
      </c>
      <c r="C49" s="1" t="s">
        <v>24</v>
      </c>
      <c r="D49" s="1" t="s">
        <v>25</v>
      </c>
      <c r="E49" s="5">
        <v>120000</v>
      </c>
      <c r="F49" s="6">
        <v>43416</v>
      </c>
      <c r="G49" s="7">
        <v>1</v>
      </c>
      <c r="H49" s="1" t="s">
        <v>13</v>
      </c>
      <c r="I49" s="1" t="s">
        <v>26</v>
      </c>
    </row>
    <row r="50" spans="1:9" ht="18" x14ac:dyDescent="0.35">
      <c r="A50" s="1" t="s">
        <v>119</v>
      </c>
      <c r="B50" s="1" t="s">
        <v>120</v>
      </c>
      <c r="C50" s="1" t="s">
        <v>24</v>
      </c>
      <c r="D50" s="1" t="s">
        <v>37</v>
      </c>
      <c r="E50" s="5">
        <v>119022.49</v>
      </c>
      <c r="F50" s="6">
        <v>44431</v>
      </c>
      <c r="G50" s="7">
        <v>1</v>
      </c>
      <c r="H50" s="1" t="s">
        <v>13</v>
      </c>
      <c r="I50" s="1" t="s">
        <v>56</v>
      </c>
    </row>
    <row r="51" spans="1:9" ht="18" x14ac:dyDescent="0.35">
      <c r="A51" s="1" t="s">
        <v>76</v>
      </c>
      <c r="B51" s="1" t="s">
        <v>77</v>
      </c>
      <c r="C51" s="1" t="s">
        <v>24</v>
      </c>
      <c r="D51" s="1" t="s">
        <v>67</v>
      </c>
      <c r="E51" s="5">
        <v>115191.38</v>
      </c>
      <c r="F51" s="6">
        <v>44004</v>
      </c>
      <c r="G51" s="7">
        <v>1</v>
      </c>
      <c r="H51" s="1" t="s">
        <v>13</v>
      </c>
      <c r="I51" s="1" t="s">
        <v>18</v>
      </c>
    </row>
    <row r="52" spans="1:9" ht="18" x14ac:dyDescent="0.35">
      <c r="A52" s="1" t="s">
        <v>35</v>
      </c>
      <c r="B52" s="1" t="s">
        <v>36</v>
      </c>
      <c r="C52" s="1" t="s">
        <v>11</v>
      </c>
      <c r="D52" s="1" t="s">
        <v>37</v>
      </c>
      <c r="E52" s="5">
        <v>114177.23</v>
      </c>
      <c r="F52" s="6">
        <v>43908</v>
      </c>
      <c r="G52" s="7">
        <v>1</v>
      </c>
      <c r="H52" s="1" t="s">
        <v>13</v>
      </c>
      <c r="I52" s="1" t="s">
        <v>14</v>
      </c>
    </row>
    <row r="53" spans="1:9" ht="18" x14ac:dyDescent="0.35">
      <c r="A53" s="1" t="s">
        <v>51</v>
      </c>
      <c r="B53" s="1" t="s">
        <v>52</v>
      </c>
      <c r="C53" s="1" t="s">
        <v>24</v>
      </c>
      <c r="D53" s="1" t="s">
        <v>25</v>
      </c>
      <c r="E53" s="5">
        <v>112645.99</v>
      </c>
      <c r="F53" s="6">
        <v>43759</v>
      </c>
      <c r="G53" s="7">
        <v>0.6</v>
      </c>
      <c r="H53" s="1" t="s">
        <v>13</v>
      </c>
      <c r="I53" s="1" t="s">
        <v>53</v>
      </c>
    </row>
    <row r="54" spans="1:9" ht="18" hidden="1" x14ac:dyDescent="0.35">
      <c r="A54" s="1" t="s">
        <v>130</v>
      </c>
      <c r="B54" s="1" t="s">
        <v>131</v>
      </c>
      <c r="C54" s="1"/>
      <c r="D54" s="1" t="s">
        <v>82</v>
      </c>
      <c r="E54" s="5">
        <v>104802.63</v>
      </c>
      <c r="F54" s="6">
        <v>44502</v>
      </c>
      <c r="G54" s="7">
        <v>1</v>
      </c>
      <c r="H54" s="1" t="s">
        <v>13</v>
      </c>
      <c r="I54" s="1" t="s">
        <v>18</v>
      </c>
    </row>
    <row r="55" spans="1:9" ht="18" x14ac:dyDescent="0.35">
      <c r="A55" s="1" t="s">
        <v>136</v>
      </c>
      <c r="B55" s="1" t="s">
        <v>137</v>
      </c>
      <c r="C55" s="1" t="s">
        <v>24</v>
      </c>
      <c r="D55" s="1" t="s">
        <v>17</v>
      </c>
      <c r="E55" s="5">
        <v>110042.37</v>
      </c>
      <c r="F55" s="6">
        <v>43914</v>
      </c>
      <c r="G55" s="7">
        <v>1</v>
      </c>
      <c r="H55" s="1" t="s">
        <v>13</v>
      </c>
      <c r="I55" s="1" t="s">
        <v>21</v>
      </c>
    </row>
    <row r="56" spans="1:9" ht="18" x14ac:dyDescent="0.35">
      <c r="A56" s="1" t="s">
        <v>90</v>
      </c>
      <c r="B56" s="1" t="s">
        <v>91</v>
      </c>
      <c r="C56" s="1" t="s">
        <v>24</v>
      </c>
      <c r="D56" s="1" t="s">
        <v>67</v>
      </c>
      <c r="E56" s="5">
        <v>104335.03999999999</v>
      </c>
      <c r="F56" s="6">
        <v>43874</v>
      </c>
      <c r="G56" s="7">
        <v>1</v>
      </c>
      <c r="H56" s="1" t="s">
        <v>13</v>
      </c>
      <c r="I56" s="1" t="s">
        <v>21</v>
      </c>
    </row>
    <row r="57" spans="1:9" ht="18" x14ac:dyDescent="0.35">
      <c r="A57" s="1" t="s">
        <v>85</v>
      </c>
      <c r="B57" s="1" t="s">
        <v>86</v>
      </c>
      <c r="C57" s="1" t="s">
        <v>11</v>
      </c>
      <c r="D57" s="1" t="s">
        <v>12</v>
      </c>
      <c r="E57" s="5">
        <v>102934.09</v>
      </c>
      <c r="F57" s="6">
        <v>44315</v>
      </c>
      <c r="G57" s="7">
        <v>1</v>
      </c>
      <c r="H57" s="1" t="s">
        <v>13</v>
      </c>
      <c r="I57" s="1" t="s">
        <v>18</v>
      </c>
    </row>
    <row r="58" spans="1:9" ht="18" x14ac:dyDescent="0.35">
      <c r="A58" s="1" t="s">
        <v>132</v>
      </c>
      <c r="B58" s="1" t="s">
        <v>133</v>
      </c>
      <c r="C58" s="1" t="s">
        <v>11</v>
      </c>
      <c r="D58" s="1" t="s">
        <v>17</v>
      </c>
      <c r="E58" s="5">
        <v>98000</v>
      </c>
      <c r="F58" s="6">
        <v>43710</v>
      </c>
      <c r="G58" s="7">
        <v>0.9</v>
      </c>
      <c r="H58" s="1" t="s">
        <v>13</v>
      </c>
      <c r="I58" s="1" t="s">
        <v>53</v>
      </c>
    </row>
  </sheetData>
  <autoFilter ref="A1:I58" xr:uid="{0BDB9B09-EAC4-4C77-9BA2-6ECC72D22BBA}">
    <filterColumn colId="2">
      <customFilters>
        <customFilter operator="notEqual" val=" "/>
      </customFilters>
    </filterColumn>
    <filterColumn colId="4">
      <top10 val="10" filterVal="98000"/>
    </filterColumn>
    <sortState xmlns:xlrd2="http://schemas.microsoft.com/office/spreadsheetml/2017/richdata2" ref="A49:I58">
      <sortCondition descending="1" ref="E1:E58"/>
    </sortState>
  </autoFilter>
  <conditionalFormatting sqref="A2:A1048576">
    <cfRule type="duplicateValues" dxfId="2"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7B96B-FA9A-4796-A10F-1B4ABA4E8515}">
  <dimension ref="A1:G94"/>
  <sheetViews>
    <sheetView workbookViewId="0">
      <selection sqref="A1:G94"/>
    </sheetView>
  </sheetViews>
  <sheetFormatPr defaultRowHeight="14.4" x14ac:dyDescent="0.3"/>
  <cols>
    <col min="1" max="1" width="15.21875" bestFit="1" customWidth="1"/>
    <col min="2" max="2" width="17.21875" bestFit="1" customWidth="1"/>
    <col min="3" max="3" width="7.21875" bestFit="1" customWidth="1"/>
    <col min="4" max="4" width="8" bestFit="1" customWidth="1"/>
    <col min="6" max="6" width="7.33203125" bestFit="1" customWidth="1"/>
    <col min="7" max="7" width="12" style="8" bestFit="1" customWidth="1"/>
  </cols>
  <sheetData>
    <row r="1" spans="1:7" x14ac:dyDescent="0.3">
      <c r="A1" t="s">
        <v>140</v>
      </c>
      <c r="B1" t="s">
        <v>141</v>
      </c>
      <c r="C1" t="s">
        <v>142</v>
      </c>
      <c r="D1" t="s">
        <v>143</v>
      </c>
      <c r="E1" t="s">
        <v>144</v>
      </c>
      <c r="F1" t="s">
        <v>145</v>
      </c>
      <c r="G1" s="8" t="s">
        <v>146</v>
      </c>
    </row>
    <row r="2" spans="1:7" x14ac:dyDescent="0.3">
      <c r="A2" t="s">
        <v>147</v>
      </c>
      <c r="B2" t="s">
        <v>148</v>
      </c>
      <c r="C2">
        <v>39</v>
      </c>
      <c r="D2">
        <v>41</v>
      </c>
      <c r="E2">
        <v>33</v>
      </c>
      <c r="F2">
        <v>113</v>
      </c>
      <c r="G2" s="8">
        <v>0.34513274336283201</v>
      </c>
    </row>
    <row r="3" spans="1:7" x14ac:dyDescent="0.3">
      <c r="A3" t="s">
        <v>149</v>
      </c>
      <c r="B3" t="s">
        <v>150</v>
      </c>
      <c r="C3">
        <v>38</v>
      </c>
      <c r="D3">
        <v>32</v>
      </c>
      <c r="E3">
        <v>19</v>
      </c>
      <c r="F3">
        <v>89</v>
      </c>
      <c r="G3" s="8">
        <v>0.426966292134831</v>
      </c>
    </row>
    <row r="4" spans="1:7" x14ac:dyDescent="0.3">
      <c r="A4" t="s">
        <v>151</v>
      </c>
      <c r="B4" t="s">
        <v>152</v>
      </c>
      <c r="C4">
        <v>27</v>
      </c>
      <c r="D4">
        <v>14</v>
      </c>
      <c r="E4">
        <v>17</v>
      </c>
      <c r="F4">
        <v>58</v>
      </c>
      <c r="G4" s="8">
        <v>0.46551724137931</v>
      </c>
    </row>
    <row r="5" spans="1:7" x14ac:dyDescent="0.3">
      <c r="A5" t="s">
        <v>153</v>
      </c>
      <c r="B5" t="s">
        <v>154</v>
      </c>
      <c r="C5">
        <v>22</v>
      </c>
      <c r="D5">
        <v>20</v>
      </c>
      <c r="E5">
        <v>22</v>
      </c>
      <c r="F5">
        <v>64</v>
      </c>
      <c r="G5" s="8">
        <v>0.34375</v>
      </c>
    </row>
    <row r="6" spans="1:7" x14ac:dyDescent="0.3">
      <c r="A6" t="s">
        <v>155</v>
      </c>
      <c r="B6" t="s">
        <v>156</v>
      </c>
      <c r="C6">
        <v>20</v>
      </c>
      <c r="D6">
        <v>28</v>
      </c>
      <c r="E6">
        <v>23</v>
      </c>
      <c r="F6">
        <v>71</v>
      </c>
      <c r="G6" s="8">
        <v>0.28169014084506999</v>
      </c>
    </row>
    <row r="7" spans="1:7" x14ac:dyDescent="0.3">
      <c r="A7" t="s">
        <v>157</v>
      </c>
      <c r="B7" t="s">
        <v>158</v>
      </c>
      <c r="C7">
        <v>17</v>
      </c>
      <c r="D7">
        <v>7</v>
      </c>
      <c r="E7">
        <v>22</v>
      </c>
      <c r="F7">
        <v>46</v>
      </c>
      <c r="G7" s="8">
        <v>0.36956521739130399</v>
      </c>
    </row>
    <row r="8" spans="1:7" x14ac:dyDescent="0.3">
      <c r="A8" t="s">
        <v>159</v>
      </c>
      <c r="B8" t="s">
        <v>160</v>
      </c>
      <c r="C8">
        <v>10</v>
      </c>
      <c r="D8">
        <v>12</v>
      </c>
      <c r="E8">
        <v>14</v>
      </c>
      <c r="F8">
        <v>36</v>
      </c>
      <c r="G8" s="8">
        <v>0.27777777777777801</v>
      </c>
    </row>
    <row r="9" spans="1:7" x14ac:dyDescent="0.3">
      <c r="A9" t="s">
        <v>161</v>
      </c>
      <c r="B9" t="s">
        <v>162</v>
      </c>
      <c r="C9">
        <v>10</v>
      </c>
      <c r="D9">
        <v>12</v>
      </c>
      <c r="E9">
        <v>11</v>
      </c>
      <c r="F9">
        <v>33</v>
      </c>
      <c r="G9" s="8">
        <v>0.30303030303030298</v>
      </c>
    </row>
    <row r="10" spans="1:7" x14ac:dyDescent="0.3">
      <c r="A10" t="s">
        <v>163</v>
      </c>
      <c r="B10" t="s">
        <v>164</v>
      </c>
      <c r="C10">
        <v>10</v>
      </c>
      <c r="D10">
        <v>11</v>
      </c>
      <c r="E10">
        <v>16</v>
      </c>
      <c r="F10">
        <v>37</v>
      </c>
      <c r="G10" s="8">
        <v>0.27027027027027001</v>
      </c>
    </row>
    <row r="11" spans="1:7" x14ac:dyDescent="0.3">
      <c r="A11" t="s">
        <v>165</v>
      </c>
      <c r="B11" t="s">
        <v>166</v>
      </c>
      <c r="C11">
        <v>10</v>
      </c>
      <c r="D11">
        <v>10</v>
      </c>
      <c r="E11">
        <v>20</v>
      </c>
      <c r="F11">
        <v>40</v>
      </c>
      <c r="G11" s="8">
        <v>0.25</v>
      </c>
    </row>
    <row r="12" spans="1:7" x14ac:dyDescent="0.3">
      <c r="A12" t="s">
        <v>167</v>
      </c>
      <c r="B12" t="s">
        <v>168</v>
      </c>
      <c r="C12">
        <v>7</v>
      </c>
      <c r="D12">
        <v>7</v>
      </c>
      <c r="E12">
        <v>10</v>
      </c>
      <c r="F12">
        <v>24</v>
      </c>
      <c r="G12" s="8">
        <v>0.29166666666666702</v>
      </c>
    </row>
    <row r="13" spans="1:7" x14ac:dyDescent="0.3">
      <c r="A13" t="s">
        <v>169</v>
      </c>
      <c r="B13" t="s">
        <v>170</v>
      </c>
      <c r="C13">
        <v>7</v>
      </c>
      <c r="D13">
        <v>6</v>
      </c>
      <c r="E13">
        <v>8</v>
      </c>
      <c r="F13">
        <v>21</v>
      </c>
      <c r="G13" s="8">
        <v>0.33333333333333298</v>
      </c>
    </row>
    <row r="14" spans="1:7" x14ac:dyDescent="0.3">
      <c r="A14" t="s">
        <v>171</v>
      </c>
      <c r="B14" t="s">
        <v>172</v>
      </c>
      <c r="C14">
        <v>7</v>
      </c>
      <c r="D14">
        <v>6</v>
      </c>
      <c r="E14">
        <v>7</v>
      </c>
      <c r="F14">
        <v>20</v>
      </c>
      <c r="G14" s="8">
        <v>0.35</v>
      </c>
    </row>
    <row r="15" spans="1:7" x14ac:dyDescent="0.3">
      <c r="A15" t="s">
        <v>173</v>
      </c>
      <c r="B15" t="s">
        <v>174</v>
      </c>
      <c r="C15">
        <v>7</v>
      </c>
      <c r="D15">
        <v>3</v>
      </c>
      <c r="E15">
        <v>5</v>
      </c>
      <c r="F15">
        <v>15</v>
      </c>
      <c r="G15" s="8">
        <v>0.46666666666666701</v>
      </c>
    </row>
    <row r="16" spans="1:7" x14ac:dyDescent="0.3">
      <c r="A16" t="s">
        <v>175</v>
      </c>
      <c r="B16" t="s">
        <v>176</v>
      </c>
      <c r="C16">
        <v>6</v>
      </c>
      <c r="D16">
        <v>7</v>
      </c>
      <c r="E16">
        <v>7</v>
      </c>
      <c r="F16">
        <v>20</v>
      </c>
      <c r="G16" s="8">
        <v>0.3</v>
      </c>
    </row>
    <row r="17" spans="1:7" x14ac:dyDescent="0.3">
      <c r="A17" t="s">
        <v>177</v>
      </c>
      <c r="B17" t="s">
        <v>178</v>
      </c>
      <c r="C17">
        <v>6</v>
      </c>
      <c r="D17">
        <v>4</v>
      </c>
      <c r="E17">
        <v>10</v>
      </c>
      <c r="F17">
        <v>20</v>
      </c>
      <c r="G17" s="8">
        <v>0.3</v>
      </c>
    </row>
    <row r="18" spans="1:7" x14ac:dyDescent="0.3">
      <c r="A18" t="s">
        <v>179</v>
      </c>
      <c r="B18" t="s">
        <v>180</v>
      </c>
      <c r="C18">
        <v>4</v>
      </c>
      <c r="D18">
        <v>5</v>
      </c>
      <c r="E18">
        <v>5</v>
      </c>
      <c r="F18">
        <v>14</v>
      </c>
      <c r="G18" s="8">
        <v>0.28571428571428598</v>
      </c>
    </row>
    <row r="19" spans="1:7" x14ac:dyDescent="0.3">
      <c r="A19" t="s">
        <v>181</v>
      </c>
      <c r="B19" t="s">
        <v>182</v>
      </c>
      <c r="C19">
        <v>4</v>
      </c>
      <c r="D19">
        <v>4</v>
      </c>
      <c r="E19">
        <v>3</v>
      </c>
      <c r="F19">
        <v>11</v>
      </c>
      <c r="G19" s="8">
        <v>0.36363636363636398</v>
      </c>
    </row>
    <row r="20" spans="1:7" x14ac:dyDescent="0.3">
      <c r="A20" t="s">
        <v>183</v>
      </c>
      <c r="B20" t="s">
        <v>184</v>
      </c>
      <c r="C20">
        <v>4</v>
      </c>
      <c r="D20">
        <v>4</v>
      </c>
      <c r="E20">
        <v>2</v>
      </c>
      <c r="F20">
        <v>10</v>
      </c>
      <c r="G20" s="8">
        <v>0.4</v>
      </c>
    </row>
    <row r="21" spans="1:7" x14ac:dyDescent="0.3">
      <c r="A21" t="s">
        <v>185</v>
      </c>
      <c r="B21" t="s">
        <v>186</v>
      </c>
      <c r="C21">
        <v>4</v>
      </c>
      <c r="D21">
        <v>2</v>
      </c>
      <c r="E21">
        <v>2</v>
      </c>
      <c r="F21">
        <v>8</v>
      </c>
      <c r="G21" s="8">
        <v>0.5</v>
      </c>
    </row>
    <row r="22" spans="1:7" x14ac:dyDescent="0.3">
      <c r="A22" t="s">
        <v>187</v>
      </c>
      <c r="B22" t="s">
        <v>188</v>
      </c>
      <c r="C22">
        <v>4</v>
      </c>
      <c r="D22">
        <v>1</v>
      </c>
      <c r="E22">
        <v>4</v>
      </c>
      <c r="F22">
        <v>9</v>
      </c>
      <c r="G22" s="8">
        <v>0.44444444444444398</v>
      </c>
    </row>
    <row r="23" spans="1:7" x14ac:dyDescent="0.3">
      <c r="A23" t="s">
        <v>189</v>
      </c>
      <c r="B23" t="s">
        <v>190</v>
      </c>
      <c r="C23">
        <v>3</v>
      </c>
      <c r="D23">
        <v>8</v>
      </c>
      <c r="E23">
        <v>6</v>
      </c>
      <c r="F23">
        <v>17</v>
      </c>
      <c r="G23" s="8">
        <v>0.17647058823529399</v>
      </c>
    </row>
    <row r="24" spans="1:7" x14ac:dyDescent="0.3">
      <c r="A24" t="s">
        <v>191</v>
      </c>
      <c r="B24" t="s">
        <v>192</v>
      </c>
      <c r="C24">
        <v>3</v>
      </c>
      <c r="D24">
        <v>6</v>
      </c>
      <c r="E24">
        <v>0</v>
      </c>
      <c r="F24">
        <v>9</v>
      </c>
      <c r="G24" s="8">
        <v>0.33333333333333298</v>
      </c>
    </row>
    <row r="25" spans="1:7" x14ac:dyDescent="0.3">
      <c r="A25" t="s">
        <v>193</v>
      </c>
      <c r="B25" t="s">
        <v>194</v>
      </c>
      <c r="C25">
        <v>3</v>
      </c>
      <c r="D25">
        <v>4</v>
      </c>
      <c r="E25">
        <v>6</v>
      </c>
      <c r="F25">
        <v>13</v>
      </c>
      <c r="G25" s="8">
        <v>0.230769230769231</v>
      </c>
    </row>
    <row r="26" spans="1:7" x14ac:dyDescent="0.3">
      <c r="A26" t="s">
        <v>195</v>
      </c>
      <c r="B26" t="s">
        <v>196</v>
      </c>
      <c r="C26">
        <v>3</v>
      </c>
      <c r="D26">
        <v>4</v>
      </c>
      <c r="E26">
        <v>4</v>
      </c>
      <c r="F26">
        <v>11</v>
      </c>
      <c r="G26" s="8">
        <v>0.27272727272727298</v>
      </c>
    </row>
    <row r="27" spans="1:7" x14ac:dyDescent="0.3">
      <c r="A27" t="s">
        <v>197</v>
      </c>
      <c r="B27" t="s">
        <v>198</v>
      </c>
      <c r="C27">
        <v>3</v>
      </c>
      <c r="D27">
        <v>3</v>
      </c>
      <c r="E27">
        <v>3</v>
      </c>
      <c r="F27">
        <v>9</v>
      </c>
      <c r="G27" s="8">
        <v>0.33333333333333298</v>
      </c>
    </row>
    <row r="28" spans="1:7" x14ac:dyDescent="0.3">
      <c r="A28" t="s">
        <v>199</v>
      </c>
      <c r="B28" t="s">
        <v>200</v>
      </c>
      <c r="C28">
        <v>3</v>
      </c>
      <c r="D28">
        <v>2</v>
      </c>
      <c r="E28">
        <v>2</v>
      </c>
      <c r="F28">
        <v>7</v>
      </c>
      <c r="G28" s="8">
        <v>0.42857142857142899</v>
      </c>
    </row>
    <row r="29" spans="1:7" x14ac:dyDescent="0.3">
      <c r="A29" t="s">
        <v>201</v>
      </c>
      <c r="B29" t="s">
        <v>202</v>
      </c>
      <c r="C29">
        <v>3</v>
      </c>
      <c r="D29">
        <v>1</v>
      </c>
      <c r="E29">
        <v>4</v>
      </c>
      <c r="F29">
        <v>8</v>
      </c>
      <c r="G29" s="8">
        <v>0.375</v>
      </c>
    </row>
    <row r="30" spans="1:7" x14ac:dyDescent="0.3">
      <c r="A30" t="s">
        <v>203</v>
      </c>
      <c r="B30" t="s">
        <v>204</v>
      </c>
      <c r="C30">
        <v>3</v>
      </c>
      <c r="D30">
        <v>1</v>
      </c>
      <c r="E30">
        <v>3</v>
      </c>
      <c r="F30">
        <v>7</v>
      </c>
      <c r="G30" s="8">
        <v>0.42857142857142899</v>
      </c>
    </row>
    <row r="31" spans="1:7" x14ac:dyDescent="0.3">
      <c r="A31" t="s">
        <v>205</v>
      </c>
      <c r="B31" t="s">
        <v>206</v>
      </c>
      <c r="C31">
        <v>3</v>
      </c>
      <c r="D31">
        <v>1</v>
      </c>
      <c r="E31">
        <v>2</v>
      </c>
      <c r="F31">
        <v>6</v>
      </c>
      <c r="G31" s="8">
        <v>0.5</v>
      </c>
    </row>
    <row r="32" spans="1:7" x14ac:dyDescent="0.3">
      <c r="A32" t="s">
        <v>207</v>
      </c>
      <c r="B32" t="s">
        <v>208</v>
      </c>
      <c r="C32">
        <v>3</v>
      </c>
      <c r="D32">
        <v>1</v>
      </c>
      <c r="E32">
        <v>1</v>
      </c>
      <c r="F32">
        <v>5</v>
      </c>
      <c r="G32" s="8">
        <v>0.6</v>
      </c>
    </row>
    <row r="33" spans="1:7" x14ac:dyDescent="0.3">
      <c r="A33" t="s">
        <v>209</v>
      </c>
      <c r="B33" t="s">
        <v>210</v>
      </c>
      <c r="C33">
        <v>3</v>
      </c>
      <c r="D33">
        <v>0</v>
      </c>
      <c r="E33">
        <v>2</v>
      </c>
      <c r="F33">
        <v>5</v>
      </c>
      <c r="G33" s="8">
        <v>0.6</v>
      </c>
    </row>
    <row r="34" spans="1:7" x14ac:dyDescent="0.3">
      <c r="A34" t="s">
        <v>211</v>
      </c>
      <c r="B34" t="s">
        <v>212</v>
      </c>
      <c r="C34">
        <v>2</v>
      </c>
      <c r="D34">
        <v>5</v>
      </c>
      <c r="E34">
        <v>1</v>
      </c>
      <c r="F34">
        <v>8</v>
      </c>
      <c r="G34" s="8">
        <v>0.25</v>
      </c>
    </row>
    <row r="35" spans="1:7" x14ac:dyDescent="0.3">
      <c r="A35" t="s">
        <v>213</v>
      </c>
      <c r="B35" t="s">
        <v>214</v>
      </c>
      <c r="C35">
        <v>2</v>
      </c>
      <c r="D35">
        <v>4</v>
      </c>
      <c r="E35">
        <v>6</v>
      </c>
      <c r="F35">
        <v>12</v>
      </c>
      <c r="G35" s="8">
        <v>0.16666666666666699</v>
      </c>
    </row>
    <row r="36" spans="1:7" x14ac:dyDescent="0.3">
      <c r="A36" t="s">
        <v>215</v>
      </c>
      <c r="B36" t="s">
        <v>216</v>
      </c>
      <c r="C36">
        <v>2</v>
      </c>
      <c r="D36">
        <v>2</v>
      </c>
      <c r="E36">
        <v>9</v>
      </c>
      <c r="F36">
        <v>13</v>
      </c>
      <c r="G36" s="8">
        <v>0.15384615384615399</v>
      </c>
    </row>
    <row r="37" spans="1:7" x14ac:dyDescent="0.3">
      <c r="A37" t="s">
        <v>217</v>
      </c>
      <c r="B37" t="s">
        <v>218</v>
      </c>
      <c r="C37">
        <v>2</v>
      </c>
      <c r="D37">
        <v>1</v>
      </c>
      <c r="E37">
        <v>1</v>
      </c>
      <c r="F37">
        <v>4</v>
      </c>
      <c r="G37" s="8">
        <v>0.5</v>
      </c>
    </row>
    <row r="38" spans="1:7" x14ac:dyDescent="0.3">
      <c r="A38" t="s">
        <v>217</v>
      </c>
      <c r="B38" t="s">
        <v>219</v>
      </c>
      <c r="C38">
        <v>2</v>
      </c>
      <c r="D38">
        <v>1</v>
      </c>
      <c r="E38">
        <v>1</v>
      </c>
      <c r="F38">
        <v>4</v>
      </c>
      <c r="G38" s="8">
        <v>0.5</v>
      </c>
    </row>
    <row r="39" spans="1:7" x14ac:dyDescent="0.3">
      <c r="A39" t="s">
        <v>220</v>
      </c>
      <c r="B39" t="s">
        <v>221</v>
      </c>
      <c r="C39">
        <v>2</v>
      </c>
      <c r="D39">
        <v>1</v>
      </c>
      <c r="E39">
        <v>0</v>
      </c>
      <c r="F39">
        <v>3</v>
      </c>
      <c r="G39" s="8">
        <v>0.66666666666666696</v>
      </c>
    </row>
    <row r="40" spans="1:7" x14ac:dyDescent="0.3">
      <c r="A40" t="s">
        <v>222</v>
      </c>
      <c r="B40" t="s">
        <v>223</v>
      </c>
      <c r="C40">
        <v>2</v>
      </c>
      <c r="D40">
        <v>0</v>
      </c>
      <c r="E40">
        <v>2</v>
      </c>
      <c r="F40">
        <v>4</v>
      </c>
      <c r="G40" s="8">
        <v>0.5</v>
      </c>
    </row>
    <row r="41" spans="1:7" x14ac:dyDescent="0.3">
      <c r="A41" t="s">
        <v>222</v>
      </c>
      <c r="B41" t="s">
        <v>224</v>
      </c>
      <c r="C41">
        <v>2</v>
      </c>
      <c r="D41">
        <v>0</v>
      </c>
      <c r="E41">
        <v>2</v>
      </c>
      <c r="F41">
        <v>4</v>
      </c>
      <c r="G41" s="8">
        <v>0.5</v>
      </c>
    </row>
    <row r="42" spans="1:7" x14ac:dyDescent="0.3">
      <c r="A42" t="s">
        <v>225</v>
      </c>
      <c r="B42" t="s">
        <v>226</v>
      </c>
      <c r="C42">
        <v>2</v>
      </c>
      <c r="D42">
        <v>0</v>
      </c>
      <c r="E42">
        <v>1</v>
      </c>
      <c r="F42">
        <v>3</v>
      </c>
      <c r="G42" s="8">
        <v>0.66666666666666696</v>
      </c>
    </row>
    <row r="43" spans="1:7" x14ac:dyDescent="0.3">
      <c r="A43" t="s">
        <v>227</v>
      </c>
      <c r="B43" t="s">
        <v>228</v>
      </c>
      <c r="C43">
        <v>2</v>
      </c>
      <c r="D43">
        <v>0</v>
      </c>
      <c r="E43">
        <v>0</v>
      </c>
      <c r="F43">
        <v>2</v>
      </c>
      <c r="G43" s="8">
        <v>1</v>
      </c>
    </row>
    <row r="44" spans="1:7" x14ac:dyDescent="0.3">
      <c r="A44" t="s">
        <v>227</v>
      </c>
      <c r="B44" t="s">
        <v>229</v>
      </c>
      <c r="C44">
        <v>2</v>
      </c>
      <c r="D44">
        <v>0</v>
      </c>
      <c r="E44">
        <v>0</v>
      </c>
      <c r="F44">
        <v>2</v>
      </c>
      <c r="G44" s="8">
        <v>1</v>
      </c>
    </row>
    <row r="45" spans="1:7" x14ac:dyDescent="0.3">
      <c r="A45" t="s">
        <v>230</v>
      </c>
      <c r="B45" t="s">
        <v>231</v>
      </c>
      <c r="C45">
        <v>1</v>
      </c>
      <c r="D45">
        <v>6</v>
      </c>
      <c r="E45">
        <v>12</v>
      </c>
      <c r="F45">
        <v>19</v>
      </c>
      <c r="G45" s="8">
        <v>5.2631578947368397E-2</v>
      </c>
    </row>
    <row r="46" spans="1:7" x14ac:dyDescent="0.3">
      <c r="A46" t="s">
        <v>232</v>
      </c>
      <c r="B46" t="s">
        <v>233</v>
      </c>
      <c r="C46">
        <v>1</v>
      </c>
      <c r="D46">
        <v>3</v>
      </c>
      <c r="E46">
        <v>3</v>
      </c>
      <c r="F46">
        <v>7</v>
      </c>
      <c r="G46" s="8">
        <v>0.14285714285714299</v>
      </c>
    </row>
    <row r="47" spans="1:7" x14ac:dyDescent="0.3">
      <c r="A47" t="s">
        <v>234</v>
      </c>
      <c r="B47" t="s">
        <v>235</v>
      </c>
      <c r="C47">
        <v>1</v>
      </c>
      <c r="D47">
        <v>3</v>
      </c>
      <c r="E47">
        <v>0</v>
      </c>
      <c r="F47">
        <v>4</v>
      </c>
      <c r="G47" s="8">
        <v>0.25</v>
      </c>
    </row>
    <row r="48" spans="1:7" x14ac:dyDescent="0.3">
      <c r="A48" t="s">
        <v>234</v>
      </c>
      <c r="B48" t="s">
        <v>236</v>
      </c>
      <c r="C48">
        <v>1</v>
      </c>
      <c r="D48">
        <v>3</v>
      </c>
      <c r="E48">
        <v>0</v>
      </c>
      <c r="F48">
        <v>4</v>
      </c>
      <c r="G48" s="8">
        <v>0.25</v>
      </c>
    </row>
    <row r="49" spans="1:7" x14ac:dyDescent="0.3">
      <c r="A49" t="s">
        <v>237</v>
      </c>
      <c r="B49" t="s">
        <v>238</v>
      </c>
      <c r="C49">
        <v>1</v>
      </c>
      <c r="D49">
        <v>2</v>
      </c>
      <c r="E49">
        <v>4</v>
      </c>
      <c r="F49">
        <v>7</v>
      </c>
      <c r="G49" s="8">
        <v>0.14285714285714299</v>
      </c>
    </row>
    <row r="50" spans="1:7" x14ac:dyDescent="0.3">
      <c r="A50" t="s">
        <v>239</v>
      </c>
      <c r="B50" t="s">
        <v>240</v>
      </c>
      <c r="C50">
        <v>1</v>
      </c>
      <c r="D50">
        <v>2</v>
      </c>
      <c r="E50">
        <v>3</v>
      </c>
      <c r="F50">
        <v>6</v>
      </c>
      <c r="G50" s="8">
        <v>0.16666666666666699</v>
      </c>
    </row>
    <row r="51" spans="1:7" x14ac:dyDescent="0.3">
      <c r="A51" t="s">
        <v>241</v>
      </c>
      <c r="B51" t="s">
        <v>242</v>
      </c>
      <c r="C51">
        <v>1</v>
      </c>
      <c r="D51">
        <v>2</v>
      </c>
      <c r="E51">
        <v>1</v>
      </c>
      <c r="F51">
        <v>4</v>
      </c>
      <c r="G51" s="8">
        <v>0.25</v>
      </c>
    </row>
    <row r="52" spans="1:7" x14ac:dyDescent="0.3">
      <c r="A52" t="s">
        <v>241</v>
      </c>
      <c r="B52" t="s">
        <v>243</v>
      </c>
      <c r="C52">
        <v>1</v>
      </c>
      <c r="D52">
        <v>2</v>
      </c>
      <c r="E52">
        <v>1</v>
      </c>
      <c r="F52">
        <v>4</v>
      </c>
      <c r="G52" s="8">
        <v>0.25</v>
      </c>
    </row>
    <row r="53" spans="1:7" x14ac:dyDescent="0.3">
      <c r="A53" t="s">
        <v>244</v>
      </c>
      <c r="B53" t="s">
        <v>245</v>
      </c>
      <c r="C53">
        <v>1</v>
      </c>
      <c r="D53">
        <v>2</v>
      </c>
      <c r="E53">
        <v>0</v>
      </c>
      <c r="F53">
        <v>3</v>
      </c>
      <c r="G53" s="8">
        <v>0.33333333333333298</v>
      </c>
    </row>
    <row r="54" spans="1:7" x14ac:dyDescent="0.3">
      <c r="A54" t="s">
        <v>246</v>
      </c>
      <c r="B54" t="s">
        <v>247</v>
      </c>
      <c r="C54">
        <v>1</v>
      </c>
      <c r="D54">
        <v>1</v>
      </c>
      <c r="E54">
        <v>5</v>
      </c>
      <c r="F54">
        <v>7</v>
      </c>
      <c r="G54" s="8">
        <v>0.14285714285714299</v>
      </c>
    </row>
    <row r="55" spans="1:7" x14ac:dyDescent="0.3">
      <c r="A55" t="s">
        <v>248</v>
      </c>
      <c r="B55" t="s">
        <v>249</v>
      </c>
      <c r="C55">
        <v>1</v>
      </c>
      <c r="D55">
        <v>1</v>
      </c>
      <c r="E55">
        <v>4</v>
      </c>
      <c r="F55">
        <v>6</v>
      </c>
      <c r="G55" s="8">
        <v>0.16666666666666699</v>
      </c>
    </row>
    <row r="56" spans="1:7" x14ac:dyDescent="0.3">
      <c r="A56" t="s">
        <v>250</v>
      </c>
      <c r="B56" t="s">
        <v>251</v>
      </c>
      <c r="C56">
        <v>1</v>
      </c>
      <c r="D56">
        <v>1</v>
      </c>
      <c r="E56">
        <v>3</v>
      </c>
      <c r="F56">
        <v>5</v>
      </c>
      <c r="G56" s="8">
        <v>0.2</v>
      </c>
    </row>
    <row r="57" spans="1:7" x14ac:dyDescent="0.3">
      <c r="A57" t="s">
        <v>252</v>
      </c>
      <c r="B57" t="s">
        <v>253</v>
      </c>
      <c r="C57">
        <v>1</v>
      </c>
      <c r="D57">
        <v>1</v>
      </c>
      <c r="E57">
        <v>2</v>
      </c>
      <c r="F57">
        <v>4</v>
      </c>
      <c r="G57" s="8">
        <v>0.25</v>
      </c>
    </row>
    <row r="58" spans="1:7" x14ac:dyDescent="0.3">
      <c r="A58" t="s">
        <v>252</v>
      </c>
      <c r="B58" t="s">
        <v>254</v>
      </c>
      <c r="C58">
        <v>1</v>
      </c>
      <c r="D58">
        <v>1</v>
      </c>
      <c r="E58">
        <v>2</v>
      </c>
      <c r="F58">
        <v>4</v>
      </c>
      <c r="G58" s="8">
        <v>0.25</v>
      </c>
    </row>
    <row r="59" spans="1:7" x14ac:dyDescent="0.3">
      <c r="A59" t="s">
        <v>255</v>
      </c>
      <c r="B59" t="s">
        <v>256</v>
      </c>
      <c r="C59">
        <v>1</v>
      </c>
      <c r="D59">
        <v>1</v>
      </c>
      <c r="E59">
        <v>0</v>
      </c>
      <c r="F59">
        <v>2</v>
      </c>
      <c r="G59" s="8">
        <v>0.5</v>
      </c>
    </row>
    <row r="60" spans="1:7" x14ac:dyDescent="0.3">
      <c r="A60" t="s">
        <v>257</v>
      </c>
      <c r="B60" t="s">
        <v>258</v>
      </c>
      <c r="C60">
        <v>1</v>
      </c>
      <c r="D60">
        <v>0</v>
      </c>
      <c r="E60">
        <v>1</v>
      </c>
      <c r="F60">
        <v>2</v>
      </c>
      <c r="G60" s="8">
        <v>0.5</v>
      </c>
    </row>
    <row r="61" spans="1:7" x14ac:dyDescent="0.3">
      <c r="A61" t="s">
        <v>257</v>
      </c>
      <c r="B61" t="s">
        <v>259</v>
      </c>
      <c r="C61">
        <v>1</v>
      </c>
      <c r="D61">
        <v>0</v>
      </c>
      <c r="E61">
        <v>1</v>
      </c>
      <c r="F61">
        <v>2</v>
      </c>
      <c r="G61" s="8">
        <v>0.5</v>
      </c>
    </row>
    <row r="62" spans="1:7" x14ac:dyDescent="0.3">
      <c r="A62" t="s">
        <v>257</v>
      </c>
      <c r="B62" t="s">
        <v>260</v>
      </c>
      <c r="C62">
        <v>1</v>
      </c>
      <c r="D62">
        <v>0</v>
      </c>
      <c r="E62">
        <v>1</v>
      </c>
      <c r="F62">
        <v>2</v>
      </c>
      <c r="G62" s="8">
        <v>0.5</v>
      </c>
    </row>
    <row r="63" spans="1:7" x14ac:dyDescent="0.3">
      <c r="A63" t="s">
        <v>257</v>
      </c>
      <c r="B63" t="s">
        <v>261</v>
      </c>
      <c r="C63">
        <v>1</v>
      </c>
      <c r="D63">
        <v>0</v>
      </c>
      <c r="E63">
        <v>1</v>
      </c>
      <c r="F63">
        <v>2</v>
      </c>
      <c r="G63" s="8">
        <v>0.5</v>
      </c>
    </row>
    <row r="64" spans="1:7" x14ac:dyDescent="0.3">
      <c r="A64" t="s">
        <v>262</v>
      </c>
      <c r="B64" t="s">
        <v>263</v>
      </c>
      <c r="C64">
        <v>1</v>
      </c>
      <c r="D64">
        <v>0</v>
      </c>
      <c r="E64">
        <v>0</v>
      </c>
      <c r="F64">
        <v>1</v>
      </c>
      <c r="G64" s="8">
        <v>1</v>
      </c>
    </row>
    <row r="65" spans="1:7" x14ac:dyDescent="0.3">
      <c r="A65" t="s">
        <v>262</v>
      </c>
      <c r="B65" t="s">
        <v>264</v>
      </c>
      <c r="C65">
        <v>1</v>
      </c>
      <c r="D65">
        <v>0</v>
      </c>
      <c r="E65">
        <v>0</v>
      </c>
      <c r="F65">
        <v>1</v>
      </c>
      <c r="G65" s="8">
        <v>1</v>
      </c>
    </row>
    <row r="66" spans="1:7" x14ac:dyDescent="0.3">
      <c r="A66" t="s">
        <v>262</v>
      </c>
      <c r="B66" t="s">
        <v>265</v>
      </c>
      <c r="C66">
        <v>1</v>
      </c>
      <c r="D66">
        <v>0</v>
      </c>
      <c r="E66">
        <v>0</v>
      </c>
      <c r="F66">
        <v>1</v>
      </c>
      <c r="G66" s="8">
        <v>1</v>
      </c>
    </row>
    <row r="67" spans="1:7" x14ac:dyDescent="0.3">
      <c r="A67" t="s">
        <v>266</v>
      </c>
      <c r="B67" t="s">
        <v>267</v>
      </c>
      <c r="C67">
        <v>0</v>
      </c>
      <c r="D67">
        <v>4</v>
      </c>
      <c r="E67">
        <v>1</v>
      </c>
      <c r="F67">
        <v>5</v>
      </c>
      <c r="G67" s="8">
        <v>0</v>
      </c>
    </row>
    <row r="68" spans="1:7" x14ac:dyDescent="0.3">
      <c r="A68" t="s">
        <v>268</v>
      </c>
      <c r="B68" t="s">
        <v>269</v>
      </c>
      <c r="C68">
        <v>0</v>
      </c>
      <c r="D68">
        <v>3</v>
      </c>
      <c r="E68">
        <v>4</v>
      </c>
      <c r="F68">
        <v>7</v>
      </c>
      <c r="G68" s="8">
        <v>0</v>
      </c>
    </row>
    <row r="69" spans="1:7" x14ac:dyDescent="0.3">
      <c r="A69" t="s">
        <v>270</v>
      </c>
      <c r="B69" t="s">
        <v>271</v>
      </c>
      <c r="C69">
        <v>0</v>
      </c>
      <c r="D69">
        <v>3</v>
      </c>
      <c r="E69">
        <v>2</v>
      </c>
      <c r="F69">
        <v>5</v>
      </c>
      <c r="G69" s="8">
        <v>0</v>
      </c>
    </row>
    <row r="70" spans="1:7" x14ac:dyDescent="0.3">
      <c r="A70" t="s">
        <v>272</v>
      </c>
      <c r="B70" t="s">
        <v>273</v>
      </c>
      <c r="C70">
        <v>0</v>
      </c>
      <c r="D70">
        <v>2</v>
      </c>
      <c r="E70">
        <v>2</v>
      </c>
      <c r="F70">
        <v>4</v>
      </c>
      <c r="G70" s="8">
        <v>0</v>
      </c>
    </row>
    <row r="71" spans="1:7" x14ac:dyDescent="0.3">
      <c r="A71" t="s">
        <v>274</v>
      </c>
      <c r="B71" t="s">
        <v>275</v>
      </c>
      <c r="C71">
        <v>0</v>
      </c>
      <c r="D71">
        <v>2</v>
      </c>
      <c r="E71">
        <v>1</v>
      </c>
      <c r="F71">
        <v>3</v>
      </c>
      <c r="G71" s="8">
        <v>0</v>
      </c>
    </row>
    <row r="72" spans="1:7" x14ac:dyDescent="0.3">
      <c r="A72" t="s">
        <v>276</v>
      </c>
      <c r="B72" t="s">
        <v>277</v>
      </c>
      <c r="C72">
        <v>0</v>
      </c>
      <c r="D72">
        <v>1</v>
      </c>
      <c r="E72">
        <v>3</v>
      </c>
      <c r="F72">
        <v>4</v>
      </c>
      <c r="G72" s="8">
        <v>0</v>
      </c>
    </row>
    <row r="73" spans="1:7" x14ac:dyDescent="0.3">
      <c r="A73" t="s">
        <v>278</v>
      </c>
      <c r="B73" t="s">
        <v>279</v>
      </c>
      <c r="C73">
        <v>0</v>
      </c>
      <c r="D73">
        <v>1</v>
      </c>
      <c r="E73">
        <v>2</v>
      </c>
      <c r="F73">
        <v>3</v>
      </c>
      <c r="G73" s="8">
        <v>0</v>
      </c>
    </row>
    <row r="74" spans="1:7" x14ac:dyDescent="0.3">
      <c r="A74" t="s">
        <v>278</v>
      </c>
      <c r="B74" t="s">
        <v>280</v>
      </c>
      <c r="C74">
        <v>0</v>
      </c>
      <c r="D74">
        <v>1</v>
      </c>
      <c r="E74">
        <v>2</v>
      </c>
      <c r="F74">
        <v>3</v>
      </c>
      <c r="G74" s="8">
        <v>0</v>
      </c>
    </row>
    <row r="75" spans="1:7" x14ac:dyDescent="0.3">
      <c r="A75" t="s">
        <v>281</v>
      </c>
      <c r="B75" t="s">
        <v>282</v>
      </c>
      <c r="C75">
        <v>0</v>
      </c>
      <c r="D75">
        <v>1</v>
      </c>
      <c r="E75">
        <v>1</v>
      </c>
      <c r="F75">
        <v>2</v>
      </c>
      <c r="G75" s="8">
        <v>0</v>
      </c>
    </row>
    <row r="76" spans="1:7" x14ac:dyDescent="0.3">
      <c r="A76" t="s">
        <v>281</v>
      </c>
      <c r="B76" t="s">
        <v>283</v>
      </c>
      <c r="C76">
        <v>0</v>
      </c>
      <c r="D76">
        <v>1</v>
      </c>
      <c r="E76">
        <v>1</v>
      </c>
      <c r="F76">
        <v>2</v>
      </c>
      <c r="G76" s="8">
        <v>0</v>
      </c>
    </row>
    <row r="77" spans="1:7" x14ac:dyDescent="0.3">
      <c r="A77" t="s">
        <v>281</v>
      </c>
      <c r="B77" t="s">
        <v>284</v>
      </c>
      <c r="C77">
        <v>0</v>
      </c>
      <c r="D77">
        <v>1</v>
      </c>
      <c r="E77">
        <v>1</v>
      </c>
      <c r="F77">
        <v>2</v>
      </c>
      <c r="G77" s="8">
        <v>0</v>
      </c>
    </row>
    <row r="78" spans="1:7" x14ac:dyDescent="0.3">
      <c r="A78" t="s">
        <v>285</v>
      </c>
      <c r="B78" t="s">
        <v>286</v>
      </c>
      <c r="C78">
        <v>0</v>
      </c>
      <c r="D78">
        <v>1</v>
      </c>
      <c r="E78">
        <v>0</v>
      </c>
      <c r="F78">
        <v>1</v>
      </c>
      <c r="G78" s="8">
        <v>0</v>
      </c>
    </row>
    <row r="79" spans="1:7" x14ac:dyDescent="0.3">
      <c r="A79" t="s">
        <v>285</v>
      </c>
      <c r="B79" t="s">
        <v>287</v>
      </c>
      <c r="C79">
        <v>0</v>
      </c>
      <c r="D79">
        <v>1</v>
      </c>
      <c r="E79">
        <v>0</v>
      </c>
      <c r="F79">
        <v>1</v>
      </c>
      <c r="G79" s="8">
        <v>0</v>
      </c>
    </row>
    <row r="80" spans="1:7" x14ac:dyDescent="0.3">
      <c r="A80" t="s">
        <v>285</v>
      </c>
      <c r="B80" t="s">
        <v>288</v>
      </c>
      <c r="C80">
        <v>0</v>
      </c>
      <c r="D80">
        <v>1</v>
      </c>
      <c r="E80">
        <v>0</v>
      </c>
      <c r="F80">
        <v>1</v>
      </c>
      <c r="G80" s="8">
        <v>0</v>
      </c>
    </row>
    <row r="81" spans="1:7" x14ac:dyDescent="0.3">
      <c r="A81" t="s">
        <v>285</v>
      </c>
      <c r="B81" t="s">
        <v>289</v>
      </c>
      <c r="C81">
        <v>0</v>
      </c>
      <c r="D81">
        <v>1</v>
      </c>
      <c r="E81">
        <v>0</v>
      </c>
      <c r="F81">
        <v>1</v>
      </c>
      <c r="G81" s="8">
        <v>0</v>
      </c>
    </row>
    <row r="82" spans="1:7" x14ac:dyDescent="0.3">
      <c r="A82" t="s">
        <v>285</v>
      </c>
      <c r="B82" t="s">
        <v>290</v>
      </c>
      <c r="C82">
        <v>0</v>
      </c>
      <c r="D82">
        <v>1</v>
      </c>
      <c r="E82">
        <v>0</v>
      </c>
      <c r="F82">
        <v>1</v>
      </c>
      <c r="G82" s="8">
        <v>0</v>
      </c>
    </row>
    <row r="83" spans="1:7" x14ac:dyDescent="0.3">
      <c r="A83" t="s">
        <v>285</v>
      </c>
      <c r="B83" t="s">
        <v>291</v>
      </c>
      <c r="C83">
        <v>0</v>
      </c>
      <c r="D83">
        <v>1</v>
      </c>
      <c r="E83">
        <v>0</v>
      </c>
      <c r="F83">
        <v>1</v>
      </c>
      <c r="G83" s="8">
        <v>0</v>
      </c>
    </row>
    <row r="84" spans="1:7" x14ac:dyDescent="0.3">
      <c r="A84" t="s">
        <v>292</v>
      </c>
      <c r="B84" t="s">
        <v>293</v>
      </c>
      <c r="C84">
        <v>0</v>
      </c>
      <c r="D84">
        <v>0</v>
      </c>
      <c r="E84">
        <v>8</v>
      </c>
      <c r="F84">
        <v>8</v>
      </c>
      <c r="G84" s="8">
        <v>0</v>
      </c>
    </row>
    <row r="85" spans="1:7" x14ac:dyDescent="0.3">
      <c r="A85" t="s">
        <v>294</v>
      </c>
      <c r="B85" t="s">
        <v>295</v>
      </c>
      <c r="C85">
        <v>0</v>
      </c>
      <c r="D85">
        <v>0</v>
      </c>
      <c r="E85">
        <v>4</v>
      </c>
      <c r="F85">
        <v>4</v>
      </c>
      <c r="G85" s="8">
        <v>0</v>
      </c>
    </row>
    <row r="86" spans="1:7" x14ac:dyDescent="0.3">
      <c r="A86" t="s">
        <v>296</v>
      </c>
      <c r="B86" t="s">
        <v>297</v>
      </c>
      <c r="C86">
        <v>0</v>
      </c>
      <c r="D86">
        <v>0</v>
      </c>
      <c r="E86">
        <v>2</v>
      </c>
      <c r="F86">
        <v>2</v>
      </c>
      <c r="G86" s="8">
        <v>0</v>
      </c>
    </row>
    <row r="87" spans="1:7" x14ac:dyDescent="0.3">
      <c r="A87" t="s">
        <v>298</v>
      </c>
      <c r="B87" t="s">
        <v>299</v>
      </c>
      <c r="C87">
        <v>0</v>
      </c>
      <c r="D87">
        <v>0</v>
      </c>
      <c r="E87">
        <v>1</v>
      </c>
      <c r="F87">
        <v>1</v>
      </c>
      <c r="G87" s="8">
        <v>0</v>
      </c>
    </row>
    <row r="88" spans="1:7" x14ac:dyDescent="0.3">
      <c r="A88" t="s">
        <v>298</v>
      </c>
      <c r="B88" t="s">
        <v>300</v>
      </c>
      <c r="C88">
        <v>0</v>
      </c>
      <c r="D88">
        <v>0</v>
      </c>
      <c r="E88">
        <v>1</v>
      </c>
      <c r="F88">
        <v>1</v>
      </c>
      <c r="G88" s="8">
        <v>0</v>
      </c>
    </row>
    <row r="89" spans="1:7" x14ac:dyDescent="0.3">
      <c r="A89" t="s">
        <v>298</v>
      </c>
      <c r="B89" t="s">
        <v>301</v>
      </c>
      <c r="C89">
        <v>0</v>
      </c>
      <c r="D89">
        <v>0</v>
      </c>
      <c r="E89">
        <v>1</v>
      </c>
      <c r="F89">
        <v>1</v>
      </c>
      <c r="G89" s="8">
        <v>0</v>
      </c>
    </row>
    <row r="90" spans="1:7" x14ac:dyDescent="0.3">
      <c r="A90" t="s">
        <v>298</v>
      </c>
      <c r="B90" t="s">
        <v>302</v>
      </c>
      <c r="C90">
        <v>0</v>
      </c>
      <c r="D90">
        <v>0</v>
      </c>
      <c r="E90">
        <v>1</v>
      </c>
      <c r="F90">
        <v>1</v>
      </c>
      <c r="G90" s="8">
        <v>0</v>
      </c>
    </row>
    <row r="91" spans="1:7" x14ac:dyDescent="0.3">
      <c r="A91" t="s">
        <v>298</v>
      </c>
      <c r="B91" t="s">
        <v>303</v>
      </c>
      <c r="C91">
        <v>0</v>
      </c>
      <c r="D91">
        <v>0</v>
      </c>
      <c r="E91">
        <v>1</v>
      </c>
      <c r="F91">
        <v>1</v>
      </c>
      <c r="G91" s="8">
        <v>0</v>
      </c>
    </row>
    <row r="92" spans="1:7" x14ac:dyDescent="0.3">
      <c r="A92" t="s">
        <v>298</v>
      </c>
      <c r="B92" t="s">
        <v>304</v>
      </c>
      <c r="C92">
        <v>0</v>
      </c>
      <c r="D92">
        <v>0</v>
      </c>
      <c r="E92">
        <v>1</v>
      </c>
      <c r="F92">
        <v>1</v>
      </c>
      <c r="G92" s="8">
        <v>0</v>
      </c>
    </row>
    <row r="93" spans="1:7" x14ac:dyDescent="0.3">
      <c r="A93" t="s">
        <v>298</v>
      </c>
      <c r="B93" t="s">
        <v>305</v>
      </c>
      <c r="C93">
        <v>0</v>
      </c>
      <c r="D93">
        <v>0</v>
      </c>
      <c r="E93">
        <v>1</v>
      </c>
      <c r="F93">
        <v>1</v>
      </c>
      <c r="G93" s="8">
        <v>0</v>
      </c>
    </row>
    <row r="94" spans="1:7" x14ac:dyDescent="0.3">
      <c r="A94" t="s">
        <v>298</v>
      </c>
      <c r="B94" t="s">
        <v>306</v>
      </c>
      <c r="C94">
        <v>0</v>
      </c>
      <c r="D94">
        <v>0</v>
      </c>
      <c r="E94">
        <v>1</v>
      </c>
      <c r="F94">
        <v>1</v>
      </c>
      <c r="G94" s="8">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523AC-9CEE-448F-8994-75B0CBF5B008}">
  <dimension ref="A1:N261"/>
  <sheetViews>
    <sheetView workbookViewId="0">
      <selection activeCell="E1" sqref="E1:E259"/>
    </sheetView>
  </sheetViews>
  <sheetFormatPr defaultRowHeight="14.4" x14ac:dyDescent="0.3"/>
  <cols>
    <col min="1" max="1" width="9.109375" bestFit="1" customWidth="1"/>
    <col min="2" max="2" width="12.88671875" bestFit="1" customWidth="1"/>
    <col min="3" max="3" width="13.77734375" bestFit="1" customWidth="1"/>
    <col min="4" max="4" width="9.33203125" bestFit="1" customWidth="1"/>
    <col min="5" max="5" width="23.21875" bestFit="1" customWidth="1"/>
    <col min="6" max="6" width="10" bestFit="1" customWidth="1"/>
    <col min="7" max="7" width="14.5546875" bestFit="1" customWidth="1"/>
    <col min="8" max="8" width="11.5546875" bestFit="1" customWidth="1"/>
    <col min="9" max="9" width="6.109375" bestFit="1" customWidth="1"/>
    <col min="10" max="10" width="15.5546875" bestFit="1" customWidth="1"/>
    <col min="11" max="11" width="11.5546875" bestFit="1" customWidth="1"/>
    <col min="12" max="12" width="20.88671875" bestFit="1" customWidth="1"/>
    <col min="13" max="13" width="6.21875" bestFit="1" customWidth="1"/>
    <col min="14" max="14" width="12.21875" bestFit="1" customWidth="1"/>
  </cols>
  <sheetData>
    <row r="1" spans="1:14" x14ac:dyDescent="0.3">
      <c r="A1" t="s">
        <v>0</v>
      </c>
      <c r="B1" t="s">
        <v>307</v>
      </c>
      <c r="C1" t="s">
        <v>308</v>
      </c>
      <c r="D1" t="s">
        <v>2</v>
      </c>
      <c r="E1" t="s">
        <v>3</v>
      </c>
      <c r="F1" t="s">
        <v>4</v>
      </c>
      <c r="G1" t="s">
        <v>309</v>
      </c>
      <c r="H1" t="s">
        <v>5</v>
      </c>
      <c r="I1" t="s">
        <v>6</v>
      </c>
      <c r="J1" t="s">
        <v>7</v>
      </c>
      <c r="K1" t="s">
        <v>310</v>
      </c>
      <c r="L1" t="s">
        <v>8</v>
      </c>
      <c r="M1" t="s">
        <v>311</v>
      </c>
      <c r="N1" t="s">
        <v>312</v>
      </c>
    </row>
    <row r="2" spans="1:14" x14ac:dyDescent="0.3">
      <c r="A2" t="s">
        <v>22</v>
      </c>
      <c r="B2" t="s">
        <v>313</v>
      </c>
      <c r="C2" t="s">
        <v>314</v>
      </c>
      <c r="D2" t="s">
        <v>24</v>
      </c>
      <c r="E2" t="s">
        <v>59</v>
      </c>
      <c r="F2">
        <v>120000</v>
      </c>
      <c r="G2" t="s">
        <v>315</v>
      </c>
      <c r="H2" s="9">
        <v>43416</v>
      </c>
      <c r="I2">
        <v>1</v>
      </c>
      <c r="J2" t="s">
        <v>13</v>
      </c>
      <c r="K2" t="s">
        <v>316</v>
      </c>
      <c r="L2" t="s">
        <v>26</v>
      </c>
      <c r="M2">
        <v>2692</v>
      </c>
      <c r="N2">
        <v>7</v>
      </c>
    </row>
    <row r="3" spans="1:14" x14ac:dyDescent="0.3">
      <c r="A3" t="s">
        <v>132</v>
      </c>
      <c r="B3" t="s">
        <v>317</v>
      </c>
      <c r="C3" t="s">
        <v>318</v>
      </c>
      <c r="D3" t="s">
        <v>11</v>
      </c>
      <c r="E3" t="s">
        <v>17</v>
      </c>
      <c r="F3">
        <v>98000</v>
      </c>
      <c r="G3" t="s">
        <v>319</v>
      </c>
      <c r="H3" s="9">
        <v>43710</v>
      </c>
      <c r="I3">
        <v>0.9</v>
      </c>
      <c r="J3" t="s">
        <v>13</v>
      </c>
      <c r="K3" t="s">
        <v>320</v>
      </c>
      <c r="L3" t="s">
        <v>53</v>
      </c>
      <c r="M3">
        <v>2398</v>
      </c>
      <c r="N3">
        <v>7</v>
      </c>
    </row>
    <row r="4" spans="1:14" x14ac:dyDescent="0.3">
      <c r="A4" t="s">
        <v>321</v>
      </c>
      <c r="B4" t="s">
        <v>322</v>
      </c>
      <c r="C4" t="s">
        <v>323</v>
      </c>
      <c r="D4" t="s">
        <v>11</v>
      </c>
      <c r="E4" t="s">
        <v>62</v>
      </c>
      <c r="F4">
        <v>120000</v>
      </c>
      <c r="G4" t="s">
        <v>315</v>
      </c>
      <c r="H4" s="9">
        <v>43902</v>
      </c>
      <c r="I4">
        <v>0.9</v>
      </c>
      <c r="J4" t="s">
        <v>13</v>
      </c>
      <c r="K4" t="s">
        <v>320</v>
      </c>
      <c r="L4" t="s">
        <v>26</v>
      </c>
      <c r="M4">
        <v>2206</v>
      </c>
      <c r="N4">
        <v>6</v>
      </c>
    </row>
    <row r="5" spans="1:14" x14ac:dyDescent="0.3">
      <c r="A5" t="s">
        <v>324</v>
      </c>
      <c r="B5" t="s">
        <v>325</v>
      </c>
      <c r="C5" t="s">
        <v>326</v>
      </c>
      <c r="D5" t="s">
        <v>11</v>
      </c>
      <c r="E5" t="s">
        <v>12</v>
      </c>
      <c r="F5">
        <v>93128.34</v>
      </c>
      <c r="G5" t="s">
        <v>319</v>
      </c>
      <c r="H5" s="9">
        <v>43164</v>
      </c>
      <c r="I5">
        <v>1</v>
      </c>
      <c r="J5" t="s">
        <v>327</v>
      </c>
      <c r="K5" t="s">
        <v>316</v>
      </c>
      <c r="L5" t="s">
        <v>53</v>
      </c>
      <c r="M5">
        <v>2944</v>
      </c>
      <c r="N5">
        <v>8</v>
      </c>
    </row>
    <row r="6" spans="1:14" x14ac:dyDescent="0.3">
      <c r="A6" t="s">
        <v>328</v>
      </c>
      <c r="B6" t="s">
        <v>329</v>
      </c>
      <c r="C6" t="s">
        <v>330</v>
      </c>
      <c r="D6" t="s">
        <v>11</v>
      </c>
      <c r="E6" t="s">
        <v>12</v>
      </c>
      <c r="F6">
        <v>57002.02</v>
      </c>
      <c r="G6" t="s">
        <v>319</v>
      </c>
      <c r="H6" s="9">
        <v>43192</v>
      </c>
      <c r="I6">
        <v>0.7</v>
      </c>
      <c r="J6" t="s">
        <v>13</v>
      </c>
      <c r="K6" t="s">
        <v>320</v>
      </c>
      <c r="L6" t="s">
        <v>18</v>
      </c>
      <c r="M6">
        <v>2916</v>
      </c>
      <c r="N6">
        <v>8</v>
      </c>
    </row>
    <row r="7" spans="1:14" x14ac:dyDescent="0.3">
      <c r="A7" t="s">
        <v>331</v>
      </c>
      <c r="B7" t="s">
        <v>332</v>
      </c>
      <c r="C7" t="s">
        <v>333</v>
      </c>
      <c r="D7" t="s">
        <v>24</v>
      </c>
      <c r="E7" t="s">
        <v>59</v>
      </c>
      <c r="F7">
        <v>118976.16</v>
      </c>
      <c r="G7" t="s">
        <v>315</v>
      </c>
      <c r="H7" s="9">
        <v>44120</v>
      </c>
      <c r="I7">
        <v>1</v>
      </c>
      <c r="J7" t="s">
        <v>13</v>
      </c>
      <c r="K7" t="s">
        <v>316</v>
      </c>
      <c r="L7" t="s">
        <v>14</v>
      </c>
      <c r="M7">
        <v>1988</v>
      </c>
      <c r="N7">
        <v>5</v>
      </c>
    </row>
    <row r="8" spans="1:14" x14ac:dyDescent="0.3">
      <c r="A8" t="s">
        <v>130</v>
      </c>
      <c r="B8" t="s">
        <v>334</v>
      </c>
      <c r="C8" t="s">
        <v>335</v>
      </c>
      <c r="D8" t="s">
        <v>336</v>
      </c>
      <c r="E8" t="s">
        <v>82</v>
      </c>
      <c r="F8">
        <v>104802.63</v>
      </c>
      <c r="G8" t="s">
        <v>315</v>
      </c>
      <c r="H8" s="9">
        <v>44502</v>
      </c>
      <c r="I8">
        <v>1</v>
      </c>
      <c r="J8" t="s">
        <v>13</v>
      </c>
      <c r="K8" t="s">
        <v>316</v>
      </c>
      <c r="L8" t="s">
        <v>18</v>
      </c>
      <c r="M8">
        <v>1606</v>
      </c>
      <c r="N8">
        <v>4</v>
      </c>
    </row>
    <row r="9" spans="1:14" x14ac:dyDescent="0.3">
      <c r="A9" t="s">
        <v>337</v>
      </c>
      <c r="B9" t="s">
        <v>338</v>
      </c>
      <c r="C9" t="s">
        <v>339</v>
      </c>
      <c r="D9" t="s">
        <v>11</v>
      </c>
      <c r="E9" t="s">
        <v>29</v>
      </c>
      <c r="F9">
        <v>66017.179999999993</v>
      </c>
      <c r="G9" t="s">
        <v>319</v>
      </c>
      <c r="H9" s="9">
        <v>43643</v>
      </c>
      <c r="I9">
        <v>0.9</v>
      </c>
      <c r="J9" t="s">
        <v>13</v>
      </c>
      <c r="K9" t="s">
        <v>320</v>
      </c>
      <c r="L9" t="s">
        <v>26</v>
      </c>
      <c r="M9">
        <v>2465</v>
      </c>
      <c r="N9">
        <v>7</v>
      </c>
    </row>
    <row r="10" spans="1:14" x14ac:dyDescent="0.3">
      <c r="A10" t="s">
        <v>340</v>
      </c>
      <c r="B10" t="s">
        <v>341</v>
      </c>
      <c r="C10" t="s">
        <v>342</v>
      </c>
      <c r="D10" t="s">
        <v>24</v>
      </c>
      <c r="E10" t="s">
        <v>47</v>
      </c>
      <c r="F10">
        <v>74279.009999999995</v>
      </c>
      <c r="G10" t="s">
        <v>319</v>
      </c>
      <c r="H10" s="9">
        <v>43466</v>
      </c>
      <c r="I10">
        <v>1</v>
      </c>
      <c r="J10" t="s">
        <v>13</v>
      </c>
      <c r="K10" t="s">
        <v>316</v>
      </c>
      <c r="L10" t="s">
        <v>14</v>
      </c>
      <c r="M10">
        <v>2642</v>
      </c>
      <c r="N10">
        <v>7</v>
      </c>
    </row>
    <row r="11" spans="1:14" x14ac:dyDescent="0.3">
      <c r="A11" t="s">
        <v>30</v>
      </c>
      <c r="B11" t="s">
        <v>343</v>
      </c>
      <c r="C11" t="s">
        <v>344</v>
      </c>
      <c r="D11" t="s">
        <v>11</v>
      </c>
      <c r="E11" t="s">
        <v>17</v>
      </c>
      <c r="F11">
        <v>68980.52</v>
      </c>
      <c r="G11" t="s">
        <v>319</v>
      </c>
      <c r="H11" s="9">
        <v>43494</v>
      </c>
      <c r="I11">
        <v>0.8</v>
      </c>
      <c r="J11" t="s">
        <v>13</v>
      </c>
      <c r="K11" t="s">
        <v>320</v>
      </c>
      <c r="L11" t="s">
        <v>26</v>
      </c>
      <c r="M11">
        <v>2614</v>
      </c>
      <c r="N11">
        <v>7</v>
      </c>
    </row>
    <row r="12" spans="1:14" x14ac:dyDescent="0.3">
      <c r="A12" t="s">
        <v>345</v>
      </c>
      <c r="B12" t="s">
        <v>346</v>
      </c>
      <c r="C12" t="s">
        <v>347</v>
      </c>
      <c r="D12" t="s">
        <v>11</v>
      </c>
      <c r="E12" t="s">
        <v>62</v>
      </c>
      <c r="F12">
        <v>42314.39</v>
      </c>
      <c r="G12" t="s">
        <v>348</v>
      </c>
      <c r="H12" s="9">
        <v>44487</v>
      </c>
      <c r="I12">
        <v>1</v>
      </c>
      <c r="J12" t="s">
        <v>327</v>
      </c>
      <c r="K12" t="s">
        <v>316</v>
      </c>
      <c r="L12" t="s">
        <v>26</v>
      </c>
      <c r="M12">
        <v>1621</v>
      </c>
      <c r="N12">
        <v>4</v>
      </c>
    </row>
    <row r="13" spans="1:14" x14ac:dyDescent="0.3">
      <c r="A13" t="s">
        <v>349</v>
      </c>
      <c r="B13" t="s">
        <v>350</v>
      </c>
      <c r="C13" t="s">
        <v>351</v>
      </c>
      <c r="D13" t="s">
        <v>11</v>
      </c>
      <c r="E13" t="s">
        <v>59</v>
      </c>
      <c r="F13">
        <v>114425.19</v>
      </c>
      <c r="G13" t="s">
        <v>315</v>
      </c>
      <c r="H13" s="9">
        <v>43857</v>
      </c>
      <c r="I13">
        <v>1</v>
      </c>
      <c r="J13" t="s">
        <v>13</v>
      </c>
      <c r="K13" t="s">
        <v>316</v>
      </c>
      <c r="L13" t="s">
        <v>14</v>
      </c>
      <c r="M13">
        <v>2251</v>
      </c>
      <c r="N13">
        <v>6</v>
      </c>
    </row>
    <row r="14" spans="1:14" x14ac:dyDescent="0.3">
      <c r="A14" t="s">
        <v>128</v>
      </c>
      <c r="B14" t="s">
        <v>352</v>
      </c>
      <c r="C14" t="s">
        <v>353</v>
      </c>
      <c r="D14" t="s">
        <v>11</v>
      </c>
      <c r="E14" t="s">
        <v>17</v>
      </c>
      <c r="F14">
        <v>69192.850000000006</v>
      </c>
      <c r="G14" t="s">
        <v>319</v>
      </c>
      <c r="H14" s="9">
        <v>44305</v>
      </c>
      <c r="I14">
        <v>1</v>
      </c>
      <c r="J14" t="s">
        <v>13</v>
      </c>
      <c r="K14" t="s">
        <v>316</v>
      </c>
      <c r="L14" t="s">
        <v>21</v>
      </c>
      <c r="M14">
        <v>1803</v>
      </c>
      <c r="N14">
        <v>5</v>
      </c>
    </row>
    <row r="15" spans="1:14" x14ac:dyDescent="0.3">
      <c r="A15" t="s">
        <v>354</v>
      </c>
      <c r="B15" t="s">
        <v>355</v>
      </c>
      <c r="C15" t="s">
        <v>356</v>
      </c>
      <c r="D15" t="s">
        <v>24</v>
      </c>
      <c r="E15" t="s">
        <v>82</v>
      </c>
      <c r="F15">
        <v>61214.26</v>
      </c>
      <c r="G15" t="s">
        <v>319</v>
      </c>
      <c r="H15" s="9">
        <v>43171</v>
      </c>
      <c r="I15">
        <v>1</v>
      </c>
      <c r="J15" t="s">
        <v>357</v>
      </c>
      <c r="K15" t="s">
        <v>316</v>
      </c>
      <c r="L15" t="s">
        <v>56</v>
      </c>
      <c r="M15">
        <v>2937</v>
      </c>
      <c r="N15">
        <v>8</v>
      </c>
    </row>
    <row r="16" spans="1:14" x14ac:dyDescent="0.3">
      <c r="A16" t="s">
        <v>358</v>
      </c>
      <c r="B16" t="s">
        <v>359</v>
      </c>
      <c r="C16" t="s">
        <v>360</v>
      </c>
      <c r="D16" t="s">
        <v>24</v>
      </c>
      <c r="E16" t="s">
        <v>82</v>
      </c>
      <c r="F16">
        <v>54137.05</v>
      </c>
      <c r="G16" t="s">
        <v>319</v>
      </c>
      <c r="H16" s="9">
        <v>43763</v>
      </c>
      <c r="I16">
        <v>1</v>
      </c>
      <c r="J16" t="s">
        <v>13</v>
      </c>
      <c r="K16" t="s">
        <v>316</v>
      </c>
      <c r="L16" t="s">
        <v>26</v>
      </c>
      <c r="M16">
        <v>2345</v>
      </c>
      <c r="N16">
        <v>6</v>
      </c>
    </row>
    <row r="17" spans="1:14" x14ac:dyDescent="0.3">
      <c r="A17" t="s">
        <v>361</v>
      </c>
      <c r="B17" t="s">
        <v>362</v>
      </c>
      <c r="C17" t="s">
        <v>363</v>
      </c>
      <c r="D17" t="s">
        <v>11</v>
      </c>
      <c r="E17" t="s">
        <v>12</v>
      </c>
      <c r="F17">
        <v>37902.35</v>
      </c>
      <c r="G17" t="s">
        <v>348</v>
      </c>
      <c r="H17" s="9">
        <v>43823</v>
      </c>
      <c r="I17">
        <v>1</v>
      </c>
      <c r="J17" t="s">
        <v>13</v>
      </c>
      <c r="K17" t="s">
        <v>316</v>
      </c>
      <c r="L17" t="s">
        <v>50</v>
      </c>
      <c r="M17">
        <v>2285</v>
      </c>
      <c r="N17">
        <v>6</v>
      </c>
    </row>
    <row r="18" spans="1:14" x14ac:dyDescent="0.3">
      <c r="A18" t="s">
        <v>364</v>
      </c>
      <c r="B18" t="s">
        <v>365</v>
      </c>
      <c r="C18" t="s">
        <v>366</v>
      </c>
      <c r="D18" t="s">
        <v>24</v>
      </c>
      <c r="E18" t="s">
        <v>59</v>
      </c>
      <c r="F18">
        <v>39969.72</v>
      </c>
      <c r="G18" t="s">
        <v>348</v>
      </c>
      <c r="H18" s="9">
        <v>43444</v>
      </c>
      <c r="I18">
        <v>1</v>
      </c>
      <c r="J18" t="s">
        <v>357</v>
      </c>
      <c r="K18" t="s">
        <v>316</v>
      </c>
      <c r="L18" t="s">
        <v>21</v>
      </c>
      <c r="M18">
        <v>2664</v>
      </c>
      <c r="N18">
        <v>7</v>
      </c>
    </row>
    <row r="19" spans="1:14" x14ac:dyDescent="0.3">
      <c r="A19" t="s">
        <v>367</v>
      </c>
      <c r="B19" t="s">
        <v>368</v>
      </c>
      <c r="C19" t="s">
        <v>369</v>
      </c>
      <c r="D19" t="s">
        <v>24</v>
      </c>
      <c r="E19" t="s">
        <v>62</v>
      </c>
      <c r="F19">
        <v>69913.39</v>
      </c>
      <c r="G19" t="s">
        <v>319</v>
      </c>
      <c r="H19" s="9">
        <v>43584</v>
      </c>
      <c r="I19">
        <v>1</v>
      </c>
      <c r="J19" t="s">
        <v>13</v>
      </c>
      <c r="K19" t="s">
        <v>316</v>
      </c>
      <c r="L19" t="s">
        <v>26</v>
      </c>
      <c r="M19">
        <v>2524</v>
      </c>
      <c r="N19">
        <v>7</v>
      </c>
    </row>
    <row r="20" spans="1:14" x14ac:dyDescent="0.3">
      <c r="A20" t="s">
        <v>370</v>
      </c>
      <c r="B20" t="s">
        <v>371</v>
      </c>
      <c r="C20" t="s">
        <v>372</v>
      </c>
      <c r="D20" t="s">
        <v>24</v>
      </c>
      <c r="E20" t="s">
        <v>47</v>
      </c>
      <c r="F20">
        <v>52748.63</v>
      </c>
      <c r="G20" t="s">
        <v>319</v>
      </c>
      <c r="H20" s="9">
        <v>43857</v>
      </c>
      <c r="I20">
        <v>1</v>
      </c>
      <c r="J20" t="s">
        <v>13</v>
      </c>
      <c r="K20" t="s">
        <v>316</v>
      </c>
      <c r="L20" t="s">
        <v>50</v>
      </c>
      <c r="M20">
        <v>2251</v>
      </c>
      <c r="N20">
        <v>6</v>
      </c>
    </row>
    <row r="21" spans="1:14" x14ac:dyDescent="0.3">
      <c r="A21" t="s">
        <v>42</v>
      </c>
      <c r="B21" t="s">
        <v>373</v>
      </c>
      <c r="C21" t="s">
        <v>374</v>
      </c>
      <c r="D21" t="s">
        <v>24</v>
      </c>
      <c r="E21" t="s">
        <v>44</v>
      </c>
      <c r="F21">
        <v>50310.09</v>
      </c>
      <c r="G21" t="s">
        <v>319</v>
      </c>
      <c r="H21" s="9">
        <v>44285</v>
      </c>
      <c r="I21">
        <v>0.4</v>
      </c>
      <c r="J21" t="s">
        <v>13</v>
      </c>
      <c r="K21" t="s">
        <v>320</v>
      </c>
      <c r="L21" t="s">
        <v>18</v>
      </c>
      <c r="M21">
        <v>1823</v>
      </c>
      <c r="N21">
        <v>5</v>
      </c>
    </row>
    <row r="22" spans="1:14" x14ac:dyDescent="0.3">
      <c r="A22" t="s">
        <v>40</v>
      </c>
      <c r="B22" t="s">
        <v>375</v>
      </c>
      <c r="C22" t="s">
        <v>376</v>
      </c>
      <c r="D22" t="s">
        <v>24</v>
      </c>
      <c r="E22" t="s">
        <v>37</v>
      </c>
      <c r="F22">
        <v>52963.65</v>
      </c>
      <c r="G22" t="s">
        <v>319</v>
      </c>
      <c r="H22" s="9">
        <v>44288</v>
      </c>
      <c r="I22">
        <v>0.3</v>
      </c>
      <c r="J22" t="s">
        <v>13</v>
      </c>
      <c r="K22" t="s">
        <v>320</v>
      </c>
      <c r="L22" t="s">
        <v>21</v>
      </c>
      <c r="M22">
        <v>1820</v>
      </c>
      <c r="N22">
        <v>5</v>
      </c>
    </row>
    <row r="23" spans="1:14" x14ac:dyDescent="0.3">
      <c r="A23" t="s">
        <v>110</v>
      </c>
      <c r="B23" t="s">
        <v>377</v>
      </c>
      <c r="C23" t="s">
        <v>378</v>
      </c>
      <c r="D23" t="s">
        <v>24</v>
      </c>
      <c r="E23" t="s">
        <v>89</v>
      </c>
      <c r="F23">
        <v>62195.47</v>
      </c>
      <c r="G23" t="s">
        <v>319</v>
      </c>
      <c r="H23" s="9">
        <v>44434</v>
      </c>
      <c r="I23">
        <v>1</v>
      </c>
      <c r="J23" t="s">
        <v>13</v>
      </c>
      <c r="K23" t="s">
        <v>316</v>
      </c>
      <c r="L23" t="s">
        <v>26</v>
      </c>
      <c r="M23">
        <v>1674</v>
      </c>
      <c r="N23">
        <v>5</v>
      </c>
    </row>
    <row r="24" spans="1:14" x14ac:dyDescent="0.3">
      <c r="A24" t="s">
        <v>379</v>
      </c>
      <c r="B24" t="s">
        <v>380</v>
      </c>
      <c r="C24" t="s">
        <v>381</v>
      </c>
      <c r="D24" t="s">
        <v>24</v>
      </c>
      <c r="E24" t="s">
        <v>59</v>
      </c>
      <c r="F24">
        <v>43329.22</v>
      </c>
      <c r="G24" t="s">
        <v>348</v>
      </c>
      <c r="H24" s="9">
        <v>43809</v>
      </c>
      <c r="I24">
        <v>0.5</v>
      </c>
      <c r="J24" t="s">
        <v>327</v>
      </c>
      <c r="K24" t="s">
        <v>320</v>
      </c>
      <c r="L24" t="s">
        <v>26</v>
      </c>
      <c r="M24">
        <v>2299</v>
      </c>
      <c r="N24">
        <v>6</v>
      </c>
    </row>
    <row r="25" spans="1:14" x14ac:dyDescent="0.3">
      <c r="A25" t="s">
        <v>382</v>
      </c>
      <c r="B25" t="s">
        <v>383</v>
      </c>
      <c r="C25" t="s">
        <v>384</v>
      </c>
      <c r="D25" t="s">
        <v>11</v>
      </c>
      <c r="E25" t="s">
        <v>12</v>
      </c>
      <c r="F25">
        <v>71570.990000000005</v>
      </c>
      <c r="G25" t="s">
        <v>319</v>
      </c>
      <c r="H25" s="9">
        <v>44249</v>
      </c>
      <c r="I25">
        <v>0.5</v>
      </c>
      <c r="J25" t="s">
        <v>13</v>
      </c>
      <c r="K25" t="s">
        <v>320</v>
      </c>
      <c r="L25" t="s">
        <v>18</v>
      </c>
      <c r="M25">
        <v>1859</v>
      </c>
      <c r="N25">
        <v>5</v>
      </c>
    </row>
    <row r="26" spans="1:14" x14ac:dyDescent="0.3">
      <c r="A26" t="s">
        <v>385</v>
      </c>
      <c r="B26" t="s">
        <v>386</v>
      </c>
      <c r="C26" t="s">
        <v>387</v>
      </c>
      <c r="D26" t="s">
        <v>336</v>
      </c>
      <c r="E26" t="s">
        <v>12</v>
      </c>
      <c r="F26">
        <v>78840.23</v>
      </c>
      <c r="G26" t="s">
        <v>319</v>
      </c>
      <c r="H26" s="9">
        <v>43633</v>
      </c>
      <c r="I26">
        <v>1</v>
      </c>
      <c r="J26" t="s">
        <v>357</v>
      </c>
      <c r="K26" t="s">
        <v>316</v>
      </c>
      <c r="L26" t="s">
        <v>26</v>
      </c>
      <c r="M26">
        <v>2475</v>
      </c>
      <c r="N26">
        <v>7</v>
      </c>
    </row>
    <row r="27" spans="1:14" x14ac:dyDescent="0.3">
      <c r="A27" t="s">
        <v>96</v>
      </c>
      <c r="B27" t="s">
        <v>388</v>
      </c>
      <c r="C27" t="s">
        <v>389</v>
      </c>
      <c r="D27" t="s">
        <v>11</v>
      </c>
      <c r="E27" t="s">
        <v>44</v>
      </c>
      <c r="F27">
        <v>61994.76</v>
      </c>
      <c r="G27" t="s">
        <v>319</v>
      </c>
      <c r="H27" s="9">
        <v>43794</v>
      </c>
      <c r="I27">
        <v>0.3</v>
      </c>
      <c r="J27" t="s">
        <v>13</v>
      </c>
      <c r="K27" t="s">
        <v>320</v>
      </c>
      <c r="L27" t="s">
        <v>18</v>
      </c>
      <c r="M27">
        <v>2314</v>
      </c>
      <c r="N27">
        <v>6</v>
      </c>
    </row>
    <row r="28" spans="1:14" x14ac:dyDescent="0.3">
      <c r="A28" t="s">
        <v>106</v>
      </c>
      <c r="B28" t="s">
        <v>390</v>
      </c>
      <c r="C28" t="s">
        <v>391</v>
      </c>
      <c r="D28" t="s">
        <v>11</v>
      </c>
      <c r="E28" t="s">
        <v>62</v>
      </c>
      <c r="F28">
        <v>89690.38</v>
      </c>
      <c r="G28" t="s">
        <v>319</v>
      </c>
      <c r="H28" s="9">
        <v>43206</v>
      </c>
      <c r="I28">
        <v>1</v>
      </c>
      <c r="J28" t="s">
        <v>13</v>
      </c>
      <c r="K28" t="s">
        <v>316</v>
      </c>
      <c r="L28" t="s">
        <v>14</v>
      </c>
      <c r="M28">
        <v>2902</v>
      </c>
      <c r="N28">
        <v>8</v>
      </c>
    </row>
    <row r="29" spans="1:14" x14ac:dyDescent="0.3">
      <c r="A29" t="s">
        <v>90</v>
      </c>
      <c r="B29" t="s">
        <v>392</v>
      </c>
      <c r="C29" t="s">
        <v>393</v>
      </c>
      <c r="D29" t="s">
        <v>24</v>
      </c>
      <c r="E29" t="s">
        <v>67</v>
      </c>
      <c r="F29">
        <v>104335.03999999999</v>
      </c>
      <c r="G29" t="s">
        <v>315</v>
      </c>
      <c r="H29" s="9">
        <v>43874</v>
      </c>
      <c r="I29">
        <v>1</v>
      </c>
      <c r="J29" t="s">
        <v>13</v>
      </c>
      <c r="K29" t="s">
        <v>316</v>
      </c>
      <c r="L29" t="s">
        <v>21</v>
      </c>
      <c r="M29">
        <v>2234</v>
      </c>
      <c r="N29">
        <v>6</v>
      </c>
    </row>
    <row r="30" spans="1:14" x14ac:dyDescent="0.3">
      <c r="A30" t="s">
        <v>394</v>
      </c>
      <c r="B30" t="s">
        <v>395</v>
      </c>
      <c r="C30" t="s">
        <v>396</v>
      </c>
      <c r="D30" t="s">
        <v>24</v>
      </c>
      <c r="E30" t="s">
        <v>37</v>
      </c>
      <c r="F30">
        <v>52246.29</v>
      </c>
      <c r="G30" t="s">
        <v>319</v>
      </c>
      <c r="H30" s="9">
        <v>43573</v>
      </c>
      <c r="I30">
        <v>1</v>
      </c>
      <c r="J30" t="s">
        <v>357</v>
      </c>
      <c r="K30" t="s">
        <v>316</v>
      </c>
      <c r="L30" t="s">
        <v>14</v>
      </c>
      <c r="M30">
        <v>2535</v>
      </c>
      <c r="N30">
        <v>7</v>
      </c>
    </row>
    <row r="31" spans="1:14" x14ac:dyDescent="0.3">
      <c r="A31" t="s">
        <v>397</v>
      </c>
      <c r="B31" t="s">
        <v>398</v>
      </c>
      <c r="C31" t="s">
        <v>399</v>
      </c>
      <c r="D31" t="s">
        <v>24</v>
      </c>
      <c r="E31" t="s">
        <v>34</v>
      </c>
      <c r="F31">
        <v>90697.67</v>
      </c>
      <c r="G31" t="s">
        <v>319</v>
      </c>
      <c r="H31" s="9">
        <v>44221</v>
      </c>
      <c r="I31">
        <v>0.8</v>
      </c>
      <c r="J31" t="s">
        <v>13</v>
      </c>
      <c r="K31" t="s">
        <v>320</v>
      </c>
      <c r="L31" t="s">
        <v>53</v>
      </c>
      <c r="M31">
        <v>1887</v>
      </c>
      <c r="N31">
        <v>5</v>
      </c>
    </row>
    <row r="32" spans="1:14" x14ac:dyDescent="0.3">
      <c r="A32" t="s">
        <v>400</v>
      </c>
      <c r="B32" t="s">
        <v>401</v>
      </c>
      <c r="C32" t="s">
        <v>402</v>
      </c>
      <c r="D32" t="s">
        <v>24</v>
      </c>
      <c r="E32" t="s">
        <v>17</v>
      </c>
      <c r="F32">
        <v>90884.32</v>
      </c>
      <c r="G32" t="s">
        <v>319</v>
      </c>
      <c r="H32" s="9">
        <v>43826</v>
      </c>
      <c r="I32">
        <v>1</v>
      </c>
      <c r="J32" t="s">
        <v>13</v>
      </c>
      <c r="K32" t="s">
        <v>316</v>
      </c>
      <c r="L32" t="s">
        <v>21</v>
      </c>
      <c r="M32">
        <v>2282</v>
      </c>
      <c r="N32">
        <v>6</v>
      </c>
    </row>
    <row r="33" spans="1:14" x14ac:dyDescent="0.3">
      <c r="A33" t="s">
        <v>403</v>
      </c>
      <c r="B33" t="s">
        <v>404</v>
      </c>
      <c r="C33" t="s">
        <v>405</v>
      </c>
      <c r="D33" t="s">
        <v>24</v>
      </c>
      <c r="E33" t="s">
        <v>44</v>
      </c>
      <c r="F33">
        <v>76320.44</v>
      </c>
      <c r="G33" t="s">
        <v>319</v>
      </c>
      <c r="H33" s="9">
        <v>44383</v>
      </c>
      <c r="I33">
        <v>0.8</v>
      </c>
      <c r="J33" t="s">
        <v>357</v>
      </c>
      <c r="K33" t="s">
        <v>320</v>
      </c>
      <c r="L33" t="s">
        <v>26</v>
      </c>
      <c r="M33">
        <v>1725</v>
      </c>
      <c r="N33">
        <v>5</v>
      </c>
    </row>
    <row r="34" spans="1:14" x14ac:dyDescent="0.3">
      <c r="A34" t="s">
        <v>406</v>
      </c>
      <c r="B34" t="s">
        <v>407</v>
      </c>
      <c r="C34" t="s">
        <v>408</v>
      </c>
      <c r="D34" t="s">
        <v>24</v>
      </c>
      <c r="E34" t="s">
        <v>17</v>
      </c>
      <c r="F34">
        <v>73360.38</v>
      </c>
      <c r="G34" t="s">
        <v>319</v>
      </c>
      <c r="H34" s="9">
        <v>43972</v>
      </c>
      <c r="I34">
        <v>1</v>
      </c>
      <c r="J34" t="s">
        <v>357</v>
      </c>
      <c r="K34" t="s">
        <v>316</v>
      </c>
      <c r="L34" t="s">
        <v>26</v>
      </c>
      <c r="M34">
        <v>2136</v>
      </c>
      <c r="N34">
        <v>6</v>
      </c>
    </row>
    <row r="35" spans="1:14" x14ac:dyDescent="0.3">
      <c r="A35" t="s">
        <v>70</v>
      </c>
      <c r="B35" t="s">
        <v>409</v>
      </c>
      <c r="C35" t="s">
        <v>410</v>
      </c>
      <c r="D35" t="s">
        <v>11</v>
      </c>
      <c r="E35" t="s">
        <v>47</v>
      </c>
      <c r="F35">
        <v>50449.46</v>
      </c>
      <c r="G35" t="s">
        <v>319</v>
      </c>
      <c r="H35" s="9">
        <v>43418</v>
      </c>
      <c r="I35">
        <v>0.8</v>
      </c>
      <c r="J35" t="s">
        <v>13</v>
      </c>
      <c r="K35" t="s">
        <v>320</v>
      </c>
      <c r="L35" t="s">
        <v>56</v>
      </c>
      <c r="M35">
        <v>2690</v>
      </c>
      <c r="N35">
        <v>7</v>
      </c>
    </row>
    <row r="36" spans="1:14" x14ac:dyDescent="0.3">
      <c r="A36" t="s">
        <v>411</v>
      </c>
      <c r="B36" t="s">
        <v>412</v>
      </c>
      <c r="C36" t="s">
        <v>413</v>
      </c>
      <c r="D36" t="s">
        <v>24</v>
      </c>
      <c r="E36" t="s">
        <v>12</v>
      </c>
      <c r="F36">
        <v>53949.26</v>
      </c>
      <c r="G36" t="s">
        <v>319</v>
      </c>
      <c r="H36" s="9">
        <v>43808</v>
      </c>
      <c r="I36">
        <v>1</v>
      </c>
      <c r="J36" t="s">
        <v>357</v>
      </c>
      <c r="K36" t="s">
        <v>316</v>
      </c>
      <c r="L36" t="s">
        <v>21</v>
      </c>
      <c r="M36">
        <v>2300</v>
      </c>
      <c r="N36">
        <v>6</v>
      </c>
    </row>
    <row r="37" spans="1:14" x14ac:dyDescent="0.3">
      <c r="A37" t="s">
        <v>414</v>
      </c>
      <c r="B37" t="s">
        <v>415</v>
      </c>
      <c r="C37" t="s">
        <v>416</v>
      </c>
      <c r="D37" t="s">
        <v>24</v>
      </c>
      <c r="E37" t="s">
        <v>34</v>
      </c>
      <c r="F37">
        <v>113616.23</v>
      </c>
      <c r="G37" t="s">
        <v>315</v>
      </c>
      <c r="H37" s="9">
        <v>43255</v>
      </c>
      <c r="I37">
        <v>1</v>
      </c>
      <c r="J37" t="s">
        <v>13</v>
      </c>
      <c r="K37" t="s">
        <v>316</v>
      </c>
      <c r="L37" t="s">
        <v>26</v>
      </c>
      <c r="M37">
        <v>2853</v>
      </c>
      <c r="N37">
        <v>8</v>
      </c>
    </row>
    <row r="38" spans="1:14" x14ac:dyDescent="0.3">
      <c r="A38" t="s">
        <v>417</v>
      </c>
      <c r="B38" t="s">
        <v>418</v>
      </c>
      <c r="C38" t="s">
        <v>419</v>
      </c>
      <c r="D38" t="s">
        <v>11</v>
      </c>
      <c r="E38" t="s">
        <v>67</v>
      </c>
      <c r="F38">
        <v>110906.35</v>
      </c>
      <c r="G38" t="s">
        <v>315</v>
      </c>
      <c r="H38" s="9">
        <v>43434</v>
      </c>
      <c r="I38">
        <v>1</v>
      </c>
      <c r="J38" t="s">
        <v>357</v>
      </c>
      <c r="K38" t="s">
        <v>316</v>
      </c>
      <c r="L38" t="s">
        <v>14</v>
      </c>
      <c r="M38">
        <v>2674</v>
      </c>
      <c r="N38">
        <v>7</v>
      </c>
    </row>
    <row r="39" spans="1:14" x14ac:dyDescent="0.3">
      <c r="A39" t="s">
        <v>420</v>
      </c>
      <c r="B39" t="s">
        <v>421</v>
      </c>
      <c r="C39" t="s">
        <v>422</v>
      </c>
      <c r="D39" t="s">
        <v>11</v>
      </c>
      <c r="E39" t="s">
        <v>82</v>
      </c>
      <c r="F39">
        <v>100371.31</v>
      </c>
      <c r="G39" t="s">
        <v>315</v>
      </c>
      <c r="H39" s="9">
        <v>44067</v>
      </c>
      <c r="I39">
        <v>0.8</v>
      </c>
      <c r="J39" t="s">
        <v>327</v>
      </c>
      <c r="K39" t="s">
        <v>320</v>
      </c>
      <c r="L39" t="s">
        <v>56</v>
      </c>
      <c r="M39">
        <v>2041</v>
      </c>
      <c r="N39">
        <v>6</v>
      </c>
    </row>
    <row r="40" spans="1:14" x14ac:dyDescent="0.3">
      <c r="A40" t="s">
        <v>423</v>
      </c>
      <c r="B40" t="s">
        <v>424</v>
      </c>
      <c r="C40" t="s">
        <v>425</v>
      </c>
      <c r="D40" t="s">
        <v>11</v>
      </c>
      <c r="E40" t="s">
        <v>37</v>
      </c>
      <c r="F40">
        <v>69163.39</v>
      </c>
      <c r="G40" t="s">
        <v>319</v>
      </c>
      <c r="H40" s="9">
        <v>43397</v>
      </c>
      <c r="I40">
        <v>1</v>
      </c>
      <c r="J40" t="s">
        <v>13</v>
      </c>
      <c r="K40" t="s">
        <v>316</v>
      </c>
      <c r="L40" t="s">
        <v>26</v>
      </c>
      <c r="M40">
        <v>2711</v>
      </c>
      <c r="N40">
        <v>7</v>
      </c>
    </row>
    <row r="41" spans="1:14" x14ac:dyDescent="0.3">
      <c r="A41" t="s">
        <v>426</v>
      </c>
      <c r="B41" t="s">
        <v>427</v>
      </c>
      <c r="C41" t="s">
        <v>428</v>
      </c>
      <c r="D41" t="s">
        <v>24</v>
      </c>
      <c r="E41" t="s">
        <v>12</v>
      </c>
      <c r="F41">
        <v>114691.03</v>
      </c>
      <c r="G41" t="s">
        <v>315</v>
      </c>
      <c r="H41" s="9">
        <v>44039</v>
      </c>
      <c r="I41">
        <v>1</v>
      </c>
      <c r="J41" t="s">
        <v>357</v>
      </c>
      <c r="K41" t="s">
        <v>316</v>
      </c>
      <c r="L41" t="s">
        <v>14</v>
      </c>
      <c r="M41">
        <v>2069</v>
      </c>
      <c r="N41">
        <v>6</v>
      </c>
    </row>
    <row r="42" spans="1:14" x14ac:dyDescent="0.3">
      <c r="A42" t="s">
        <v>429</v>
      </c>
      <c r="B42" t="s">
        <v>430</v>
      </c>
      <c r="C42" t="s">
        <v>431</v>
      </c>
      <c r="D42" t="s">
        <v>24</v>
      </c>
      <c r="E42" t="s">
        <v>44</v>
      </c>
      <c r="F42">
        <v>86556.96</v>
      </c>
      <c r="G42" t="s">
        <v>319</v>
      </c>
      <c r="H42" s="9">
        <v>44104</v>
      </c>
      <c r="I42">
        <v>1</v>
      </c>
      <c r="J42" t="s">
        <v>13</v>
      </c>
      <c r="K42" t="s">
        <v>316</v>
      </c>
      <c r="L42" t="s">
        <v>18</v>
      </c>
      <c r="M42">
        <v>2004</v>
      </c>
      <c r="N42">
        <v>5</v>
      </c>
    </row>
    <row r="43" spans="1:14" x14ac:dyDescent="0.3">
      <c r="A43" t="s">
        <v>432</v>
      </c>
      <c r="B43" t="s">
        <v>433</v>
      </c>
      <c r="C43" t="s">
        <v>434</v>
      </c>
      <c r="D43" t="s">
        <v>11</v>
      </c>
      <c r="E43" t="s">
        <v>62</v>
      </c>
      <c r="F43">
        <v>31172.77</v>
      </c>
      <c r="G43" t="s">
        <v>348</v>
      </c>
      <c r="H43" s="9">
        <v>43665</v>
      </c>
      <c r="I43">
        <v>1</v>
      </c>
      <c r="J43" t="s">
        <v>327</v>
      </c>
      <c r="K43" t="s">
        <v>316</v>
      </c>
      <c r="L43" t="s">
        <v>26</v>
      </c>
      <c r="M43">
        <v>2443</v>
      </c>
      <c r="N43">
        <v>7</v>
      </c>
    </row>
    <row r="44" spans="1:14" x14ac:dyDescent="0.3">
      <c r="A44" t="s">
        <v>435</v>
      </c>
      <c r="B44" t="s">
        <v>436</v>
      </c>
      <c r="C44" t="s">
        <v>437</v>
      </c>
      <c r="D44" t="s">
        <v>24</v>
      </c>
      <c r="E44" t="s">
        <v>17</v>
      </c>
      <c r="F44">
        <v>80169.42</v>
      </c>
      <c r="G44" t="s">
        <v>319</v>
      </c>
      <c r="H44" s="9">
        <v>44053</v>
      </c>
      <c r="I44">
        <v>1</v>
      </c>
      <c r="J44" t="s">
        <v>13</v>
      </c>
      <c r="K44" t="s">
        <v>316</v>
      </c>
      <c r="L44" t="s">
        <v>56</v>
      </c>
      <c r="M44">
        <v>2055</v>
      </c>
      <c r="N44">
        <v>6</v>
      </c>
    </row>
    <row r="45" spans="1:14" x14ac:dyDescent="0.3">
      <c r="A45" t="s">
        <v>411</v>
      </c>
      <c r="B45" t="s">
        <v>412</v>
      </c>
      <c r="C45" t="s">
        <v>413</v>
      </c>
      <c r="D45" t="s">
        <v>24</v>
      </c>
      <c r="E45" t="s">
        <v>12</v>
      </c>
      <c r="F45">
        <v>53949.26</v>
      </c>
      <c r="G45" t="s">
        <v>319</v>
      </c>
      <c r="H45" s="9">
        <v>43808</v>
      </c>
      <c r="I45">
        <v>1</v>
      </c>
      <c r="J45" t="s">
        <v>357</v>
      </c>
      <c r="K45" t="s">
        <v>316</v>
      </c>
      <c r="L45" t="s">
        <v>21</v>
      </c>
      <c r="M45">
        <v>2300</v>
      </c>
      <c r="N45">
        <v>6</v>
      </c>
    </row>
    <row r="46" spans="1:14" x14ac:dyDescent="0.3">
      <c r="A46" t="s">
        <v>438</v>
      </c>
      <c r="B46" t="s">
        <v>439</v>
      </c>
      <c r="C46" t="s">
        <v>440</v>
      </c>
      <c r="D46" t="s">
        <v>11</v>
      </c>
      <c r="E46" t="s">
        <v>82</v>
      </c>
      <c r="F46">
        <v>58935.92</v>
      </c>
      <c r="G46" t="s">
        <v>319</v>
      </c>
      <c r="H46" s="9">
        <v>43717</v>
      </c>
      <c r="I46">
        <v>1</v>
      </c>
      <c r="J46" t="s">
        <v>357</v>
      </c>
      <c r="K46" t="s">
        <v>316</v>
      </c>
      <c r="L46" t="s">
        <v>18</v>
      </c>
      <c r="M46">
        <v>2391</v>
      </c>
      <c r="N46">
        <v>7</v>
      </c>
    </row>
    <row r="47" spans="1:14" x14ac:dyDescent="0.3">
      <c r="A47" t="s">
        <v>441</v>
      </c>
      <c r="B47" t="s">
        <v>442</v>
      </c>
      <c r="C47" t="s">
        <v>443</v>
      </c>
      <c r="D47" t="s">
        <v>11</v>
      </c>
      <c r="E47" t="s">
        <v>82</v>
      </c>
      <c r="F47">
        <v>63555.73</v>
      </c>
      <c r="G47" t="s">
        <v>319</v>
      </c>
      <c r="H47" s="9">
        <v>44159</v>
      </c>
      <c r="I47">
        <v>1</v>
      </c>
      <c r="J47" t="s">
        <v>13</v>
      </c>
      <c r="K47" t="s">
        <v>316</v>
      </c>
      <c r="L47" t="s">
        <v>50</v>
      </c>
      <c r="M47">
        <v>1949</v>
      </c>
      <c r="N47">
        <v>5</v>
      </c>
    </row>
    <row r="48" spans="1:14" x14ac:dyDescent="0.3">
      <c r="A48" t="s">
        <v>444</v>
      </c>
      <c r="B48" t="s">
        <v>445</v>
      </c>
      <c r="C48" t="s">
        <v>446</v>
      </c>
      <c r="D48" t="s">
        <v>24</v>
      </c>
      <c r="E48" t="s">
        <v>37</v>
      </c>
      <c r="F48">
        <v>57419.35</v>
      </c>
      <c r="G48" t="s">
        <v>319</v>
      </c>
      <c r="H48" s="9">
        <v>43305</v>
      </c>
      <c r="I48">
        <v>1</v>
      </c>
      <c r="J48" t="s">
        <v>327</v>
      </c>
      <c r="K48" t="s">
        <v>316</v>
      </c>
      <c r="L48" t="s">
        <v>56</v>
      </c>
      <c r="M48">
        <v>2803</v>
      </c>
      <c r="N48">
        <v>8</v>
      </c>
    </row>
    <row r="49" spans="1:14" x14ac:dyDescent="0.3">
      <c r="A49" t="s">
        <v>447</v>
      </c>
      <c r="B49" t="s">
        <v>448</v>
      </c>
      <c r="C49" t="s">
        <v>449</v>
      </c>
      <c r="D49" t="s">
        <v>11</v>
      </c>
      <c r="E49" t="s">
        <v>67</v>
      </c>
      <c r="F49">
        <v>67818.14</v>
      </c>
      <c r="G49" t="s">
        <v>319</v>
      </c>
      <c r="H49" s="9">
        <v>43406</v>
      </c>
      <c r="I49">
        <v>0.6</v>
      </c>
      <c r="J49" t="s">
        <v>327</v>
      </c>
      <c r="K49" t="s">
        <v>320</v>
      </c>
      <c r="L49" t="s">
        <v>26</v>
      </c>
      <c r="M49">
        <v>2702</v>
      </c>
      <c r="N49">
        <v>7</v>
      </c>
    </row>
    <row r="50" spans="1:14" x14ac:dyDescent="0.3">
      <c r="A50" t="s">
        <v>450</v>
      </c>
      <c r="B50" t="s">
        <v>451</v>
      </c>
      <c r="C50" t="s">
        <v>452</v>
      </c>
      <c r="D50" t="s">
        <v>11</v>
      </c>
      <c r="E50" t="s">
        <v>59</v>
      </c>
      <c r="F50">
        <v>44403.77</v>
      </c>
      <c r="G50" t="s">
        <v>348</v>
      </c>
      <c r="H50" s="9">
        <v>43416</v>
      </c>
      <c r="I50">
        <v>1</v>
      </c>
      <c r="J50" t="s">
        <v>13</v>
      </c>
      <c r="K50" t="s">
        <v>316</v>
      </c>
      <c r="L50" t="s">
        <v>18</v>
      </c>
      <c r="M50">
        <v>2692</v>
      </c>
      <c r="N50">
        <v>7</v>
      </c>
    </row>
    <row r="51" spans="1:14" x14ac:dyDescent="0.3">
      <c r="A51" t="s">
        <v>453</v>
      </c>
      <c r="B51" t="s">
        <v>454</v>
      </c>
      <c r="C51" t="s">
        <v>455</v>
      </c>
      <c r="D51" t="s">
        <v>24</v>
      </c>
      <c r="E51" t="s">
        <v>29</v>
      </c>
      <c r="F51">
        <v>40753.54</v>
      </c>
      <c r="G51" t="s">
        <v>348</v>
      </c>
      <c r="H51" s="9">
        <v>43152</v>
      </c>
      <c r="I51">
        <v>0.6</v>
      </c>
      <c r="J51" t="s">
        <v>13</v>
      </c>
      <c r="K51" t="s">
        <v>320</v>
      </c>
      <c r="L51" t="s">
        <v>14</v>
      </c>
      <c r="M51">
        <v>2956</v>
      </c>
      <c r="N51">
        <v>8</v>
      </c>
    </row>
    <row r="52" spans="1:14" x14ac:dyDescent="0.3">
      <c r="A52" t="s">
        <v>85</v>
      </c>
      <c r="B52" t="s">
        <v>456</v>
      </c>
      <c r="C52" t="s">
        <v>457</v>
      </c>
      <c r="D52" t="s">
        <v>11</v>
      </c>
      <c r="E52" t="s">
        <v>12</v>
      </c>
      <c r="F52">
        <v>102934.09</v>
      </c>
      <c r="G52" t="s">
        <v>315</v>
      </c>
      <c r="H52" s="9">
        <v>44315</v>
      </c>
      <c r="I52">
        <v>1</v>
      </c>
      <c r="J52" t="s">
        <v>13</v>
      </c>
      <c r="K52" t="s">
        <v>316</v>
      </c>
      <c r="L52" t="s">
        <v>18</v>
      </c>
      <c r="M52">
        <v>1793</v>
      </c>
      <c r="N52">
        <v>5</v>
      </c>
    </row>
    <row r="53" spans="1:14" x14ac:dyDescent="0.3">
      <c r="A53" t="s">
        <v>458</v>
      </c>
      <c r="B53" t="s">
        <v>459</v>
      </c>
      <c r="C53" t="s">
        <v>460</v>
      </c>
      <c r="D53" t="s">
        <v>24</v>
      </c>
      <c r="E53" t="s">
        <v>89</v>
      </c>
      <c r="F53">
        <v>68860.399999999994</v>
      </c>
      <c r="G53" t="s">
        <v>319</v>
      </c>
      <c r="H53" s="9">
        <v>43508</v>
      </c>
      <c r="I53">
        <v>0.4</v>
      </c>
      <c r="J53" t="s">
        <v>13</v>
      </c>
      <c r="K53" t="s">
        <v>320</v>
      </c>
      <c r="L53" t="s">
        <v>21</v>
      </c>
      <c r="M53">
        <v>2600</v>
      </c>
      <c r="N53">
        <v>7</v>
      </c>
    </row>
    <row r="54" spans="1:14" x14ac:dyDescent="0.3">
      <c r="A54" t="s">
        <v>461</v>
      </c>
      <c r="B54" t="s">
        <v>462</v>
      </c>
      <c r="C54" t="s">
        <v>463</v>
      </c>
      <c r="D54" t="s">
        <v>24</v>
      </c>
      <c r="E54" t="s">
        <v>12</v>
      </c>
      <c r="F54">
        <v>79567.69</v>
      </c>
      <c r="G54" t="s">
        <v>319</v>
      </c>
      <c r="H54" s="9">
        <v>43272</v>
      </c>
      <c r="I54">
        <v>1</v>
      </c>
      <c r="J54" t="s">
        <v>327</v>
      </c>
      <c r="K54" t="s">
        <v>316</v>
      </c>
      <c r="L54" t="s">
        <v>50</v>
      </c>
      <c r="M54">
        <v>2836</v>
      </c>
      <c r="N54">
        <v>8</v>
      </c>
    </row>
    <row r="55" spans="1:14" x14ac:dyDescent="0.3">
      <c r="A55" t="s">
        <v>117</v>
      </c>
      <c r="B55" t="s">
        <v>464</v>
      </c>
      <c r="C55" t="s">
        <v>465</v>
      </c>
      <c r="D55" t="s">
        <v>11</v>
      </c>
      <c r="E55" t="s">
        <v>44</v>
      </c>
      <c r="F55">
        <v>35943.620000000003</v>
      </c>
      <c r="G55" t="s">
        <v>348</v>
      </c>
      <c r="H55" s="9">
        <v>44078</v>
      </c>
      <c r="I55">
        <v>1</v>
      </c>
      <c r="J55" t="s">
        <v>13</v>
      </c>
      <c r="K55" t="s">
        <v>316</v>
      </c>
      <c r="L55" t="s">
        <v>21</v>
      </c>
      <c r="M55">
        <v>2030</v>
      </c>
      <c r="N55">
        <v>6</v>
      </c>
    </row>
    <row r="56" spans="1:14" x14ac:dyDescent="0.3">
      <c r="A56" t="s">
        <v>466</v>
      </c>
      <c r="B56" t="s">
        <v>467</v>
      </c>
      <c r="C56" t="s">
        <v>468</v>
      </c>
      <c r="D56" t="s">
        <v>11</v>
      </c>
      <c r="E56" t="s">
        <v>12</v>
      </c>
      <c r="F56">
        <v>116767.63</v>
      </c>
      <c r="G56" t="s">
        <v>315</v>
      </c>
      <c r="H56" s="9">
        <v>43949</v>
      </c>
      <c r="I56">
        <v>0.4</v>
      </c>
      <c r="J56" t="s">
        <v>357</v>
      </c>
      <c r="K56" t="s">
        <v>320</v>
      </c>
      <c r="L56" t="s">
        <v>50</v>
      </c>
      <c r="M56">
        <v>2159</v>
      </c>
      <c r="N56">
        <v>6</v>
      </c>
    </row>
    <row r="57" spans="1:14" x14ac:dyDescent="0.3">
      <c r="A57" t="s">
        <v>469</v>
      </c>
      <c r="B57" t="s">
        <v>470</v>
      </c>
      <c r="C57" t="s">
        <v>471</v>
      </c>
      <c r="D57" t="s">
        <v>24</v>
      </c>
      <c r="E57" t="s">
        <v>47</v>
      </c>
      <c r="F57">
        <v>85455.53</v>
      </c>
      <c r="G57" t="s">
        <v>319</v>
      </c>
      <c r="H57" s="9">
        <v>43839</v>
      </c>
      <c r="I57">
        <v>1</v>
      </c>
      <c r="J57" t="s">
        <v>13</v>
      </c>
      <c r="K57" t="s">
        <v>316</v>
      </c>
      <c r="L57" t="s">
        <v>14</v>
      </c>
      <c r="M57">
        <v>2269</v>
      </c>
      <c r="N57">
        <v>6</v>
      </c>
    </row>
    <row r="58" spans="1:14" x14ac:dyDescent="0.3">
      <c r="A58" t="s">
        <v>472</v>
      </c>
      <c r="B58" t="s">
        <v>473</v>
      </c>
      <c r="C58" t="s">
        <v>474</v>
      </c>
      <c r="D58" t="s">
        <v>11</v>
      </c>
      <c r="E58" t="s">
        <v>47</v>
      </c>
      <c r="F58">
        <v>39700.82</v>
      </c>
      <c r="G58" t="s">
        <v>348</v>
      </c>
      <c r="H58" s="9">
        <v>44203</v>
      </c>
      <c r="I58">
        <v>0.8</v>
      </c>
      <c r="J58" t="s">
        <v>13</v>
      </c>
      <c r="K58" t="s">
        <v>320</v>
      </c>
      <c r="L58" t="s">
        <v>50</v>
      </c>
      <c r="M58">
        <v>1905</v>
      </c>
      <c r="N58">
        <v>5</v>
      </c>
    </row>
    <row r="59" spans="1:14" x14ac:dyDescent="0.3">
      <c r="A59" t="s">
        <v>475</v>
      </c>
      <c r="B59" t="s">
        <v>476</v>
      </c>
      <c r="C59" t="s">
        <v>477</v>
      </c>
      <c r="D59" t="s">
        <v>11</v>
      </c>
      <c r="E59" t="s">
        <v>67</v>
      </c>
      <c r="F59">
        <v>38438.239999999998</v>
      </c>
      <c r="G59" t="s">
        <v>348</v>
      </c>
      <c r="H59" s="9">
        <v>43962</v>
      </c>
      <c r="I59">
        <v>1</v>
      </c>
      <c r="J59" t="s">
        <v>13</v>
      </c>
      <c r="K59" t="s">
        <v>316</v>
      </c>
      <c r="L59" t="s">
        <v>50</v>
      </c>
      <c r="M59">
        <v>2146</v>
      </c>
      <c r="N59">
        <v>6</v>
      </c>
    </row>
    <row r="60" spans="1:14" x14ac:dyDescent="0.3">
      <c r="A60" t="s">
        <v>478</v>
      </c>
      <c r="B60" t="s">
        <v>479</v>
      </c>
      <c r="C60" t="s">
        <v>480</v>
      </c>
      <c r="D60" t="s">
        <v>24</v>
      </c>
      <c r="E60" t="s">
        <v>59</v>
      </c>
      <c r="F60">
        <v>50855.53</v>
      </c>
      <c r="G60" t="s">
        <v>319</v>
      </c>
      <c r="H60" s="9">
        <v>44221</v>
      </c>
      <c r="I60">
        <v>1</v>
      </c>
      <c r="J60" t="s">
        <v>13</v>
      </c>
      <c r="K60" t="s">
        <v>316</v>
      </c>
      <c r="L60" t="s">
        <v>14</v>
      </c>
      <c r="M60">
        <v>1887</v>
      </c>
      <c r="N60">
        <v>5</v>
      </c>
    </row>
    <row r="61" spans="1:14" x14ac:dyDescent="0.3">
      <c r="A61" t="s">
        <v>98</v>
      </c>
      <c r="B61" t="s">
        <v>481</v>
      </c>
      <c r="C61" t="s">
        <v>482</v>
      </c>
      <c r="D61" t="s">
        <v>24</v>
      </c>
      <c r="E61" t="s">
        <v>29</v>
      </c>
      <c r="F61">
        <v>37362.300000000003</v>
      </c>
      <c r="G61" t="s">
        <v>348</v>
      </c>
      <c r="H61" s="9">
        <v>43642</v>
      </c>
      <c r="I61">
        <v>1</v>
      </c>
      <c r="J61" t="s">
        <v>13</v>
      </c>
      <c r="K61" t="s">
        <v>316</v>
      </c>
      <c r="L61" t="s">
        <v>56</v>
      </c>
      <c r="M61">
        <v>2466</v>
      </c>
      <c r="N61">
        <v>7</v>
      </c>
    </row>
    <row r="62" spans="1:14" x14ac:dyDescent="0.3">
      <c r="A62" t="s">
        <v>483</v>
      </c>
      <c r="B62" t="s">
        <v>484</v>
      </c>
      <c r="C62" t="s">
        <v>485</v>
      </c>
      <c r="D62" t="s">
        <v>24</v>
      </c>
      <c r="E62" t="s">
        <v>44</v>
      </c>
      <c r="F62">
        <v>72876.91</v>
      </c>
      <c r="G62" t="s">
        <v>319</v>
      </c>
      <c r="H62" s="9">
        <v>43612</v>
      </c>
      <c r="I62">
        <v>0.4</v>
      </c>
      <c r="J62" t="s">
        <v>327</v>
      </c>
      <c r="K62" t="s">
        <v>320</v>
      </c>
      <c r="L62" t="s">
        <v>56</v>
      </c>
      <c r="M62">
        <v>2496</v>
      </c>
      <c r="N62">
        <v>7</v>
      </c>
    </row>
    <row r="63" spans="1:14" x14ac:dyDescent="0.3">
      <c r="A63" t="s">
        <v>486</v>
      </c>
      <c r="B63" t="s">
        <v>487</v>
      </c>
      <c r="C63" t="s">
        <v>488</v>
      </c>
      <c r="D63" t="s">
        <v>11</v>
      </c>
      <c r="E63" t="s">
        <v>34</v>
      </c>
      <c r="F63">
        <v>31042.51</v>
      </c>
      <c r="G63" t="s">
        <v>348</v>
      </c>
      <c r="H63" s="9">
        <v>44473</v>
      </c>
      <c r="I63">
        <v>0.3</v>
      </c>
      <c r="J63" t="s">
        <v>327</v>
      </c>
      <c r="K63" t="s">
        <v>320</v>
      </c>
      <c r="L63" t="s">
        <v>26</v>
      </c>
      <c r="M63">
        <v>1635</v>
      </c>
      <c r="N63">
        <v>4</v>
      </c>
    </row>
    <row r="64" spans="1:14" x14ac:dyDescent="0.3">
      <c r="A64" t="s">
        <v>32</v>
      </c>
      <c r="B64" t="s">
        <v>489</v>
      </c>
      <c r="C64" t="s">
        <v>490</v>
      </c>
      <c r="D64" t="s">
        <v>11</v>
      </c>
      <c r="E64" t="s">
        <v>34</v>
      </c>
      <c r="F64">
        <v>63705.4</v>
      </c>
      <c r="G64" t="s">
        <v>319</v>
      </c>
      <c r="H64" s="9">
        <v>43682</v>
      </c>
      <c r="I64">
        <v>1</v>
      </c>
      <c r="J64" t="s">
        <v>13</v>
      </c>
      <c r="K64" t="s">
        <v>316</v>
      </c>
      <c r="L64" t="s">
        <v>18</v>
      </c>
      <c r="M64">
        <v>2426</v>
      </c>
      <c r="N64">
        <v>7</v>
      </c>
    </row>
    <row r="65" spans="1:14" x14ac:dyDescent="0.3">
      <c r="A65" t="s">
        <v>491</v>
      </c>
      <c r="B65" t="s">
        <v>492</v>
      </c>
      <c r="C65" t="s">
        <v>493</v>
      </c>
      <c r="D65" t="s">
        <v>11</v>
      </c>
      <c r="E65" t="s">
        <v>47</v>
      </c>
      <c r="F65">
        <v>59434.18</v>
      </c>
      <c r="G65" t="s">
        <v>319</v>
      </c>
      <c r="H65" s="9">
        <v>43931</v>
      </c>
      <c r="I65">
        <v>1</v>
      </c>
      <c r="J65" t="s">
        <v>357</v>
      </c>
      <c r="K65" t="s">
        <v>316</v>
      </c>
      <c r="L65" t="s">
        <v>53</v>
      </c>
      <c r="M65">
        <v>2177</v>
      </c>
      <c r="N65">
        <v>6</v>
      </c>
    </row>
    <row r="66" spans="1:14" x14ac:dyDescent="0.3">
      <c r="A66" t="s">
        <v>494</v>
      </c>
      <c r="B66" t="s">
        <v>495</v>
      </c>
      <c r="C66" t="s">
        <v>496</v>
      </c>
      <c r="D66" t="s">
        <v>11</v>
      </c>
      <c r="E66" t="s">
        <v>89</v>
      </c>
      <c r="F66">
        <v>84762.76</v>
      </c>
      <c r="G66" t="s">
        <v>319</v>
      </c>
      <c r="H66" s="9">
        <v>43332</v>
      </c>
      <c r="I66">
        <v>1</v>
      </c>
      <c r="J66" t="s">
        <v>13</v>
      </c>
      <c r="K66" t="s">
        <v>316</v>
      </c>
      <c r="L66" t="s">
        <v>18</v>
      </c>
      <c r="M66">
        <v>2776</v>
      </c>
      <c r="N66">
        <v>8</v>
      </c>
    </row>
    <row r="67" spans="1:14" x14ac:dyDescent="0.3">
      <c r="A67" t="s">
        <v>497</v>
      </c>
      <c r="B67" t="s">
        <v>498</v>
      </c>
      <c r="C67" t="s">
        <v>499</v>
      </c>
      <c r="D67" t="s">
        <v>11</v>
      </c>
      <c r="E67" t="s">
        <v>62</v>
      </c>
      <c r="F67">
        <v>69057.320000000007</v>
      </c>
      <c r="G67" t="s">
        <v>319</v>
      </c>
      <c r="H67" s="9">
        <v>43390</v>
      </c>
      <c r="I67">
        <v>1</v>
      </c>
      <c r="J67" t="s">
        <v>13</v>
      </c>
      <c r="K67" t="s">
        <v>316</v>
      </c>
      <c r="L67" t="s">
        <v>14</v>
      </c>
      <c r="M67">
        <v>2718</v>
      </c>
      <c r="N67">
        <v>7</v>
      </c>
    </row>
    <row r="68" spans="1:14" x14ac:dyDescent="0.3">
      <c r="A68" t="s">
        <v>500</v>
      </c>
      <c r="B68" t="s">
        <v>501</v>
      </c>
      <c r="C68" t="s">
        <v>502</v>
      </c>
      <c r="D68" t="s">
        <v>336</v>
      </c>
      <c r="E68" t="s">
        <v>44</v>
      </c>
      <c r="F68">
        <v>99448.78</v>
      </c>
      <c r="G68" t="s">
        <v>319</v>
      </c>
      <c r="H68" s="9">
        <v>43473</v>
      </c>
      <c r="I68">
        <v>1</v>
      </c>
      <c r="J68" t="s">
        <v>327</v>
      </c>
      <c r="K68" t="s">
        <v>316</v>
      </c>
      <c r="L68" t="s">
        <v>14</v>
      </c>
      <c r="M68">
        <v>2635</v>
      </c>
      <c r="N68">
        <v>7</v>
      </c>
    </row>
    <row r="69" spans="1:14" x14ac:dyDescent="0.3">
      <c r="A69" t="s">
        <v>503</v>
      </c>
      <c r="B69" t="s">
        <v>504</v>
      </c>
      <c r="C69" t="s">
        <v>505</v>
      </c>
      <c r="D69" t="s">
        <v>11</v>
      </c>
      <c r="E69" t="s">
        <v>67</v>
      </c>
      <c r="F69">
        <v>66865.490000000005</v>
      </c>
      <c r="G69" t="s">
        <v>319</v>
      </c>
      <c r="H69" s="9">
        <v>43514</v>
      </c>
      <c r="I69">
        <v>1</v>
      </c>
      <c r="J69" t="s">
        <v>13</v>
      </c>
      <c r="K69" t="s">
        <v>316</v>
      </c>
      <c r="L69" t="s">
        <v>53</v>
      </c>
      <c r="M69">
        <v>2594</v>
      </c>
      <c r="N69">
        <v>7</v>
      </c>
    </row>
    <row r="70" spans="1:14" x14ac:dyDescent="0.3">
      <c r="A70" t="s">
        <v>506</v>
      </c>
      <c r="B70" t="s">
        <v>507</v>
      </c>
      <c r="C70" t="s">
        <v>508</v>
      </c>
      <c r="D70" t="s">
        <v>24</v>
      </c>
      <c r="E70" t="s">
        <v>34</v>
      </c>
      <c r="F70">
        <v>113747.56</v>
      </c>
      <c r="G70" t="s">
        <v>315</v>
      </c>
      <c r="H70" s="9">
        <v>44270</v>
      </c>
      <c r="I70">
        <v>0.7</v>
      </c>
      <c r="J70" t="s">
        <v>357</v>
      </c>
      <c r="K70" t="s">
        <v>320</v>
      </c>
      <c r="L70" t="s">
        <v>21</v>
      </c>
      <c r="M70">
        <v>1838</v>
      </c>
      <c r="N70">
        <v>5</v>
      </c>
    </row>
    <row r="71" spans="1:14" x14ac:dyDescent="0.3">
      <c r="A71" t="s">
        <v>63</v>
      </c>
      <c r="B71" t="s">
        <v>509</v>
      </c>
      <c r="C71" t="s">
        <v>510</v>
      </c>
      <c r="D71" t="s">
        <v>24</v>
      </c>
      <c r="E71" t="s">
        <v>17</v>
      </c>
      <c r="F71">
        <v>85918.61</v>
      </c>
      <c r="G71" t="s">
        <v>319</v>
      </c>
      <c r="H71" s="9">
        <v>43136</v>
      </c>
      <c r="I71">
        <v>1</v>
      </c>
      <c r="J71" t="s">
        <v>13</v>
      </c>
      <c r="K71" t="s">
        <v>316</v>
      </c>
      <c r="L71" t="s">
        <v>21</v>
      </c>
      <c r="M71">
        <v>2972</v>
      </c>
      <c r="N71">
        <v>8</v>
      </c>
    </row>
    <row r="72" spans="1:14" x14ac:dyDescent="0.3">
      <c r="A72" t="s">
        <v>511</v>
      </c>
      <c r="B72" t="s">
        <v>512</v>
      </c>
      <c r="C72" t="s">
        <v>513</v>
      </c>
      <c r="D72" t="s">
        <v>11</v>
      </c>
      <c r="E72" t="s">
        <v>59</v>
      </c>
      <c r="F72">
        <v>51165.37</v>
      </c>
      <c r="G72" t="s">
        <v>319</v>
      </c>
      <c r="H72" s="9">
        <v>44237</v>
      </c>
      <c r="I72">
        <v>1</v>
      </c>
      <c r="J72" t="s">
        <v>327</v>
      </c>
      <c r="K72" t="s">
        <v>316</v>
      </c>
      <c r="L72" t="s">
        <v>18</v>
      </c>
      <c r="M72">
        <v>1871</v>
      </c>
      <c r="N72">
        <v>5</v>
      </c>
    </row>
    <row r="73" spans="1:14" x14ac:dyDescent="0.3">
      <c r="A73" t="s">
        <v>514</v>
      </c>
      <c r="B73" t="s">
        <v>515</v>
      </c>
      <c r="C73" t="s">
        <v>516</v>
      </c>
      <c r="D73" t="s">
        <v>336</v>
      </c>
      <c r="E73" t="s">
        <v>44</v>
      </c>
      <c r="F73">
        <v>67957.899999999994</v>
      </c>
      <c r="G73" t="s">
        <v>319</v>
      </c>
      <c r="H73" s="9">
        <v>43430</v>
      </c>
      <c r="I73">
        <v>1</v>
      </c>
      <c r="J73" t="s">
        <v>13</v>
      </c>
      <c r="K73" t="s">
        <v>316</v>
      </c>
      <c r="L73" t="s">
        <v>50</v>
      </c>
      <c r="M73">
        <v>2678</v>
      </c>
      <c r="N73">
        <v>7</v>
      </c>
    </row>
    <row r="74" spans="1:14" x14ac:dyDescent="0.3">
      <c r="A74" t="s">
        <v>517</v>
      </c>
      <c r="B74" t="s">
        <v>518</v>
      </c>
      <c r="C74" t="s">
        <v>519</v>
      </c>
      <c r="D74" t="s">
        <v>24</v>
      </c>
      <c r="E74" t="s">
        <v>59</v>
      </c>
      <c r="F74">
        <v>114465.93</v>
      </c>
      <c r="G74" t="s">
        <v>315</v>
      </c>
      <c r="H74" s="9">
        <v>43291</v>
      </c>
      <c r="I74">
        <v>1</v>
      </c>
      <c r="J74" t="s">
        <v>357</v>
      </c>
      <c r="K74" t="s">
        <v>316</v>
      </c>
      <c r="L74" t="s">
        <v>14</v>
      </c>
      <c r="M74">
        <v>2817</v>
      </c>
      <c r="N74">
        <v>8</v>
      </c>
    </row>
    <row r="75" spans="1:14" x14ac:dyDescent="0.3">
      <c r="A75" t="s">
        <v>121</v>
      </c>
      <c r="B75" t="s">
        <v>520</v>
      </c>
      <c r="C75" t="s">
        <v>521</v>
      </c>
      <c r="D75" t="s">
        <v>24</v>
      </c>
      <c r="E75" t="s">
        <v>29</v>
      </c>
      <c r="F75">
        <v>65699.02</v>
      </c>
      <c r="G75" t="s">
        <v>319</v>
      </c>
      <c r="H75" s="9">
        <v>43951</v>
      </c>
      <c r="I75">
        <v>1</v>
      </c>
      <c r="J75" t="s">
        <v>13</v>
      </c>
      <c r="K75" t="s">
        <v>316</v>
      </c>
      <c r="L75" t="s">
        <v>21</v>
      </c>
      <c r="M75">
        <v>2157</v>
      </c>
      <c r="N75">
        <v>6</v>
      </c>
    </row>
    <row r="76" spans="1:14" x14ac:dyDescent="0.3">
      <c r="A76" t="s">
        <v>522</v>
      </c>
      <c r="B76" t="s">
        <v>523</v>
      </c>
      <c r="C76" t="s">
        <v>524</v>
      </c>
      <c r="D76" t="s">
        <v>24</v>
      </c>
      <c r="E76" t="s">
        <v>89</v>
      </c>
      <c r="F76">
        <v>83191.95</v>
      </c>
      <c r="G76" t="s">
        <v>319</v>
      </c>
      <c r="H76" s="9">
        <v>43700</v>
      </c>
      <c r="I76">
        <v>0.6</v>
      </c>
      <c r="J76" t="s">
        <v>357</v>
      </c>
      <c r="K76" t="s">
        <v>320</v>
      </c>
      <c r="L76" t="s">
        <v>26</v>
      </c>
      <c r="M76">
        <v>2408</v>
      </c>
      <c r="N76">
        <v>7</v>
      </c>
    </row>
    <row r="77" spans="1:14" x14ac:dyDescent="0.3">
      <c r="A77" t="s">
        <v>525</v>
      </c>
      <c r="B77" t="s">
        <v>526</v>
      </c>
      <c r="C77" t="s">
        <v>527</v>
      </c>
      <c r="D77" t="s">
        <v>24</v>
      </c>
      <c r="E77" t="s">
        <v>67</v>
      </c>
      <c r="F77">
        <v>106775.14</v>
      </c>
      <c r="G77" t="s">
        <v>315</v>
      </c>
      <c r="H77" s="9">
        <v>43563</v>
      </c>
      <c r="I77">
        <v>1</v>
      </c>
      <c r="J77" t="s">
        <v>327</v>
      </c>
      <c r="K77" t="s">
        <v>316</v>
      </c>
      <c r="L77" t="s">
        <v>18</v>
      </c>
      <c r="M77">
        <v>2545</v>
      </c>
      <c r="N77">
        <v>7</v>
      </c>
    </row>
    <row r="78" spans="1:14" x14ac:dyDescent="0.3">
      <c r="A78" t="s">
        <v>528</v>
      </c>
      <c r="B78" t="s">
        <v>529</v>
      </c>
      <c r="C78" t="s">
        <v>530</v>
      </c>
      <c r="D78" t="s">
        <v>24</v>
      </c>
      <c r="E78" t="s">
        <v>44</v>
      </c>
      <c r="F78">
        <v>83396.5</v>
      </c>
      <c r="G78" t="s">
        <v>319</v>
      </c>
      <c r="H78" s="9">
        <v>44285</v>
      </c>
      <c r="I78">
        <v>1</v>
      </c>
      <c r="J78" t="s">
        <v>357</v>
      </c>
      <c r="K78" t="s">
        <v>316</v>
      </c>
      <c r="L78" t="s">
        <v>56</v>
      </c>
      <c r="M78">
        <v>1823</v>
      </c>
      <c r="N78">
        <v>5</v>
      </c>
    </row>
    <row r="79" spans="1:14" x14ac:dyDescent="0.3">
      <c r="A79" t="s">
        <v>531</v>
      </c>
      <c r="B79" t="s">
        <v>532</v>
      </c>
      <c r="C79" t="s">
        <v>533</v>
      </c>
      <c r="D79" t="s">
        <v>24</v>
      </c>
      <c r="E79" t="s">
        <v>34</v>
      </c>
      <c r="F79">
        <v>28481.16</v>
      </c>
      <c r="G79" t="s">
        <v>348</v>
      </c>
      <c r="H79" s="9">
        <v>44228</v>
      </c>
      <c r="I79">
        <v>1</v>
      </c>
      <c r="J79" t="s">
        <v>357</v>
      </c>
      <c r="K79" t="s">
        <v>316</v>
      </c>
      <c r="L79" t="s">
        <v>50</v>
      </c>
      <c r="M79">
        <v>1880</v>
      </c>
      <c r="N79">
        <v>5</v>
      </c>
    </row>
    <row r="80" spans="1:14" x14ac:dyDescent="0.3">
      <c r="A80" t="s">
        <v>102</v>
      </c>
      <c r="B80" t="s">
        <v>534</v>
      </c>
      <c r="C80" t="s">
        <v>535</v>
      </c>
      <c r="D80" t="s">
        <v>24</v>
      </c>
      <c r="E80" t="s">
        <v>89</v>
      </c>
      <c r="F80">
        <v>32192.15</v>
      </c>
      <c r="G80" t="s">
        <v>348</v>
      </c>
      <c r="H80" s="9">
        <v>44473</v>
      </c>
      <c r="I80">
        <v>1</v>
      </c>
      <c r="J80" t="s">
        <v>13</v>
      </c>
      <c r="K80" t="s">
        <v>316</v>
      </c>
      <c r="L80" t="s">
        <v>18</v>
      </c>
      <c r="M80">
        <v>1635</v>
      </c>
      <c r="N80">
        <v>4</v>
      </c>
    </row>
    <row r="81" spans="1:14" x14ac:dyDescent="0.3">
      <c r="A81" t="s">
        <v>51</v>
      </c>
      <c r="B81" t="s">
        <v>536</v>
      </c>
      <c r="C81" t="s">
        <v>537</v>
      </c>
      <c r="D81" t="s">
        <v>24</v>
      </c>
      <c r="E81" t="s">
        <v>59</v>
      </c>
      <c r="F81">
        <v>112645.99</v>
      </c>
      <c r="G81" t="s">
        <v>315</v>
      </c>
      <c r="H81" s="9">
        <v>43759</v>
      </c>
      <c r="I81">
        <v>0.6</v>
      </c>
      <c r="J81" t="s">
        <v>13</v>
      </c>
      <c r="K81" t="s">
        <v>320</v>
      </c>
      <c r="L81" t="s">
        <v>53</v>
      </c>
      <c r="M81">
        <v>2349</v>
      </c>
      <c r="N81">
        <v>6</v>
      </c>
    </row>
    <row r="82" spans="1:14" x14ac:dyDescent="0.3">
      <c r="A82" t="s">
        <v>538</v>
      </c>
      <c r="B82" t="s">
        <v>539</v>
      </c>
      <c r="C82" t="s">
        <v>540</v>
      </c>
      <c r="D82" t="s">
        <v>336</v>
      </c>
      <c r="E82" t="s">
        <v>37</v>
      </c>
      <c r="F82">
        <v>107107.6</v>
      </c>
      <c r="G82" t="s">
        <v>315</v>
      </c>
      <c r="H82" s="9">
        <v>43325</v>
      </c>
      <c r="I82">
        <v>0.9</v>
      </c>
      <c r="J82" t="s">
        <v>13</v>
      </c>
      <c r="K82" t="s">
        <v>320</v>
      </c>
      <c r="L82" t="s">
        <v>50</v>
      </c>
      <c r="M82">
        <v>2783</v>
      </c>
      <c r="N82">
        <v>8</v>
      </c>
    </row>
    <row r="83" spans="1:14" x14ac:dyDescent="0.3">
      <c r="A83" t="s">
        <v>125</v>
      </c>
      <c r="B83" t="s">
        <v>541</v>
      </c>
      <c r="C83" t="s">
        <v>542</v>
      </c>
      <c r="D83" t="s">
        <v>11</v>
      </c>
      <c r="E83" t="s">
        <v>17</v>
      </c>
      <c r="F83">
        <v>80695.740000000005</v>
      </c>
      <c r="G83" t="s">
        <v>319</v>
      </c>
      <c r="H83" s="9">
        <v>43787</v>
      </c>
      <c r="I83">
        <v>0.8</v>
      </c>
      <c r="J83" t="s">
        <v>13</v>
      </c>
      <c r="K83" t="s">
        <v>320</v>
      </c>
      <c r="L83" t="s">
        <v>21</v>
      </c>
      <c r="M83">
        <v>2321</v>
      </c>
      <c r="N83">
        <v>6</v>
      </c>
    </row>
    <row r="84" spans="1:14" x14ac:dyDescent="0.3">
      <c r="A84" t="s">
        <v>543</v>
      </c>
      <c r="B84" t="s">
        <v>544</v>
      </c>
      <c r="C84" t="s">
        <v>545</v>
      </c>
      <c r="D84" t="s">
        <v>11</v>
      </c>
      <c r="E84" t="s">
        <v>67</v>
      </c>
      <c r="F84">
        <v>75475.929999999993</v>
      </c>
      <c r="G84" t="s">
        <v>319</v>
      </c>
      <c r="H84" s="9">
        <v>43794</v>
      </c>
      <c r="I84">
        <v>1</v>
      </c>
      <c r="J84" t="s">
        <v>13</v>
      </c>
      <c r="K84" t="s">
        <v>316</v>
      </c>
      <c r="L84" t="s">
        <v>26</v>
      </c>
      <c r="M84">
        <v>2314</v>
      </c>
      <c r="N84">
        <v>6</v>
      </c>
    </row>
    <row r="85" spans="1:14" x14ac:dyDescent="0.3">
      <c r="A85" t="s">
        <v>546</v>
      </c>
      <c r="B85" t="s">
        <v>547</v>
      </c>
      <c r="C85" t="s">
        <v>548</v>
      </c>
      <c r="D85" t="s">
        <v>11</v>
      </c>
      <c r="E85" t="s">
        <v>17</v>
      </c>
      <c r="F85">
        <v>86558.58</v>
      </c>
      <c r="G85" t="s">
        <v>319</v>
      </c>
      <c r="H85" s="9">
        <v>43887</v>
      </c>
      <c r="I85">
        <v>1</v>
      </c>
      <c r="J85" t="s">
        <v>327</v>
      </c>
      <c r="K85" t="s">
        <v>316</v>
      </c>
      <c r="L85" t="s">
        <v>26</v>
      </c>
      <c r="M85">
        <v>2221</v>
      </c>
      <c r="N85">
        <v>6</v>
      </c>
    </row>
    <row r="86" spans="1:14" x14ac:dyDescent="0.3">
      <c r="A86" t="s">
        <v>45</v>
      </c>
      <c r="B86" t="s">
        <v>549</v>
      </c>
      <c r="C86" t="s">
        <v>550</v>
      </c>
      <c r="D86" t="s">
        <v>11</v>
      </c>
      <c r="E86" t="s">
        <v>47</v>
      </c>
      <c r="F86">
        <v>84309.95</v>
      </c>
      <c r="G86" t="s">
        <v>319</v>
      </c>
      <c r="H86" s="9">
        <v>44501</v>
      </c>
      <c r="I86">
        <v>1</v>
      </c>
      <c r="J86" t="s">
        <v>13</v>
      </c>
      <c r="K86" t="s">
        <v>316</v>
      </c>
      <c r="L86" t="s">
        <v>26</v>
      </c>
      <c r="M86">
        <v>1607</v>
      </c>
      <c r="N86">
        <v>4</v>
      </c>
    </row>
    <row r="87" spans="1:14" x14ac:dyDescent="0.3">
      <c r="A87" t="s">
        <v>54</v>
      </c>
      <c r="B87" t="s">
        <v>551</v>
      </c>
      <c r="C87" t="s">
        <v>552</v>
      </c>
      <c r="D87" t="s">
        <v>24</v>
      </c>
      <c r="E87" t="s">
        <v>37</v>
      </c>
      <c r="F87">
        <v>91645.04</v>
      </c>
      <c r="G87" t="s">
        <v>319</v>
      </c>
      <c r="H87" s="9">
        <v>44223</v>
      </c>
      <c r="I87">
        <v>1</v>
      </c>
      <c r="J87" t="s">
        <v>13</v>
      </c>
      <c r="K87" t="s">
        <v>316</v>
      </c>
      <c r="L87" t="s">
        <v>56</v>
      </c>
      <c r="M87">
        <v>1885</v>
      </c>
      <c r="N87">
        <v>5</v>
      </c>
    </row>
    <row r="88" spans="1:14" x14ac:dyDescent="0.3">
      <c r="A88" t="s">
        <v>553</v>
      </c>
      <c r="B88" t="s">
        <v>554</v>
      </c>
      <c r="C88" t="s">
        <v>555</v>
      </c>
      <c r="D88" t="s">
        <v>11</v>
      </c>
      <c r="E88" t="s">
        <v>12</v>
      </c>
      <c r="F88">
        <v>101187.36</v>
      </c>
      <c r="G88" t="s">
        <v>315</v>
      </c>
      <c r="H88" s="9">
        <v>43258</v>
      </c>
      <c r="I88">
        <v>1</v>
      </c>
      <c r="J88" t="s">
        <v>327</v>
      </c>
      <c r="K88" t="s">
        <v>316</v>
      </c>
      <c r="L88" t="s">
        <v>21</v>
      </c>
      <c r="M88">
        <v>2850</v>
      </c>
      <c r="N88">
        <v>8</v>
      </c>
    </row>
    <row r="89" spans="1:14" x14ac:dyDescent="0.3">
      <c r="A89" t="s">
        <v>435</v>
      </c>
      <c r="B89" t="s">
        <v>436</v>
      </c>
      <c r="C89" t="s">
        <v>437</v>
      </c>
      <c r="D89" t="s">
        <v>24</v>
      </c>
      <c r="E89" t="s">
        <v>17</v>
      </c>
      <c r="F89">
        <v>80169.42</v>
      </c>
      <c r="G89" t="s">
        <v>319</v>
      </c>
      <c r="H89" s="9">
        <v>44053</v>
      </c>
      <c r="I89">
        <v>1</v>
      </c>
      <c r="J89" t="s">
        <v>13</v>
      </c>
      <c r="K89" t="s">
        <v>316</v>
      </c>
      <c r="L89" t="s">
        <v>56</v>
      </c>
      <c r="M89">
        <v>2055</v>
      </c>
      <c r="N89">
        <v>6</v>
      </c>
    </row>
    <row r="90" spans="1:14" x14ac:dyDescent="0.3">
      <c r="A90" t="s">
        <v>556</v>
      </c>
      <c r="B90" t="s">
        <v>557</v>
      </c>
      <c r="C90" t="s">
        <v>558</v>
      </c>
      <c r="D90" t="s">
        <v>11</v>
      </c>
      <c r="E90" t="s">
        <v>82</v>
      </c>
      <c r="F90">
        <v>104038.9</v>
      </c>
      <c r="G90" t="s">
        <v>315</v>
      </c>
      <c r="H90" s="9">
        <v>43815</v>
      </c>
      <c r="I90">
        <v>1</v>
      </c>
      <c r="J90" t="s">
        <v>327</v>
      </c>
      <c r="K90" t="s">
        <v>316</v>
      </c>
      <c r="L90" t="s">
        <v>26</v>
      </c>
      <c r="M90">
        <v>2293</v>
      </c>
      <c r="N90">
        <v>6</v>
      </c>
    </row>
    <row r="91" spans="1:14" x14ac:dyDescent="0.3">
      <c r="A91" t="s">
        <v>559</v>
      </c>
      <c r="B91" t="s">
        <v>560</v>
      </c>
      <c r="C91" t="s">
        <v>561</v>
      </c>
      <c r="D91" t="s">
        <v>11</v>
      </c>
      <c r="E91" t="s">
        <v>47</v>
      </c>
      <c r="F91">
        <v>99683.67</v>
      </c>
      <c r="G91" t="s">
        <v>319</v>
      </c>
      <c r="H91" s="9">
        <v>43500</v>
      </c>
      <c r="I91">
        <v>1</v>
      </c>
      <c r="J91" t="s">
        <v>327</v>
      </c>
      <c r="K91" t="s">
        <v>316</v>
      </c>
      <c r="L91" t="s">
        <v>53</v>
      </c>
      <c r="M91">
        <v>2608</v>
      </c>
      <c r="N91">
        <v>7</v>
      </c>
    </row>
    <row r="92" spans="1:14" x14ac:dyDescent="0.3">
      <c r="A92" t="s">
        <v>562</v>
      </c>
      <c r="B92" t="s">
        <v>563</v>
      </c>
      <c r="C92" t="s">
        <v>564</v>
      </c>
      <c r="D92" t="s">
        <v>24</v>
      </c>
      <c r="E92" t="s">
        <v>59</v>
      </c>
      <c r="F92">
        <v>47362.62</v>
      </c>
      <c r="G92" t="s">
        <v>348</v>
      </c>
      <c r="H92" s="9">
        <v>43973</v>
      </c>
      <c r="I92">
        <v>1</v>
      </c>
      <c r="J92" t="s">
        <v>357</v>
      </c>
      <c r="K92" t="s">
        <v>316</v>
      </c>
      <c r="L92" t="s">
        <v>26</v>
      </c>
      <c r="M92">
        <v>2135</v>
      </c>
      <c r="N92">
        <v>6</v>
      </c>
    </row>
    <row r="93" spans="1:14" x14ac:dyDescent="0.3">
      <c r="A93" t="s">
        <v>15</v>
      </c>
      <c r="B93" t="s">
        <v>565</v>
      </c>
      <c r="C93" t="s">
        <v>566</v>
      </c>
      <c r="D93" t="s">
        <v>11</v>
      </c>
      <c r="E93" t="s">
        <v>17</v>
      </c>
      <c r="F93">
        <v>70649.460000000006</v>
      </c>
      <c r="G93" t="s">
        <v>319</v>
      </c>
      <c r="H93" s="9">
        <v>43843</v>
      </c>
      <c r="I93">
        <v>1</v>
      </c>
      <c r="J93" t="s">
        <v>13</v>
      </c>
      <c r="K93" t="s">
        <v>316</v>
      </c>
      <c r="L93" t="s">
        <v>18</v>
      </c>
      <c r="M93">
        <v>2265</v>
      </c>
      <c r="N93">
        <v>6</v>
      </c>
    </row>
    <row r="94" spans="1:14" x14ac:dyDescent="0.3">
      <c r="A94" t="s">
        <v>567</v>
      </c>
      <c r="B94" t="s">
        <v>568</v>
      </c>
      <c r="C94" t="s">
        <v>569</v>
      </c>
      <c r="D94" t="s">
        <v>11</v>
      </c>
      <c r="E94" t="s">
        <v>34</v>
      </c>
      <c r="F94">
        <v>75733.740000000005</v>
      </c>
      <c r="G94" t="s">
        <v>319</v>
      </c>
      <c r="H94" s="9">
        <v>44382</v>
      </c>
      <c r="I94">
        <v>1</v>
      </c>
      <c r="J94" t="s">
        <v>13</v>
      </c>
      <c r="K94" t="s">
        <v>316</v>
      </c>
      <c r="L94" t="s">
        <v>18</v>
      </c>
      <c r="M94">
        <v>1726</v>
      </c>
      <c r="N94">
        <v>5</v>
      </c>
    </row>
    <row r="95" spans="1:14" x14ac:dyDescent="0.3">
      <c r="A95" t="s">
        <v>570</v>
      </c>
      <c r="B95" t="s">
        <v>571</v>
      </c>
      <c r="C95" t="s">
        <v>572</v>
      </c>
      <c r="D95" t="s">
        <v>11</v>
      </c>
      <c r="E95" t="s">
        <v>37</v>
      </c>
      <c r="F95">
        <v>71823.56</v>
      </c>
      <c r="G95" t="s">
        <v>319</v>
      </c>
      <c r="H95" s="9">
        <v>43374</v>
      </c>
      <c r="I95">
        <v>0.3</v>
      </c>
      <c r="J95" t="s">
        <v>357</v>
      </c>
      <c r="K95" t="s">
        <v>320</v>
      </c>
      <c r="L95" t="s">
        <v>26</v>
      </c>
      <c r="M95">
        <v>2734</v>
      </c>
      <c r="N95">
        <v>7</v>
      </c>
    </row>
    <row r="96" spans="1:14" x14ac:dyDescent="0.3">
      <c r="A96" t="s">
        <v>573</v>
      </c>
      <c r="B96" t="s">
        <v>574</v>
      </c>
      <c r="C96" t="s">
        <v>575</v>
      </c>
      <c r="D96" t="s">
        <v>11</v>
      </c>
      <c r="E96" t="s">
        <v>89</v>
      </c>
      <c r="F96">
        <v>41934.71</v>
      </c>
      <c r="G96" t="s">
        <v>348</v>
      </c>
      <c r="H96" s="9">
        <v>43943</v>
      </c>
      <c r="I96">
        <v>1</v>
      </c>
      <c r="J96" t="s">
        <v>13</v>
      </c>
      <c r="K96" t="s">
        <v>316</v>
      </c>
      <c r="L96" t="s">
        <v>26</v>
      </c>
      <c r="M96">
        <v>2165</v>
      </c>
      <c r="N96">
        <v>6</v>
      </c>
    </row>
    <row r="97" spans="1:14" x14ac:dyDescent="0.3">
      <c r="A97" t="s">
        <v>114</v>
      </c>
      <c r="B97" t="s">
        <v>576</v>
      </c>
      <c r="C97" t="s">
        <v>577</v>
      </c>
      <c r="D97" t="s">
        <v>24</v>
      </c>
      <c r="E97" t="s">
        <v>34</v>
      </c>
      <c r="F97">
        <v>66572.58</v>
      </c>
      <c r="G97" t="s">
        <v>319</v>
      </c>
      <c r="H97" s="9">
        <v>44193</v>
      </c>
      <c r="I97">
        <v>1</v>
      </c>
      <c r="J97" t="s">
        <v>13</v>
      </c>
      <c r="K97" t="s">
        <v>316</v>
      </c>
      <c r="L97" t="s">
        <v>50</v>
      </c>
      <c r="M97">
        <v>1915</v>
      </c>
      <c r="N97">
        <v>5</v>
      </c>
    </row>
    <row r="98" spans="1:14" x14ac:dyDescent="0.3">
      <c r="A98" t="s">
        <v>578</v>
      </c>
      <c r="B98" t="s">
        <v>579</v>
      </c>
      <c r="C98" t="s">
        <v>580</v>
      </c>
      <c r="D98" t="s">
        <v>24</v>
      </c>
      <c r="E98" t="s">
        <v>29</v>
      </c>
      <c r="F98">
        <v>76932.600000000006</v>
      </c>
      <c r="G98" t="s">
        <v>319</v>
      </c>
      <c r="H98" s="9">
        <v>43493</v>
      </c>
      <c r="I98">
        <v>1</v>
      </c>
      <c r="J98" t="s">
        <v>13</v>
      </c>
      <c r="K98" t="s">
        <v>316</v>
      </c>
      <c r="L98" t="s">
        <v>18</v>
      </c>
      <c r="M98">
        <v>2615</v>
      </c>
      <c r="N98">
        <v>7</v>
      </c>
    </row>
    <row r="99" spans="1:14" x14ac:dyDescent="0.3">
      <c r="A99" t="s">
        <v>581</v>
      </c>
      <c r="B99" t="s">
        <v>582</v>
      </c>
      <c r="C99" t="s">
        <v>583</v>
      </c>
      <c r="D99" t="s">
        <v>24</v>
      </c>
      <c r="E99" t="s">
        <v>82</v>
      </c>
      <c r="F99">
        <v>59258.19</v>
      </c>
      <c r="G99" t="s">
        <v>319</v>
      </c>
      <c r="H99" s="9">
        <v>43452</v>
      </c>
      <c r="I99">
        <v>0.8</v>
      </c>
      <c r="J99" t="s">
        <v>13</v>
      </c>
      <c r="K99" t="s">
        <v>320</v>
      </c>
      <c r="L99" t="s">
        <v>53</v>
      </c>
      <c r="M99">
        <v>2656</v>
      </c>
      <c r="N99">
        <v>7</v>
      </c>
    </row>
    <row r="100" spans="1:14" x14ac:dyDescent="0.3">
      <c r="A100" t="s">
        <v>584</v>
      </c>
      <c r="B100" t="s">
        <v>585</v>
      </c>
      <c r="C100" t="s">
        <v>586</v>
      </c>
      <c r="D100" t="s">
        <v>24</v>
      </c>
      <c r="E100" t="s">
        <v>12</v>
      </c>
      <c r="F100">
        <v>112778.28</v>
      </c>
      <c r="G100" t="s">
        <v>315</v>
      </c>
      <c r="H100" s="9">
        <v>43250</v>
      </c>
      <c r="I100">
        <v>1</v>
      </c>
      <c r="J100" t="s">
        <v>327</v>
      </c>
      <c r="K100" t="s">
        <v>316</v>
      </c>
      <c r="L100" t="s">
        <v>26</v>
      </c>
      <c r="M100">
        <v>2858</v>
      </c>
      <c r="N100">
        <v>8</v>
      </c>
    </row>
    <row r="101" spans="1:14" x14ac:dyDescent="0.3">
      <c r="A101" t="s">
        <v>587</v>
      </c>
      <c r="B101" t="s">
        <v>588</v>
      </c>
      <c r="C101" t="s">
        <v>589</v>
      </c>
      <c r="D101" t="s">
        <v>11</v>
      </c>
      <c r="E101" t="s">
        <v>37</v>
      </c>
      <c r="F101">
        <v>44845.33</v>
      </c>
      <c r="G101" t="s">
        <v>348</v>
      </c>
      <c r="H101" s="9">
        <v>43277</v>
      </c>
      <c r="I101">
        <v>1</v>
      </c>
      <c r="J101" t="s">
        <v>13</v>
      </c>
      <c r="K101" t="s">
        <v>316</v>
      </c>
      <c r="L101" t="s">
        <v>53</v>
      </c>
      <c r="M101">
        <v>2831</v>
      </c>
      <c r="N101">
        <v>8</v>
      </c>
    </row>
    <row r="102" spans="1:14" x14ac:dyDescent="0.3">
      <c r="A102" t="s">
        <v>76</v>
      </c>
      <c r="B102" t="s">
        <v>590</v>
      </c>
      <c r="C102" t="s">
        <v>591</v>
      </c>
      <c r="D102" t="s">
        <v>24</v>
      </c>
      <c r="E102" t="s">
        <v>67</v>
      </c>
      <c r="F102">
        <v>115191.38</v>
      </c>
      <c r="G102" t="s">
        <v>315</v>
      </c>
      <c r="H102" s="9">
        <v>44004</v>
      </c>
      <c r="I102">
        <v>1</v>
      </c>
      <c r="J102" t="s">
        <v>13</v>
      </c>
      <c r="K102" t="s">
        <v>316</v>
      </c>
      <c r="L102" t="s">
        <v>18</v>
      </c>
      <c r="M102">
        <v>2104</v>
      </c>
      <c r="N102">
        <v>6</v>
      </c>
    </row>
    <row r="103" spans="1:14" x14ac:dyDescent="0.3">
      <c r="A103" t="s">
        <v>592</v>
      </c>
      <c r="B103" t="s">
        <v>593</v>
      </c>
      <c r="C103" t="s">
        <v>594</v>
      </c>
      <c r="D103" t="s">
        <v>11</v>
      </c>
      <c r="E103" t="s">
        <v>34</v>
      </c>
      <c r="F103">
        <v>111049.84</v>
      </c>
      <c r="G103" t="s">
        <v>315</v>
      </c>
      <c r="H103" s="9">
        <v>44393</v>
      </c>
      <c r="I103">
        <v>1</v>
      </c>
      <c r="J103" t="s">
        <v>13</v>
      </c>
      <c r="K103" t="s">
        <v>316</v>
      </c>
      <c r="L103" t="s">
        <v>14</v>
      </c>
      <c r="M103">
        <v>1715</v>
      </c>
      <c r="N103">
        <v>5</v>
      </c>
    </row>
    <row r="104" spans="1:14" x14ac:dyDescent="0.3">
      <c r="A104" t="s">
        <v>80</v>
      </c>
      <c r="B104" t="s">
        <v>595</v>
      </c>
      <c r="C104" t="s">
        <v>596</v>
      </c>
      <c r="D104" t="s">
        <v>11</v>
      </c>
      <c r="E104" t="s">
        <v>82</v>
      </c>
      <c r="F104">
        <v>75974.990000000005</v>
      </c>
      <c r="G104" t="s">
        <v>319</v>
      </c>
      <c r="H104" s="9">
        <v>44172</v>
      </c>
      <c r="I104">
        <v>1</v>
      </c>
      <c r="J104" t="s">
        <v>13</v>
      </c>
      <c r="K104" t="s">
        <v>316</v>
      </c>
      <c r="L104" t="s">
        <v>26</v>
      </c>
      <c r="M104">
        <v>1936</v>
      </c>
      <c r="N104">
        <v>5</v>
      </c>
    </row>
    <row r="105" spans="1:14" x14ac:dyDescent="0.3">
      <c r="A105" t="s">
        <v>597</v>
      </c>
      <c r="B105" t="s">
        <v>598</v>
      </c>
      <c r="C105" t="s">
        <v>599</v>
      </c>
      <c r="D105" t="s">
        <v>11</v>
      </c>
      <c r="E105" t="s">
        <v>62</v>
      </c>
      <c r="F105">
        <v>42161.77</v>
      </c>
      <c r="G105" t="s">
        <v>348</v>
      </c>
      <c r="H105" s="9">
        <v>43494</v>
      </c>
      <c r="I105">
        <v>1</v>
      </c>
      <c r="J105" t="s">
        <v>13</v>
      </c>
      <c r="K105" t="s">
        <v>316</v>
      </c>
      <c r="L105" t="s">
        <v>56</v>
      </c>
      <c r="M105">
        <v>2614</v>
      </c>
      <c r="N105">
        <v>7</v>
      </c>
    </row>
    <row r="106" spans="1:14" x14ac:dyDescent="0.3">
      <c r="A106" t="s">
        <v>600</v>
      </c>
      <c r="B106" t="s">
        <v>601</v>
      </c>
      <c r="C106" t="s">
        <v>602</v>
      </c>
      <c r="D106" t="s">
        <v>24</v>
      </c>
      <c r="E106" t="s">
        <v>17</v>
      </c>
      <c r="F106">
        <v>71371.37</v>
      </c>
      <c r="G106" t="s">
        <v>319</v>
      </c>
      <c r="H106" s="9">
        <v>43392</v>
      </c>
      <c r="I106">
        <v>1</v>
      </c>
      <c r="J106" t="s">
        <v>13</v>
      </c>
      <c r="K106" t="s">
        <v>316</v>
      </c>
      <c r="L106" t="s">
        <v>18</v>
      </c>
      <c r="M106">
        <v>2716</v>
      </c>
      <c r="N106">
        <v>7</v>
      </c>
    </row>
    <row r="107" spans="1:14" x14ac:dyDescent="0.3">
      <c r="A107" t="s">
        <v>603</v>
      </c>
      <c r="B107" t="s">
        <v>604</v>
      </c>
      <c r="C107" t="s">
        <v>605</v>
      </c>
      <c r="D107" t="s">
        <v>24</v>
      </c>
      <c r="E107" t="s">
        <v>37</v>
      </c>
      <c r="F107">
        <v>49915.14</v>
      </c>
      <c r="G107" t="s">
        <v>348</v>
      </c>
      <c r="H107" s="9">
        <v>43550</v>
      </c>
      <c r="I107">
        <v>1</v>
      </c>
      <c r="J107" t="s">
        <v>13</v>
      </c>
      <c r="K107" t="s">
        <v>316</v>
      </c>
      <c r="L107" t="s">
        <v>26</v>
      </c>
      <c r="M107">
        <v>2558</v>
      </c>
      <c r="N107">
        <v>7</v>
      </c>
    </row>
    <row r="108" spans="1:14" x14ac:dyDescent="0.3">
      <c r="A108" t="s">
        <v>606</v>
      </c>
      <c r="B108" t="s">
        <v>607</v>
      </c>
      <c r="C108" t="s">
        <v>608</v>
      </c>
      <c r="D108" t="s">
        <v>24</v>
      </c>
      <c r="E108" t="s">
        <v>82</v>
      </c>
      <c r="F108">
        <v>37062.1</v>
      </c>
      <c r="G108" t="s">
        <v>348</v>
      </c>
      <c r="H108" s="9">
        <v>44357</v>
      </c>
      <c r="I108">
        <v>1</v>
      </c>
      <c r="J108" t="s">
        <v>357</v>
      </c>
      <c r="K108" t="s">
        <v>316</v>
      </c>
      <c r="L108" t="s">
        <v>50</v>
      </c>
      <c r="M108">
        <v>1751</v>
      </c>
      <c r="N108">
        <v>5</v>
      </c>
    </row>
    <row r="109" spans="1:14" x14ac:dyDescent="0.3">
      <c r="A109" t="s">
        <v>400</v>
      </c>
      <c r="B109" t="s">
        <v>401</v>
      </c>
      <c r="C109" t="s">
        <v>402</v>
      </c>
      <c r="D109" t="s">
        <v>24</v>
      </c>
      <c r="E109" t="s">
        <v>17</v>
      </c>
      <c r="F109">
        <v>90884.32</v>
      </c>
      <c r="G109" t="s">
        <v>319</v>
      </c>
      <c r="H109" s="9">
        <v>43826</v>
      </c>
      <c r="I109">
        <v>1</v>
      </c>
      <c r="J109" t="s">
        <v>13</v>
      </c>
      <c r="K109" t="s">
        <v>316</v>
      </c>
      <c r="L109" t="s">
        <v>21</v>
      </c>
      <c r="M109">
        <v>2282</v>
      </c>
      <c r="N109">
        <v>6</v>
      </c>
    </row>
    <row r="110" spans="1:14" x14ac:dyDescent="0.3">
      <c r="A110" t="s">
        <v>609</v>
      </c>
      <c r="B110" t="s">
        <v>610</v>
      </c>
      <c r="C110" t="s">
        <v>611</v>
      </c>
      <c r="D110" t="s">
        <v>24</v>
      </c>
      <c r="E110" t="s">
        <v>34</v>
      </c>
      <c r="F110">
        <v>89838.77</v>
      </c>
      <c r="G110" t="s">
        <v>319</v>
      </c>
      <c r="H110" s="9">
        <v>43602</v>
      </c>
      <c r="I110">
        <v>1</v>
      </c>
      <c r="J110" t="s">
        <v>13</v>
      </c>
      <c r="K110" t="s">
        <v>316</v>
      </c>
      <c r="L110" t="s">
        <v>26</v>
      </c>
      <c r="M110">
        <v>2506</v>
      </c>
      <c r="N110">
        <v>7</v>
      </c>
    </row>
    <row r="111" spans="1:14" x14ac:dyDescent="0.3">
      <c r="A111" t="s">
        <v>612</v>
      </c>
      <c r="B111" t="s">
        <v>613</v>
      </c>
      <c r="C111" t="s">
        <v>614</v>
      </c>
      <c r="D111" t="s">
        <v>11</v>
      </c>
      <c r="E111" t="s">
        <v>37</v>
      </c>
      <c r="F111">
        <v>68887.839999999997</v>
      </c>
      <c r="G111" t="s">
        <v>319</v>
      </c>
      <c r="H111" s="9">
        <v>43297</v>
      </c>
      <c r="I111">
        <v>1</v>
      </c>
      <c r="J111" t="s">
        <v>13</v>
      </c>
      <c r="K111" t="s">
        <v>316</v>
      </c>
      <c r="L111" t="s">
        <v>26</v>
      </c>
      <c r="M111">
        <v>2811</v>
      </c>
      <c r="N111">
        <v>8</v>
      </c>
    </row>
    <row r="112" spans="1:14" x14ac:dyDescent="0.3">
      <c r="A112" t="s">
        <v>525</v>
      </c>
      <c r="B112" t="s">
        <v>615</v>
      </c>
      <c r="C112" t="s">
        <v>616</v>
      </c>
      <c r="D112" t="s">
        <v>24</v>
      </c>
      <c r="E112" t="s">
        <v>67</v>
      </c>
      <c r="F112">
        <v>106775.14</v>
      </c>
      <c r="G112" t="s">
        <v>315</v>
      </c>
      <c r="H112" s="9">
        <v>43563</v>
      </c>
      <c r="I112">
        <v>1</v>
      </c>
      <c r="J112" t="s">
        <v>327</v>
      </c>
      <c r="K112" t="s">
        <v>316</v>
      </c>
      <c r="L112" t="s">
        <v>18</v>
      </c>
      <c r="M112">
        <v>2545</v>
      </c>
      <c r="N112">
        <v>7</v>
      </c>
    </row>
    <row r="113" spans="1:14" x14ac:dyDescent="0.3">
      <c r="A113" t="s">
        <v>617</v>
      </c>
      <c r="B113" t="s">
        <v>618</v>
      </c>
      <c r="C113" t="s">
        <v>619</v>
      </c>
      <c r="D113" t="s">
        <v>11</v>
      </c>
      <c r="E113" t="s">
        <v>62</v>
      </c>
      <c r="F113">
        <v>89690.38</v>
      </c>
      <c r="G113" t="s">
        <v>319</v>
      </c>
      <c r="H113" s="9">
        <v>43213</v>
      </c>
      <c r="I113">
        <v>1</v>
      </c>
      <c r="J113" t="s">
        <v>13</v>
      </c>
      <c r="K113" t="s">
        <v>316</v>
      </c>
      <c r="L113" t="s">
        <v>18</v>
      </c>
      <c r="M113">
        <v>2895</v>
      </c>
      <c r="N113">
        <v>8</v>
      </c>
    </row>
    <row r="114" spans="1:14" x14ac:dyDescent="0.3">
      <c r="A114" t="s">
        <v>620</v>
      </c>
      <c r="B114" t="s">
        <v>621</v>
      </c>
      <c r="C114" t="s">
        <v>622</v>
      </c>
      <c r="D114" t="s">
        <v>24</v>
      </c>
      <c r="E114" t="s">
        <v>67</v>
      </c>
      <c r="F114">
        <v>111229.47</v>
      </c>
      <c r="G114" t="s">
        <v>315</v>
      </c>
      <c r="H114" s="9">
        <v>43402</v>
      </c>
      <c r="I114">
        <v>1</v>
      </c>
      <c r="J114" t="s">
        <v>13</v>
      </c>
      <c r="K114" t="s">
        <v>316</v>
      </c>
      <c r="L114" t="s">
        <v>26</v>
      </c>
      <c r="M114">
        <v>2706</v>
      </c>
      <c r="N114">
        <v>7</v>
      </c>
    </row>
    <row r="115" spans="1:14" x14ac:dyDescent="0.3">
      <c r="A115" t="s">
        <v>623</v>
      </c>
      <c r="B115" t="s">
        <v>624</v>
      </c>
      <c r="C115" t="s">
        <v>625</v>
      </c>
      <c r="D115" t="s">
        <v>24</v>
      </c>
      <c r="E115" t="s">
        <v>37</v>
      </c>
      <c r="F115">
        <v>67633.850000000006</v>
      </c>
      <c r="G115" t="s">
        <v>319</v>
      </c>
      <c r="H115" s="9">
        <v>43340</v>
      </c>
      <c r="I115">
        <v>1</v>
      </c>
      <c r="J115" t="s">
        <v>13</v>
      </c>
      <c r="K115" t="s">
        <v>316</v>
      </c>
      <c r="L115" t="s">
        <v>21</v>
      </c>
      <c r="M115">
        <v>2768</v>
      </c>
      <c r="N115">
        <v>8</v>
      </c>
    </row>
    <row r="116" spans="1:14" x14ac:dyDescent="0.3">
      <c r="A116" t="s">
        <v>626</v>
      </c>
      <c r="B116" t="s">
        <v>627</v>
      </c>
      <c r="C116" t="s">
        <v>628</v>
      </c>
      <c r="D116" t="s">
        <v>24</v>
      </c>
      <c r="E116" t="s">
        <v>62</v>
      </c>
      <c r="F116">
        <v>111815.49</v>
      </c>
      <c r="G116" t="s">
        <v>315</v>
      </c>
      <c r="H116" s="9">
        <v>43895</v>
      </c>
      <c r="I116">
        <v>0.7</v>
      </c>
      <c r="J116" t="s">
        <v>357</v>
      </c>
      <c r="K116" t="s">
        <v>320</v>
      </c>
      <c r="L116" t="s">
        <v>26</v>
      </c>
      <c r="M116">
        <v>2213</v>
      </c>
      <c r="N116">
        <v>6</v>
      </c>
    </row>
    <row r="117" spans="1:14" x14ac:dyDescent="0.3">
      <c r="A117" t="s">
        <v>629</v>
      </c>
      <c r="B117" t="s">
        <v>630</v>
      </c>
      <c r="C117" t="s">
        <v>631</v>
      </c>
      <c r="D117" t="s">
        <v>24</v>
      </c>
      <c r="E117" t="s">
        <v>17</v>
      </c>
      <c r="F117">
        <v>39784.239999999998</v>
      </c>
      <c r="G117" t="s">
        <v>348</v>
      </c>
      <c r="H117" s="9">
        <v>43465</v>
      </c>
      <c r="I117">
        <v>1</v>
      </c>
      <c r="J117" t="s">
        <v>327</v>
      </c>
      <c r="K117" t="s">
        <v>316</v>
      </c>
      <c r="L117" t="s">
        <v>50</v>
      </c>
      <c r="M117">
        <v>2643</v>
      </c>
      <c r="N117">
        <v>7</v>
      </c>
    </row>
    <row r="118" spans="1:14" x14ac:dyDescent="0.3">
      <c r="A118" t="s">
        <v>632</v>
      </c>
      <c r="B118" t="s">
        <v>633</v>
      </c>
      <c r="C118" t="s">
        <v>634</v>
      </c>
      <c r="D118" t="s">
        <v>11</v>
      </c>
      <c r="E118" t="s">
        <v>67</v>
      </c>
      <c r="F118">
        <v>89829.33</v>
      </c>
      <c r="G118" t="s">
        <v>319</v>
      </c>
      <c r="H118" s="9">
        <v>43794</v>
      </c>
      <c r="I118">
        <v>1</v>
      </c>
      <c r="J118" t="s">
        <v>357</v>
      </c>
      <c r="K118" t="s">
        <v>316</v>
      </c>
      <c r="L118" t="s">
        <v>50</v>
      </c>
      <c r="M118">
        <v>2314</v>
      </c>
      <c r="N118">
        <v>6</v>
      </c>
    </row>
    <row r="119" spans="1:14" x14ac:dyDescent="0.3">
      <c r="A119" t="s">
        <v>626</v>
      </c>
      <c r="B119" t="s">
        <v>627</v>
      </c>
      <c r="C119" t="s">
        <v>628</v>
      </c>
      <c r="D119" t="s">
        <v>24</v>
      </c>
      <c r="E119" t="s">
        <v>62</v>
      </c>
      <c r="F119">
        <v>111815.49</v>
      </c>
      <c r="G119" t="s">
        <v>315</v>
      </c>
      <c r="H119" s="9">
        <v>43895</v>
      </c>
      <c r="I119">
        <v>0.7</v>
      </c>
      <c r="J119" t="s">
        <v>357</v>
      </c>
      <c r="K119" t="s">
        <v>320</v>
      </c>
      <c r="L119" t="s">
        <v>26</v>
      </c>
      <c r="M119">
        <v>2213</v>
      </c>
      <c r="N119">
        <v>6</v>
      </c>
    </row>
    <row r="120" spans="1:14" x14ac:dyDescent="0.3">
      <c r="A120" t="s">
        <v>635</v>
      </c>
      <c r="B120" t="s">
        <v>636</v>
      </c>
      <c r="C120" t="s">
        <v>637</v>
      </c>
      <c r="D120" t="s">
        <v>24</v>
      </c>
      <c r="E120" t="s">
        <v>34</v>
      </c>
      <c r="F120">
        <v>72843.23</v>
      </c>
      <c r="G120" t="s">
        <v>319</v>
      </c>
      <c r="H120" s="9">
        <v>43280</v>
      </c>
      <c r="I120">
        <v>1</v>
      </c>
      <c r="J120" t="s">
        <v>327</v>
      </c>
      <c r="K120" t="s">
        <v>316</v>
      </c>
      <c r="L120" t="s">
        <v>14</v>
      </c>
      <c r="M120">
        <v>2828</v>
      </c>
      <c r="N120">
        <v>8</v>
      </c>
    </row>
    <row r="121" spans="1:14" x14ac:dyDescent="0.3">
      <c r="A121" t="s">
        <v>570</v>
      </c>
      <c r="B121" t="s">
        <v>571</v>
      </c>
      <c r="C121" t="s">
        <v>572</v>
      </c>
      <c r="D121" t="s">
        <v>11</v>
      </c>
      <c r="E121" t="s">
        <v>37</v>
      </c>
      <c r="F121">
        <v>71823.56</v>
      </c>
      <c r="G121" t="s">
        <v>319</v>
      </c>
      <c r="H121" s="9">
        <v>43374</v>
      </c>
      <c r="I121">
        <v>0.3</v>
      </c>
      <c r="J121" t="s">
        <v>357</v>
      </c>
      <c r="K121" t="s">
        <v>320</v>
      </c>
      <c r="L121" t="s">
        <v>26</v>
      </c>
      <c r="M121">
        <v>2734</v>
      </c>
      <c r="N121">
        <v>7</v>
      </c>
    </row>
    <row r="122" spans="1:14" x14ac:dyDescent="0.3">
      <c r="A122" t="s">
        <v>638</v>
      </c>
      <c r="B122" t="s">
        <v>639</v>
      </c>
      <c r="C122" t="s">
        <v>640</v>
      </c>
      <c r="D122" t="s">
        <v>24</v>
      </c>
      <c r="E122" t="s">
        <v>17</v>
      </c>
      <c r="F122">
        <v>88511.17</v>
      </c>
      <c r="G122" t="s">
        <v>319</v>
      </c>
      <c r="H122" s="9">
        <v>43950</v>
      </c>
      <c r="I122">
        <v>1</v>
      </c>
      <c r="J122" t="s">
        <v>13</v>
      </c>
      <c r="K122" t="s">
        <v>316</v>
      </c>
      <c r="L122" t="s">
        <v>21</v>
      </c>
      <c r="M122">
        <v>2158</v>
      </c>
      <c r="N122">
        <v>6</v>
      </c>
    </row>
    <row r="123" spans="1:14" x14ac:dyDescent="0.3">
      <c r="A123" t="s">
        <v>74</v>
      </c>
      <c r="B123" t="s">
        <v>641</v>
      </c>
      <c r="C123" t="s">
        <v>642</v>
      </c>
      <c r="D123" t="s">
        <v>24</v>
      </c>
      <c r="E123" t="s">
        <v>37</v>
      </c>
      <c r="F123">
        <v>36547.58</v>
      </c>
      <c r="G123" t="s">
        <v>348</v>
      </c>
      <c r="H123" s="9">
        <v>43416</v>
      </c>
      <c r="I123">
        <v>1</v>
      </c>
      <c r="J123" t="s">
        <v>13</v>
      </c>
      <c r="K123" t="s">
        <v>316</v>
      </c>
      <c r="L123" t="s">
        <v>26</v>
      </c>
      <c r="M123">
        <v>2692</v>
      </c>
      <c r="N123">
        <v>7</v>
      </c>
    </row>
    <row r="124" spans="1:14" x14ac:dyDescent="0.3">
      <c r="A124" t="s">
        <v>83</v>
      </c>
      <c r="B124" t="s">
        <v>643</v>
      </c>
      <c r="C124" t="s">
        <v>644</v>
      </c>
      <c r="D124" t="s">
        <v>24</v>
      </c>
      <c r="E124" t="s">
        <v>37</v>
      </c>
      <c r="F124">
        <v>95954.02</v>
      </c>
      <c r="G124" t="s">
        <v>319</v>
      </c>
      <c r="H124" s="9">
        <v>43567</v>
      </c>
      <c r="I124">
        <v>0.3</v>
      </c>
      <c r="J124" t="s">
        <v>13</v>
      </c>
      <c r="K124" t="s">
        <v>320</v>
      </c>
      <c r="L124" t="s">
        <v>18</v>
      </c>
      <c r="M124">
        <v>2541</v>
      </c>
      <c r="N124">
        <v>7</v>
      </c>
    </row>
    <row r="125" spans="1:14" x14ac:dyDescent="0.3">
      <c r="A125" t="s">
        <v>645</v>
      </c>
      <c r="B125" t="s">
        <v>646</v>
      </c>
      <c r="C125" t="s">
        <v>647</v>
      </c>
      <c r="D125" t="s">
        <v>11</v>
      </c>
      <c r="E125" t="s">
        <v>12</v>
      </c>
      <c r="F125">
        <v>95677.9</v>
      </c>
      <c r="G125" t="s">
        <v>319</v>
      </c>
      <c r="H125" s="9">
        <v>44396</v>
      </c>
      <c r="I125">
        <v>0.3</v>
      </c>
      <c r="J125" t="s">
        <v>13</v>
      </c>
      <c r="K125" t="s">
        <v>320</v>
      </c>
      <c r="L125" t="s">
        <v>50</v>
      </c>
      <c r="M125">
        <v>1712</v>
      </c>
      <c r="N125">
        <v>5</v>
      </c>
    </row>
    <row r="126" spans="1:14" x14ac:dyDescent="0.3">
      <c r="A126" t="s">
        <v>648</v>
      </c>
      <c r="B126" t="s">
        <v>649</v>
      </c>
      <c r="C126" t="s">
        <v>650</v>
      </c>
      <c r="D126" t="s">
        <v>11</v>
      </c>
      <c r="E126" t="s">
        <v>37</v>
      </c>
      <c r="F126">
        <v>76303.820000000007</v>
      </c>
      <c r="G126" t="s">
        <v>319</v>
      </c>
      <c r="H126" s="9">
        <v>43458</v>
      </c>
      <c r="I126">
        <v>1</v>
      </c>
      <c r="J126" t="s">
        <v>327</v>
      </c>
      <c r="K126" t="s">
        <v>316</v>
      </c>
      <c r="L126" t="s">
        <v>18</v>
      </c>
      <c r="M126">
        <v>2650</v>
      </c>
      <c r="N126">
        <v>7</v>
      </c>
    </row>
    <row r="127" spans="1:14" x14ac:dyDescent="0.3">
      <c r="A127" t="s">
        <v>651</v>
      </c>
      <c r="B127" t="s">
        <v>652</v>
      </c>
      <c r="C127" t="s">
        <v>653</v>
      </c>
      <c r="D127" t="s">
        <v>24</v>
      </c>
      <c r="E127" t="s">
        <v>34</v>
      </c>
      <c r="F127">
        <v>99460.78</v>
      </c>
      <c r="G127" t="s">
        <v>319</v>
      </c>
      <c r="H127" s="9">
        <v>43956</v>
      </c>
      <c r="I127">
        <v>1</v>
      </c>
      <c r="J127" t="s">
        <v>13</v>
      </c>
      <c r="K127" t="s">
        <v>316</v>
      </c>
      <c r="L127" t="s">
        <v>26</v>
      </c>
      <c r="M127">
        <v>2152</v>
      </c>
      <c r="N127">
        <v>6</v>
      </c>
    </row>
    <row r="128" spans="1:14" x14ac:dyDescent="0.3">
      <c r="A128" t="s">
        <v>654</v>
      </c>
      <c r="B128" t="s">
        <v>655</v>
      </c>
      <c r="C128" t="s">
        <v>656</v>
      </c>
      <c r="D128" t="s">
        <v>11</v>
      </c>
      <c r="E128" t="s">
        <v>82</v>
      </c>
      <c r="F128">
        <v>88034.67</v>
      </c>
      <c r="G128" t="s">
        <v>319</v>
      </c>
      <c r="H128" s="9">
        <v>43669</v>
      </c>
      <c r="I128">
        <v>1</v>
      </c>
      <c r="J128" t="s">
        <v>13</v>
      </c>
      <c r="K128" t="s">
        <v>316</v>
      </c>
      <c r="L128" t="s">
        <v>26</v>
      </c>
      <c r="M128">
        <v>2439</v>
      </c>
      <c r="N128">
        <v>7</v>
      </c>
    </row>
    <row r="129" spans="1:14" x14ac:dyDescent="0.3">
      <c r="A129" t="s">
        <v>657</v>
      </c>
      <c r="B129" t="s">
        <v>658</v>
      </c>
      <c r="C129" t="s">
        <v>659</v>
      </c>
      <c r="D129" t="s">
        <v>11</v>
      </c>
      <c r="E129" t="s">
        <v>47</v>
      </c>
      <c r="F129">
        <v>44447.26</v>
      </c>
      <c r="G129" t="s">
        <v>348</v>
      </c>
      <c r="H129" s="9">
        <v>43846</v>
      </c>
      <c r="I129">
        <v>0.4</v>
      </c>
      <c r="J129" t="s">
        <v>13</v>
      </c>
      <c r="K129" t="s">
        <v>320</v>
      </c>
      <c r="L129" t="s">
        <v>53</v>
      </c>
      <c r="M129">
        <v>2262</v>
      </c>
      <c r="N129">
        <v>6</v>
      </c>
    </row>
    <row r="130" spans="1:14" x14ac:dyDescent="0.3">
      <c r="A130" t="s">
        <v>660</v>
      </c>
      <c r="B130" t="s">
        <v>661</v>
      </c>
      <c r="C130" t="s">
        <v>662</v>
      </c>
      <c r="D130" t="s">
        <v>24</v>
      </c>
      <c r="E130" t="s">
        <v>67</v>
      </c>
      <c r="F130">
        <v>40445.29</v>
      </c>
      <c r="G130" t="s">
        <v>348</v>
      </c>
      <c r="H130" s="9">
        <v>44393</v>
      </c>
      <c r="I130">
        <v>1</v>
      </c>
      <c r="J130" t="s">
        <v>13</v>
      </c>
      <c r="K130" t="s">
        <v>316</v>
      </c>
      <c r="L130" t="s">
        <v>50</v>
      </c>
      <c r="M130">
        <v>1715</v>
      </c>
      <c r="N130">
        <v>5</v>
      </c>
    </row>
    <row r="131" spans="1:14" x14ac:dyDescent="0.3">
      <c r="A131" t="s">
        <v>126</v>
      </c>
      <c r="B131" t="s">
        <v>663</v>
      </c>
      <c r="C131" t="s">
        <v>664</v>
      </c>
      <c r="D131" t="s">
        <v>11</v>
      </c>
      <c r="E131" t="s">
        <v>47</v>
      </c>
      <c r="F131">
        <v>92336.08</v>
      </c>
      <c r="G131" t="s">
        <v>319</v>
      </c>
      <c r="H131" s="9">
        <v>44431</v>
      </c>
      <c r="I131">
        <v>1</v>
      </c>
      <c r="J131" t="s">
        <v>13</v>
      </c>
      <c r="K131" t="s">
        <v>316</v>
      </c>
      <c r="L131" t="s">
        <v>18</v>
      </c>
      <c r="M131">
        <v>1677</v>
      </c>
      <c r="N131">
        <v>5</v>
      </c>
    </row>
    <row r="132" spans="1:14" x14ac:dyDescent="0.3">
      <c r="A132" t="s">
        <v>665</v>
      </c>
      <c r="B132" t="s">
        <v>666</v>
      </c>
      <c r="C132" t="s">
        <v>667</v>
      </c>
      <c r="D132" t="s">
        <v>11</v>
      </c>
      <c r="E132" t="s">
        <v>29</v>
      </c>
      <c r="F132">
        <v>68008.55</v>
      </c>
      <c r="G132" t="s">
        <v>319</v>
      </c>
      <c r="H132" s="9">
        <v>44062</v>
      </c>
      <c r="I132">
        <v>1</v>
      </c>
      <c r="J132" t="s">
        <v>13</v>
      </c>
      <c r="K132" t="s">
        <v>316</v>
      </c>
      <c r="L132" t="s">
        <v>56</v>
      </c>
      <c r="M132">
        <v>2046</v>
      </c>
      <c r="N132">
        <v>6</v>
      </c>
    </row>
    <row r="133" spans="1:14" x14ac:dyDescent="0.3">
      <c r="A133" t="s">
        <v>668</v>
      </c>
      <c r="B133" t="s">
        <v>669</v>
      </c>
      <c r="C133" t="s">
        <v>670</v>
      </c>
      <c r="D133" t="s">
        <v>24</v>
      </c>
      <c r="E133" t="s">
        <v>67</v>
      </c>
      <c r="F133">
        <v>74924.649999999994</v>
      </c>
      <c r="G133" t="s">
        <v>319</v>
      </c>
      <c r="H133" s="9">
        <v>44239</v>
      </c>
      <c r="I133">
        <v>1</v>
      </c>
      <c r="J133" t="s">
        <v>13</v>
      </c>
      <c r="K133" t="s">
        <v>316</v>
      </c>
      <c r="L133" t="s">
        <v>18</v>
      </c>
      <c r="M133">
        <v>1869</v>
      </c>
      <c r="N133">
        <v>5</v>
      </c>
    </row>
    <row r="134" spans="1:14" x14ac:dyDescent="0.3">
      <c r="A134" t="s">
        <v>671</v>
      </c>
      <c r="B134" t="s">
        <v>672</v>
      </c>
      <c r="C134" t="s">
        <v>673</v>
      </c>
      <c r="D134" t="s">
        <v>24</v>
      </c>
      <c r="E134" t="s">
        <v>62</v>
      </c>
      <c r="F134">
        <v>88689.09</v>
      </c>
      <c r="G134" t="s">
        <v>319</v>
      </c>
      <c r="H134" s="9">
        <v>43740</v>
      </c>
      <c r="I134">
        <v>1</v>
      </c>
      <c r="J134" t="s">
        <v>13</v>
      </c>
      <c r="K134" t="s">
        <v>316</v>
      </c>
      <c r="L134" t="s">
        <v>53</v>
      </c>
      <c r="M134">
        <v>2368</v>
      </c>
      <c r="N134">
        <v>6</v>
      </c>
    </row>
    <row r="135" spans="1:14" x14ac:dyDescent="0.3">
      <c r="A135" t="s">
        <v>674</v>
      </c>
      <c r="B135" t="s">
        <v>675</v>
      </c>
      <c r="C135" t="s">
        <v>676</v>
      </c>
      <c r="D135" t="s">
        <v>11</v>
      </c>
      <c r="E135" t="s">
        <v>47</v>
      </c>
      <c r="F135">
        <v>96555.53</v>
      </c>
      <c r="G135" t="s">
        <v>319</v>
      </c>
      <c r="H135" s="9">
        <v>43489</v>
      </c>
      <c r="I135">
        <v>0.2</v>
      </c>
      <c r="J135" t="s">
        <v>357</v>
      </c>
      <c r="K135" t="s">
        <v>320</v>
      </c>
      <c r="L135" t="s">
        <v>18</v>
      </c>
      <c r="M135">
        <v>2619</v>
      </c>
      <c r="N135">
        <v>7</v>
      </c>
    </row>
    <row r="136" spans="1:14" x14ac:dyDescent="0.3">
      <c r="A136" t="s">
        <v>677</v>
      </c>
      <c r="B136" t="s">
        <v>678</v>
      </c>
      <c r="C136" t="s">
        <v>679</v>
      </c>
      <c r="D136" t="s">
        <v>11</v>
      </c>
      <c r="E136" t="s">
        <v>82</v>
      </c>
      <c r="F136">
        <v>71924.850000000006</v>
      </c>
      <c r="G136" t="s">
        <v>319</v>
      </c>
      <c r="H136" s="9">
        <v>43822</v>
      </c>
      <c r="I136">
        <v>1</v>
      </c>
      <c r="J136" t="s">
        <v>13</v>
      </c>
      <c r="K136" t="s">
        <v>316</v>
      </c>
      <c r="L136" t="s">
        <v>50</v>
      </c>
      <c r="M136">
        <v>2286</v>
      </c>
      <c r="N136">
        <v>6</v>
      </c>
    </row>
    <row r="137" spans="1:14" x14ac:dyDescent="0.3">
      <c r="A137" t="s">
        <v>680</v>
      </c>
      <c r="B137" t="s">
        <v>681</v>
      </c>
      <c r="C137" t="s">
        <v>682</v>
      </c>
      <c r="D137" t="s">
        <v>24</v>
      </c>
      <c r="E137" t="s">
        <v>67</v>
      </c>
      <c r="F137">
        <v>31241.24</v>
      </c>
      <c r="G137" t="s">
        <v>348</v>
      </c>
      <c r="H137" s="9">
        <v>43725</v>
      </c>
      <c r="I137">
        <v>1</v>
      </c>
      <c r="J137" t="s">
        <v>13</v>
      </c>
      <c r="K137" t="s">
        <v>316</v>
      </c>
      <c r="L137" t="s">
        <v>26</v>
      </c>
      <c r="M137">
        <v>2383</v>
      </c>
      <c r="N137">
        <v>7</v>
      </c>
    </row>
    <row r="138" spans="1:14" x14ac:dyDescent="0.3">
      <c r="A138" t="s">
        <v>136</v>
      </c>
      <c r="B138" t="s">
        <v>683</v>
      </c>
      <c r="C138" t="s">
        <v>684</v>
      </c>
      <c r="D138" t="s">
        <v>24</v>
      </c>
      <c r="E138" t="s">
        <v>17</v>
      </c>
      <c r="F138">
        <v>110042.37</v>
      </c>
      <c r="G138" t="s">
        <v>315</v>
      </c>
      <c r="H138" s="9">
        <v>43914</v>
      </c>
      <c r="I138">
        <v>1</v>
      </c>
      <c r="J138" t="s">
        <v>13</v>
      </c>
      <c r="K138" t="s">
        <v>316</v>
      </c>
      <c r="L138" t="s">
        <v>21</v>
      </c>
      <c r="M138">
        <v>2194</v>
      </c>
      <c r="N138">
        <v>6</v>
      </c>
    </row>
    <row r="139" spans="1:14" x14ac:dyDescent="0.3">
      <c r="A139" t="s">
        <v>361</v>
      </c>
      <c r="B139" t="s">
        <v>685</v>
      </c>
      <c r="C139" t="s">
        <v>686</v>
      </c>
      <c r="D139" t="s">
        <v>11</v>
      </c>
      <c r="E139" t="s">
        <v>12</v>
      </c>
      <c r="F139">
        <v>37902.35</v>
      </c>
      <c r="G139" t="s">
        <v>348</v>
      </c>
      <c r="H139" s="9">
        <v>43823</v>
      </c>
      <c r="I139">
        <v>1</v>
      </c>
      <c r="J139" t="s">
        <v>13</v>
      </c>
      <c r="K139" t="s">
        <v>316</v>
      </c>
      <c r="L139" t="s">
        <v>50</v>
      </c>
      <c r="M139">
        <v>2285</v>
      </c>
      <c r="N139">
        <v>6</v>
      </c>
    </row>
    <row r="140" spans="1:14" x14ac:dyDescent="0.3">
      <c r="A140" t="s">
        <v>687</v>
      </c>
      <c r="B140" t="s">
        <v>688</v>
      </c>
      <c r="C140" t="s">
        <v>689</v>
      </c>
      <c r="D140" t="s">
        <v>11</v>
      </c>
      <c r="E140" t="s">
        <v>17</v>
      </c>
      <c r="F140">
        <v>33031.26</v>
      </c>
      <c r="G140" t="s">
        <v>348</v>
      </c>
      <c r="H140" s="9">
        <v>43468</v>
      </c>
      <c r="I140">
        <v>0.4</v>
      </c>
      <c r="J140" t="s">
        <v>13</v>
      </c>
      <c r="K140" t="s">
        <v>320</v>
      </c>
      <c r="L140" t="s">
        <v>18</v>
      </c>
      <c r="M140">
        <v>2640</v>
      </c>
      <c r="N140">
        <v>7</v>
      </c>
    </row>
    <row r="141" spans="1:14" x14ac:dyDescent="0.3">
      <c r="A141" t="s">
        <v>690</v>
      </c>
      <c r="B141" t="s">
        <v>691</v>
      </c>
      <c r="C141" t="s">
        <v>692</v>
      </c>
      <c r="D141" t="s">
        <v>11</v>
      </c>
      <c r="E141" t="s">
        <v>34</v>
      </c>
      <c r="F141">
        <v>32496.880000000001</v>
      </c>
      <c r="G141" t="s">
        <v>348</v>
      </c>
      <c r="H141" s="9">
        <v>43234</v>
      </c>
      <c r="I141">
        <v>1</v>
      </c>
      <c r="J141" t="s">
        <v>357</v>
      </c>
      <c r="K141" t="s">
        <v>316</v>
      </c>
      <c r="L141" t="s">
        <v>26</v>
      </c>
      <c r="M141">
        <v>2874</v>
      </c>
      <c r="N141">
        <v>8</v>
      </c>
    </row>
    <row r="142" spans="1:14" x14ac:dyDescent="0.3">
      <c r="A142" t="s">
        <v>92</v>
      </c>
      <c r="B142" t="s">
        <v>693</v>
      </c>
      <c r="C142" t="s">
        <v>694</v>
      </c>
      <c r="D142" t="s">
        <v>11</v>
      </c>
      <c r="E142" t="s">
        <v>62</v>
      </c>
      <c r="F142">
        <v>81897.789999999994</v>
      </c>
      <c r="G142" t="s">
        <v>319</v>
      </c>
      <c r="H142" s="9">
        <v>43146</v>
      </c>
      <c r="I142">
        <v>1</v>
      </c>
      <c r="J142" t="s">
        <v>13</v>
      </c>
      <c r="K142" t="s">
        <v>316</v>
      </c>
      <c r="L142" t="s">
        <v>56</v>
      </c>
      <c r="M142">
        <v>2962</v>
      </c>
      <c r="N142">
        <v>8</v>
      </c>
    </row>
    <row r="143" spans="1:14" x14ac:dyDescent="0.3">
      <c r="A143" t="s">
        <v>695</v>
      </c>
      <c r="B143" t="s">
        <v>696</v>
      </c>
      <c r="C143" t="s">
        <v>697</v>
      </c>
      <c r="D143" t="s">
        <v>24</v>
      </c>
      <c r="E143" t="s">
        <v>59</v>
      </c>
      <c r="F143">
        <v>108872.77</v>
      </c>
      <c r="G143" t="s">
        <v>315</v>
      </c>
      <c r="H143" s="9">
        <v>43521</v>
      </c>
      <c r="I143">
        <v>1</v>
      </c>
      <c r="J143" t="s">
        <v>13</v>
      </c>
      <c r="K143" t="s">
        <v>316</v>
      </c>
      <c r="L143" t="s">
        <v>26</v>
      </c>
      <c r="M143">
        <v>2587</v>
      </c>
      <c r="N143">
        <v>7</v>
      </c>
    </row>
    <row r="144" spans="1:14" x14ac:dyDescent="0.3">
      <c r="A144" t="s">
        <v>698</v>
      </c>
      <c r="B144" t="s">
        <v>699</v>
      </c>
      <c r="C144" t="s">
        <v>700</v>
      </c>
      <c r="D144" t="s">
        <v>24</v>
      </c>
      <c r="E144" t="s">
        <v>29</v>
      </c>
      <c r="F144">
        <v>89605.13</v>
      </c>
      <c r="G144" t="s">
        <v>319</v>
      </c>
      <c r="H144" s="9">
        <v>43258</v>
      </c>
      <c r="I144">
        <v>1</v>
      </c>
      <c r="J144" t="s">
        <v>13</v>
      </c>
      <c r="K144" t="s">
        <v>316</v>
      </c>
      <c r="L144" t="s">
        <v>53</v>
      </c>
      <c r="M144">
        <v>2850</v>
      </c>
      <c r="N144">
        <v>8</v>
      </c>
    </row>
    <row r="145" spans="1:14" x14ac:dyDescent="0.3">
      <c r="A145" t="s">
        <v>701</v>
      </c>
      <c r="B145" t="s">
        <v>702</v>
      </c>
      <c r="C145" t="s">
        <v>703</v>
      </c>
      <c r="D145" t="s">
        <v>336</v>
      </c>
      <c r="E145" t="s">
        <v>34</v>
      </c>
      <c r="F145">
        <v>63447.07</v>
      </c>
      <c r="G145" t="s">
        <v>319</v>
      </c>
      <c r="H145" s="9">
        <v>44148</v>
      </c>
      <c r="I145">
        <v>1</v>
      </c>
      <c r="J145" t="s">
        <v>357</v>
      </c>
      <c r="K145" t="s">
        <v>316</v>
      </c>
      <c r="L145" t="s">
        <v>14</v>
      </c>
      <c r="M145">
        <v>1960</v>
      </c>
      <c r="N145">
        <v>5</v>
      </c>
    </row>
    <row r="146" spans="1:14" x14ac:dyDescent="0.3">
      <c r="A146" t="s">
        <v>704</v>
      </c>
      <c r="B146" t="s">
        <v>705</v>
      </c>
      <c r="C146" t="s">
        <v>706</v>
      </c>
      <c r="D146" t="s">
        <v>11</v>
      </c>
      <c r="E146" t="s">
        <v>67</v>
      </c>
      <c r="F146">
        <v>106665.67</v>
      </c>
      <c r="G146" t="s">
        <v>315</v>
      </c>
      <c r="H146" s="9">
        <v>43311</v>
      </c>
      <c r="I146">
        <v>1</v>
      </c>
      <c r="J146" t="s">
        <v>357</v>
      </c>
      <c r="K146" t="s">
        <v>316</v>
      </c>
      <c r="L146" t="s">
        <v>21</v>
      </c>
      <c r="M146">
        <v>2797</v>
      </c>
      <c r="N146">
        <v>8</v>
      </c>
    </row>
    <row r="147" spans="1:14" x14ac:dyDescent="0.3">
      <c r="A147" t="s">
        <v>707</v>
      </c>
      <c r="B147" t="s">
        <v>708</v>
      </c>
      <c r="C147" t="s">
        <v>709</v>
      </c>
      <c r="D147" t="s">
        <v>24</v>
      </c>
      <c r="E147" t="s">
        <v>62</v>
      </c>
      <c r="F147">
        <v>100424.23</v>
      </c>
      <c r="G147" t="s">
        <v>315</v>
      </c>
      <c r="H147" s="9">
        <v>43801</v>
      </c>
      <c r="I147">
        <v>1</v>
      </c>
      <c r="J147" t="s">
        <v>13</v>
      </c>
      <c r="K147" t="s">
        <v>316</v>
      </c>
      <c r="L147" t="s">
        <v>56</v>
      </c>
      <c r="M147">
        <v>2307</v>
      </c>
      <c r="N147">
        <v>6</v>
      </c>
    </row>
    <row r="148" spans="1:14" x14ac:dyDescent="0.3">
      <c r="A148" t="s">
        <v>710</v>
      </c>
      <c r="B148" t="s">
        <v>711</v>
      </c>
      <c r="C148" t="s">
        <v>712</v>
      </c>
      <c r="D148" t="s">
        <v>24</v>
      </c>
      <c r="E148" t="s">
        <v>62</v>
      </c>
      <c r="F148">
        <v>47646.95</v>
      </c>
      <c r="G148" t="s">
        <v>348</v>
      </c>
      <c r="H148" s="9">
        <v>43791</v>
      </c>
      <c r="I148">
        <v>0.3</v>
      </c>
      <c r="J148" t="s">
        <v>327</v>
      </c>
      <c r="K148" t="s">
        <v>320</v>
      </c>
      <c r="L148" t="s">
        <v>50</v>
      </c>
      <c r="M148">
        <v>2317</v>
      </c>
      <c r="N148">
        <v>6</v>
      </c>
    </row>
    <row r="149" spans="1:14" x14ac:dyDescent="0.3">
      <c r="A149" t="s">
        <v>713</v>
      </c>
      <c r="B149" t="s">
        <v>714</v>
      </c>
      <c r="C149" t="s">
        <v>715</v>
      </c>
      <c r="D149" t="s">
        <v>24</v>
      </c>
      <c r="E149" t="s">
        <v>34</v>
      </c>
      <c r="F149">
        <v>28481.16</v>
      </c>
      <c r="G149" t="s">
        <v>348</v>
      </c>
      <c r="H149" s="9">
        <v>43916</v>
      </c>
      <c r="I149">
        <v>1</v>
      </c>
      <c r="J149" t="s">
        <v>13</v>
      </c>
      <c r="K149" t="s">
        <v>316</v>
      </c>
      <c r="L149" t="s">
        <v>18</v>
      </c>
      <c r="M149">
        <v>2192</v>
      </c>
      <c r="N149">
        <v>6</v>
      </c>
    </row>
    <row r="150" spans="1:14" x14ac:dyDescent="0.3">
      <c r="A150" t="s">
        <v>108</v>
      </c>
      <c r="B150" t="s">
        <v>716</v>
      </c>
      <c r="C150" t="s">
        <v>717</v>
      </c>
      <c r="D150" t="s">
        <v>11</v>
      </c>
      <c r="E150" t="s">
        <v>89</v>
      </c>
      <c r="F150">
        <v>39535.49</v>
      </c>
      <c r="G150" t="s">
        <v>348</v>
      </c>
      <c r="H150" s="9">
        <v>43397</v>
      </c>
      <c r="I150">
        <v>0.3</v>
      </c>
      <c r="J150" t="s">
        <v>13</v>
      </c>
      <c r="K150" t="s">
        <v>320</v>
      </c>
      <c r="L150" t="s">
        <v>26</v>
      </c>
      <c r="M150">
        <v>2711</v>
      </c>
      <c r="N150">
        <v>7</v>
      </c>
    </row>
    <row r="151" spans="1:14" x14ac:dyDescent="0.3">
      <c r="A151" t="s">
        <v>718</v>
      </c>
      <c r="B151" t="s">
        <v>719</v>
      </c>
      <c r="C151" t="s">
        <v>720</v>
      </c>
      <c r="D151" t="s">
        <v>24</v>
      </c>
      <c r="E151" t="s">
        <v>82</v>
      </c>
      <c r="F151">
        <v>95017.1</v>
      </c>
      <c r="G151" t="s">
        <v>319</v>
      </c>
      <c r="H151" s="9">
        <v>43283</v>
      </c>
      <c r="I151">
        <v>1</v>
      </c>
      <c r="J151" t="s">
        <v>327</v>
      </c>
      <c r="K151" t="s">
        <v>316</v>
      </c>
      <c r="L151" t="s">
        <v>53</v>
      </c>
      <c r="M151">
        <v>2825</v>
      </c>
      <c r="N151">
        <v>8</v>
      </c>
    </row>
    <row r="152" spans="1:14" x14ac:dyDescent="0.3">
      <c r="A152" t="s">
        <v>721</v>
      </c>
      <c r="B152" t="s">
        <v>722</v>
      </c>
      <c r="C152" t="s">
        <v>723</v>
      </c>
      <c r="D152" t="s">
        <v>24</v>
      </c>
      <c r="E152" t="s">
        <v>17</v>
      </c>
      <c r="F152">
        <v>69764.100000000006</v>
      </c>
      <c r="G152" t="s">
        <v>319</v>
      </c>
      <c r="H152" s="9">
        <v>44195</v>
      </c>
      <c r="I152">
        <v>1</v>
      </c>
      <c r="J152" t="s">
        <v>327</v>
      </c>
      <c r="K152" t="s">
        <v>316</v>
      </c>
      <c r="L152" t="s">
        <v>53</v>
      </c>
      <c r="M152">
        <v>1913</v>
      </c>
      <c r="N152">
        <v>5</v>
      </c>
    </row>
    <row r="153" spans="1:14" x14ac:dyDescent="0.3">
      <c r="A153" t="s">
        <v>724</v>
      </c>
      <c r="B153" t="s">
        <v>725</v>
      </c>
      <c r="C153" t="s">
        <v>726</v>
      </c>
      <c r="D153" t="s">
        <v>11</v>
      </c>
      <c r="E153" t="s">
        <v>89</v>
      </c>
      <c r="F153">
        <v>84598.88</v>
      </c>
      <c r="G153" t="s">
        <v>319</v>
      </c>
      <c r="H153" s="9">
        <v>44116</v>
      </c>
      <c r="I153">
        <v>1</v>
      </c>
      <c r="J153" t="s">
        <v>327</v>
      </c>
      <c r="K153" t="s">
        <v>316</v>
      </c>
      <c r="L153" t="s">
        <v>53</v>
      </c>
      <c r="M153">
        <v>1992</v>
      </c>
      <c r="N153">
        <v>5</v>
      </c>
    </row>
    <row r="154" spans="1:14" x14ac:dyDescent="0.3">
      <c r="A154" t="s">
        <v>727</v>
      </c>
      <c r="B154" t="s">
        <v>728</v>
      </c>
      <c r="C154" t="s">
        <v>729</v>
      </c>
      <c r="D154" t="s">
        <v>24</v>
      </c>
      <c r="E154" t="s">
        <v>59</v>
      </c>
      <c r="F154">
        <v>36536.26</v>
      </c>
      <c r="G154" t="s">
        <v>348</v>
      </c>
      <c r="H154" s="9">
        <v>44358</v>
      </c>
      <c r="I154">
        <v>1</v>
      </c>
      <c r="J154" t="s">
        <v>357</v>
      </c>
      <c r="K154" t="s">
        <v>316</v>
      </c>
      <c r="L154" t="s">
        <v>18</v>
      </c>
      <c r="M154">
        <v>1750</v>
      </c>
      <c r="N154">
        <v>5</v>
      </c>
    </row>
    <row r="155" spans="1:14" x14ac:dyDescent="0.3">
      <c r="A155" t="s">
        <v>730</v>
      </c>
      <c r="B155" t="s">
        <v>731</v>
      </c>
      <c r="C155" t="s">
        <v>732</v>
      </c>
      <c r="D155" t="s">
        <v>11</v>
      </c>
      <c r="E155" t="s">
        <v>17</v>
      </c>
      <c r="F155">
        <v>61688.77</v>
      </c>
      <c r="G155" t="s">
        <v>319</v>
      </c>
      <c r="H155" s="9">
        <v>43346</v>
      </c>
      <c r="I155">
        <v>0.9</v>
      </c>
      <c r="J155" t="s">
        <v>13</v>
      </c>
      <c r="K155" t="s">
        <v>320</v>
      </c>
      <c r="L155" t="s">
        <v>50</v>
      </c>
      <c r="M155">
        <v>2762</v>
      </c>
      <c r="N155">
        <v>8</v>
      </c>
    </row>
    <row r="156" spans="1:14" x14ac:dyDescent="0.3">
      <c r="A156" t="s">
        <v>733</v>
      </c>
      <c r="B156" t="s">
        <v>734</v>
      </c>
      <c r="C156" t="s">
        <v>735</v>
      </c>
      <c r="D156" t="s">
        <v>11</v>
      </c>
      <c r="E156" t="s">
        <v>59</v>
      </c>
      <c r="F156">
        <v>88425.08</v>
      </c>
      <c r="G156" t="s">
        <v>319</v>
      </c>
      <c r="H156" s="9">
        <v>43662</v>
      </c>
      <c r="I156">
        <v>1</v>
      </c>
      <c r="J156" t="s">
        <v>13</v>
      </c>
      <c r="K156" t="s">
        <v>316</v>
      </c>
      <c r="L156" t="s">
        <v>18</v>
      </c>
      <c r="M156">
        <v>2446</v>
      </c>
      <c r="N156">
        <v>7</v>
      </c>
    </row>
    <row r="157" spans="1:14" x14ac:dyDescent="0.3">
      <c r="A157" t="s">
        <v>475</v>
      </c>
      <c r="B157" t="s">
        <v>736</v>
      </c>
      <c r="C157" t="s">
        <v>737</v>
      </c>
      <c r="D157" t="s">
        <v>11</v>
      </c>
      <c r="E157" t="s">
        <v>67</v>
      </c>
      <c r="F157">
        <v>38438.239999999998</v>
      </c>
      <c r="G157" t="s">
        <v>348</v>
      </c>
      <c r="H157" s="9">
        <v>43962</v>
      </c>
      <c r="I157">
        <v>1</v>
      </c>
      <c r="J157" t="s">
        <v>13</v>
      </c>
      <c r="K157" t="s">
        <v>316</v>
      </c>
      <c r="L157" t="s">
        <v>50</v>
      </c>
      <c r="M157">
        <v>2146</v>
      </c>
      <c r="N157">
        <v>6</v>
      </c>
    </row>
    <row r="158" spans="1:14" x14ac:dyDescent="0.3">
      <c r="A158" t="s">
        <v>738</v>
      </c>
      <c r="B158" t="s">
        <v>739</v>
      </c>
      <c r="C158" t="s">
        <v>740</v>
      </c>
      <c r="D158" t="s">
        <v>24</v>
      </c>
      <c r="E158" t="s">
        <v>89</v>
      </c>
      <c r="F158">
        <v>96753.78</v>
      </c>
      <c r="G158" t="s">
        <v>319</v>
      </c>
      <c r="H158" s="9">
        <v>44494</v>
      </c>
      <c r="I158">
        <v>1</v>
      </c>
      <c r="J158" t="s">
        <v>13</v>
      </c>
      <c r="K158" t="s">
        <v>316</v>
      </c>
      <c r="L158" t="s">
        <v>56</v>
      </c>
      <c r="M158">
        <v>1614</v>
      </c>
      <c r="N158">
        <v>4</v>
      </c>
    </row>
    <row r="159" spans="1:14" x14ac:dyDescent="0.3">
      <c r="A159" t="s">
        <v>584</v>
      </c>
      <c r="B159" t="s">
        <v>585</v>
      </c>
      <c r="C159" t="s">
        <v>586</v>
      </c>
      <c r="D159" t="s">
        <v>24</v>
      </c>
      <c r="E159" t="s">
        <v>12</v>
      </c>
      <c r="F159">
        <v>112778.28</v>
      </c>
      <c r="G159" t="s">
        <v>315</v>
      </c>
      <c r="H159" s="9">
        <v>43250</v>
      </c>
      <c r="I159">
        <v>1</v>
      </c>
      <c r="J159" t="s">
        <v>327</v>
      </c>
      <c r="K159" t="s">
        <v>316</v>
      </c>
      <c r="L159" t="s">
        <v>26</v>
      </c>
      <c r="M159">
        <v>2858</v>
      </c>
      <c r="N159">
        <v>8</v>
      </c>
    </row>
    <row r="160" spans="1:14" x14ac:dyDescent="0.3">
      <c r="A160" t="s">
        <v>741</v>
      </c>
      <c r="B160" t="s">
        <v>742</v>
      </c>
      <c r="C160" t="s">
        <v>743</v>
      </c>
      <c r="D160" t="s">
        <v>11</v>
      </c>
      <c r="E160" t="s">
        <v>82</v>
      </c>
      <c r="F160">
        <v>28974.03</v>
      </c>
      <c r="G160" t="s">
        <v>348</v>
      </c>
      <c r="H160" s="9">
        <v>43733</v>
      </c>
      <c r="I160">
        <v>1</v>
      </c>
      <c r="J160" t="s">
        <v>13</v>
      </c>
      <c r="K160" t="s">
        <v>316</v>
      </c>
      <c r="L160" t="s">
        <v>56</v>
      </c>
      <c r="M160">
        <v>2375</v>
      </c>
      <c r="N160">
        <v>7</v>
      </c>
    </row>
    <row r="161" spans="1:14" x14ac:dyDescent="0.3">
      <c r="A161" t="s">
        <v>744</v>
      </c>
      <c r="B161" t="s">
        <v>745</v>
      </c>
      <c r="C161" t="s">
        <v>746</v>
      </c>
      <c r="D161" t="s">
        <v>11</v>
      </c>
      <c r="E161" t="s">
        <v>17</v>
      </c>
      <c r="F161">
        <v>86233.83</v>
      </c>
      <c r="G161" t="s">
        <v>319</v>
      </c>
      <c r="H161" s="9">
        <v>43706</v>
      </c>
      <c r="I161">
        <v>1</v>
      </c>
      <c r="J161" t="s">
        <v>327</v>
      </c>
      <c r="K161" t="s">
        <v>316</v>
      </c>
      <c r="L161" t="s">
        <v>50</v>
      </c>
      <c r="M161">
        <v>2402</v>
      </c>
      <c r="N161">
        <v>7</v>
      </c>
    </row>
    <row r="162" spans="1:14" x14ac:dyDescent="0.3">
      <c r="A162" t="s">
        <v>503</v>
      </c>
      <c r="B162" t="s">
        <v>504</v>
      </c>
      <c r="C162" t="s">
        <v>505</v>
      </c>
      <c r="D162" t="s">
        <v>11</v>
      </c>
      <c r="E162" t="s">
        <v>67</v>
      </c>
      <c r="F162">
        <v>66865.490000000005</v>
      </c>
      <c r="G162" t="s">
        <v>319</v>
      </c>
      <c r="H162" s="9">
        <v>43514</v>
      </c>
      <c r="I162">
        <v>1</v>
      </c>
      <c r="J162" t="s">
        <v>13</v>
      </c>
      <c r="K162" t="s">
        <v>316</v>
      </c>
      <c r="L162" t="s">
        <v>53</v>
      </c>
      <c r="M162">
        <v>2594</v>
      </c>
      <c r="N162">
        <v>7</v>
      </c>
    </row>
    <row r="163" spans="1:14" x14ac:dyDescent="0.3">
      <c r="A163" t="s">
        <v>119</v>
      </c>
      <c r="B163" t="s">
        <v>747</v>
      </c>
      <c r="C163" t="s">
        <v>748</v>
      </c>
      <c r="D163" t="s">
        <v>24</v>
      </c>
      <c r="E163" t="s">
        <v>37</v>
      </c>
      <c r="F163">
        <v>119022.49</v>
      </c>
      <c r="G163" t="s">
        <v>315</v>
      </c>
      <c r="H163" s="9">
        <v>44431</v>
      </c>
      <c r="I163">
        <v>1</v>
      </c>
      <c r="J163" t="s">
        <v>13</v>
      </c>
      <c r="K163" t="s">
        <v>316</v>
      </c>
      <c r="L163" t="s">
        <v>56</v>
      </c>
      <c r="M163">
        <v>1677</v>
      </c>
      <c r="N163">
        <v>5</v>
      </c>
    </row>
    <row r="164" spans="1:14" x14ac:dyDescent="0.3">
      <c r="A164" t="s">
        <v>35</v>
      </c>
      <c r="B164" t="s">
        <v>749</v>
      </c>
      <c r="C164" t="s">
        <v>750</v>
      </c>
      <c r="D164" t="s">
        <v>11</v>
      </c>
      <c r="E164" t="s">
        <v>37</v>
      </c>
      <c r="F164">
        <v>114177.23</v>
      </c>
      <c r="G164" t="s">
        <v>315</v>
      </c>
      <c r="H164" s="9">
        <v>43908</v>
      </c>
      <c r="I164">
        <v>1</v>
      </c>
      <c r="J164" t="s">
        <v>13</v>
      </c>
      <c r="K164" t="s">
        <v>316</v>
      </c>
      <c r="L164" t="s">
        <v>14</v>
      </c>
      <c r="M164">
        <v>2200</v>
      </c>
      <c r="N164">
        <v>6</v>
      </c>
    </row>
    <row r="165" spans="1:14" x14ac:dyDescent="0.3">
      <c r="A165" t="s">
        <v>751</v>
      </c>
      <c r="B165" t="s">
        <v>752</v>
      </c>
      <c r="C165" t="s">
        <v>753</v>
      </c>
      <c r="D165" t="s">
        <v>11</v>
      </c>
      <c r="E165" t="s">
        <v>44</v>
      </c>
      <c r="F165">
        <v>100731.95</v>
      </c>
      <c r="G165" t="s">
        <v>315</v>
      </c>
      <c r="H165" s="9">
        <v>43936</v>
      </c>
      <c r="I165">
        <v>1</v>
      </c>
      <c r="J165" t="s">
        <v>13</v>
      </c>
      <c r="K165" t="s">
        <v>316</v>
      </c>
      <c r="L165" t="s">
        <v>56</v>
      </c>
      <c r="M165">
        <v>2172</v>
      </c>
      <c r="N165">
        <v>6</v>
      </c>
    </row>
    <row r="166" spans="1:14" x14ac:dyDescent="0.3">
      <c r="A166" t="s">
        <v>754</v>
      </c>
      <c r="B166" t="s">
        <v>755</v>
      </c>
      <c r="C166" t="s">
        <v>756</v>
      </c>
      <c r="D166" t="s">
        <v>11</v>
      </c>
      <c r="E166" t="s">
        <v>12</v>
      </c>
      <c r="F166">
        <v>86010.54</v>
      </c>
      <c r="G166" t="s">
        <v>319</v>
      </c>
      <c r="H166" s="9">
        <v>43164</v>
      </c>
      <c r="I166">
        <v>1</v>
      </c>
      <c r="J166" t="s">
        <v>13</v>
      </c>
      <c r="K166" t="s">
        <v>316</v>
      </c>
      <c r="L166" t="s">
        <v>50</v>
      </c>
      <c r="M166">
        <v>2944</v>
      </c>
      <c r="N166">
        <v>8</v>
      </c>
    </row>
    <row r="167" spans="1:14" x14ac:dyDescent="0.3">
      <c r="A167" t="s">
        <v>757</v>
      </c>
      <c r="B167" t="s">
        <v>758</v>
      </c>
      <c r="C167" t="s">
        <v>759</v>
      </c>
      <c r="D167" t="s">
        <v>24</v>
      </c>
      <c r="E167" t="s">
        <v>37</v>
      </c>
      <c r="F167">
        <v>52270.22</v>
      </c>
      <c r="G167" t="s">
        <v>319</v>
      </c>
      <c r="H167" s="9">
        <v>43521</v>
      </c>
      <c r="I167">
        <v>0.3</v>
      </c>
      <c r="J167" t="s">
        <v>13</v>
      </c>
      <c r="K167" t="s">
        <v>320</v>
      </c>
      <c r="L167" t="s">
        <v>50</v>
      </c>
      <c r="M167">
        <v>2587</v>
      </c>
      <c r="N167">
        <v>7</v>
      </c>
    </row>
    <row r="168" spans="1:14" x14ac:dyDescent="0.3">
      <c r="A168" t="s">
        <v>760</v>
      </c>
      <c r="B168" t="s">
        <v>761</v>
      </c>
      <c r="C168" t="s">
        <v>762</v>
      </c>
      <c r="D168" t="s">
        <v>24</v>
      </c>
      <c r="E168" t="s">
        <v>59</v>
      </c>
      <c r="F168">
        <v>61624.77</v>
      </c>
      <c r="G168" t="s">
        <v>319</v>
      </c>
      <c r="H168" s="9">
        <v>43430</v>
      </c>
      <c r="I168">
        <v>0.3</v>
      </c>
      <c r="J168" t="s">
        <v>327</v>
      </c>
      <c r="K168" t="s">
        <v>320</v>
      </c>
      <c r="L168" t="s">
        <v>18</v>
      </c>
      <c r="M168">
        <v>2678</v>
      </c>
      <c r="N168">
        <v>7</v>
      </c>
    </row>
    <row r="169" spans="1:14" x14ac:dyDescent="0.3">
      <c r="A169" t="s">
        <v>763</v>
      </c>
      <c r="B169" t="s">
        <v>764</v>
      </c>
      <c r="C169" t="s">
        <v>765</v>
      </c>
      <c r="D169" t="s">
        <v>11</v>
      </c>
      <c r="E169" t="s">
        <v>29</v>
      </c>
      <c r="F169">
        <v>104903.79</v>
      </c>
      <c r="G169" t="s">
        <v>315</v>
      </c>
      <c r="H169" s="9">
        <v>43649</v>
      </c>
      <c r="I169">
        <v>1</v>
      </c>
      <c r="J169" t="s">
        <v>13</v>
      </c>
      <c r="K169" t="s">
        <v>316</v>
      </c>
      <c r="L169" t="s">
        <v>50</v>
      </c>
      <c r="M169">
        <v>2459</v>
      </c>
      <c r="N169">
        <v>7</v>
      </c>
    </row>
    <row r="170" spans="1:14" x14ac:dyDescent="0.3">
      <c r="A170" t="s">
        <v>497</v>
      </c>
      <c r="B170" t="s">
        <v>498</v>
      </c>
      <c r="C170" t="s">
        <v>499</v>
      </c>
      <c r="D170" t="s">
        <v>11</v>
      </c>
      <c r="E170" t="s">
        <v>62</v>
      </c>
      <c r="F170">
        <v>69057.320000000007</v>
      </c>
      <c r="G170" t="s">
        <v>319</v>
      </c>
      <c r="H170" s="9">
        <v>43390</v>
      </c>
      <c r="I170">
        <v>1</v>
      </c>
      <c r="J170" t="s">
        <v>13</v>
      </c>
      <c r="K170" t="s">
        <v>316</v>
      </c>
      <c r="L170" t="s">
        <v>14</v>
      </c>
      <c r="M170">
        <v>2718</v>
      </c>
      <c r="N170">
        <v>7</v>
      </c>
    </row>
    <row r="171" spans="1:14" x14ac:dyDescent="0.3">
      <c r="A171" t="s">
        <v>581</v>
      </c>
      <c r="B171" t="s">
        <v>582</v>
      </c>
      <c r="C171" t="s">
        <v>583</v>
      </c>
      <c r="D171" t="s">
        <v>24</v>
      </c>
      <c r="E171" t="s">
        <v>82</v>
      </c>
      <c r="F171">
        <v>59258.19</v>
      </c>
      <c r="G171" t="s">
        <v>319</v>
      </c>
      <c r="H171" s="9">
        <v>43452</v>
      </c>
      <c r="I171">
        <v>0.8</v>
      </c>
      <c r="J171" t="s">
        <v>13</v>
      </c>
      <c r="K171" t="s">
        <v>320</v>
      </c>
      <c r="L171" t="s">
        <v>53</v>
      </c>
      <c r="M171">
        <v>2656</v>
      </c>
      <c r="N171">
        <v>7</v>
      </c>
    </row>
    <row r="172" spans="1:14" x14ac:dyDescent="0.3">
      <c r="A172" t="s">
        <v>766</v>
      </c>
      <c r="B172" t="s">
        <v>767</v>
      </c>
      <c r="C172" t="s">
        <v>768</v>
      </c>
      <c r="D172" t="s">
        <v>24</v>
      </c>
      <c r="E172" t="s">
        <v>47</v>
      </c>
      <c r="F172">
        <v>28160.79</v>
      </c>
      <c r="G172" t="s">
        <v>348</v>
      </c>
      <c r="H172" s="9">
        <v>43129</v>
      </c>
      <c r="I172">
        <v>1</v>
      </c>
      <c r="J172" t="s">
        <v>357</v>
      </c>
      <c r="K172" t="s">
        <v>316</v>
      </c>
      <c r="L172" t="s">
        <v>26</v>
      </c>
      <c r="M172">
        <v>2979</v>
      </c>
      <c r="N172">
        <v>8</v>
      </c>
    </row>
    <row r="173" spans="1:14" x14ac:dyDescent="0.3">
      <c r="A173" t="s">
        <v>769</v>
      </c>
      <c r="B173" t="s">
        <v>770</v>
      </c>
      <c r="C173" t="s">
        <v>771</v>
      </c>
      <c r="D173" t="s">
        <v>24</v>
      </c>
      <c r="E173" t="s">
        <v>59</v>
      </c>
      <c r="F173">
        <v>109143.17</v>
      </c>
      <c r="G173" t="s">
        <v>315</v>
      </c>
      <c r="H173" s="9">
        <v>43945</v>
      </c>
      <c r="I173">
        <v>1</v>
      </c>
      <c r="J173" t="s">
        <v>13</v>
      </c>
      <c r="K173" t="s">
        <v>316</v>
      </c>
      <c r="L173" t="s">
        <v>14</v>
      </c>
      <c r="M173">
        <v>2163</v>
      </c>
      <c r="N173">
        <v>6</v>
      </c>
    </row>
    <row r="174" spans="1:14" x14ac:dyDescent="0.3">
      <c r="A174" t="s">
        <v>772</v>
      </c>
      <c r="B174" t="s">
        <v>773</v>
      </c>
      <c r="C174" t="s">
        <v>774</v>
      </c>
      <c r="D174" t="s">
        <v>11</v>
      </c>
      <c r="E174" t="s">
        <v>29</v>
      </c>
      <c r="F174">
        <v>70755.5</v>
      </c>
      <c r="G174" t="s">
        <v>319</v>
      </c>
      <c r="H174" s="9">
        <v>44090</v>
      </c>
      <c r="I174">
        <v>0.8</v>
      </c>
      <c r="J174" t="s">
        <v>357</v>
      </c>
      <c r="K174" t="s">
        <v>320</v>
      </c>
      <c r="L174" t="s">
        <v>18</v>
      </c>
      <c r="M174">
        <v>2018</v>
      </c>
      <c r="N174">
        <v>6</v>
      </c>
    </row>
    <row r="175" spans="1:14" x14ac:dyDescent="0.3">
      <c r="A175" t="s">
        <v>406</v>
      </c>
      <c r="B175" t="s">
        <v>407</v>
      </c>
      <c r="C175" t="s">
        <v>408</v>
      </c>
      <c r="D175" t="s">
        <v>24</v>
      </c>
      <c r="E175" t="s">
        <v>17</v>
      </c>
      <c r="F175">
        <v>73360.38</v>
      </c>
      <c r="G175" t="s">
        <v>319</v>
      </c>
      <c r="H175" s="9">
        <v>43972</v>
      </c>
      <c r="I175">
        <v>1</v>
      </c>
      <c r="J175" t="s">
        <v>357</v>
      </c>
      <c r="K175" t="s">
        <v>316</v>
      </c>
      <c r="L175" t="s">
        <v>26</v>
      </c>
      <c r="M175">
        <v>2136</v>
      </c>
      <c r="N175">
        <v>6</v>
      </c>
    </row>
    <row r="176" spans="1:14" x14ac:dyDescent="0.3">
      <c r="A176" t="s">
        <v>648</v>
      </c>
      <c r="B176" t="s">
        <v>775</v>
      </c>
      <c r="C176" t="s">
        <v>776</v>
      </c>
      <c r="D176" t="s">
        <v>11</v>
      </c>
      <c r="E176" t="s">
        <v>37</v>
      </c>
      <c r="F176">
        <v>76303.820000000007</v>
      </c>
      <c r="G176" t="s">
        <v>319</v>
      </c>
      <c r="H176" s="9">
        <v>43458</v>
      </c>
      <c r="I176">
        <v>1</v>
      </c>
      <c r="J176" t="s">
        <v>327</v>
      </c>
      <c r="K176" t="s">
        <v>316</v>
      </c>
      <c r="L176" t="s">
        <v>18</v>
      </c>
      <c r="M176">
        <v>2650</v>
      </c>
      <c r="N176">
        <v>7</v>
      </c>
    </row>
    <row r="177" spans="1:14" x14ac:dyDescent="0.3">
      <c r="A177" t="s">
        <v>78</v>
      </c>
      <c r="B177" t="s">
        <v>777</v>
      </c>
      <c r="C177" t="s">
        <v>778</v>
      </c>
      <c r="D177" t="s">
        <v>11</v>
      </c>
      <c r="E177" t="s">
        <v>59</v>
      </c>
      <c r="F177">
        <v>58861.19</v>
      </c>
      <c r="G177" t="s">
        <v>319</v>
      </c>
      <c r="H177" s="9">
        <v>43654</v>
      </c>
      <c r="I177">
        <v>1</v>
      </c>
      <c r="J177" t="s">
        <v>13</v>
      </c>
      <c r="K177" t="s">
        <v>316</v>
      </c>
      <c r="L177" t="s">
        <v>21</v>
      </c>
      <c r="M177">
        <v>2454</v>
      </c>
      <c r="N177">
        <v>7</v>
      </c>
    </row>
    <row r="178" spans="1:14" x14ac:dyDescent="0.3">
      <c r="A178" t="s">
        <v>779</v>
      </c>
      <c r="B178" t="s">
        <v>780</v>
      </c>
      <c r="C178" t="s">
        <v>781</v>
      </c>
      <c r="D178" t="s">
        <v>11</v>
      </c>
      <c r="E178" t="s">
        <v>12</v>
      </c>
      <c r="F178">
        <v>58744.17</v>
      </c>
      <c r="G178" t="s">
        <v>319</v>
      </c>
      <c r="H178" s="9">
        <v>43171</v>
      </c>
      <c r="I178">
        <v>1</v>
      </c>
      <c r="J178" t="s">
        <v>357</v>
      </c>
      <c r="K178" t="s">
        <v>316</v>
      </c>
      <c r="L178" t="s">
        <v>21</v>
      </c>
      <c r="M178">
        <v>2937</v>
      </c>
      <c r="N178">
        <v>8</v>
      </c>
    </row>
    <row r="179" spans="1:14" x14ac:dyDescent="0.3">
      <c r="A179" t="s">
        <v>782</v>
      </c>
      <c r="B179" t="s">
        <v>783</v>
      </c>
      <c r="C179" t="s">
        <v>784</v>
      </c>
      <c r="D179" t="s">
        <v>11</v>
      </c>
      <c r="E179" t="s">
        <v>44</v>
      </c>
      <c r="F179">
        <v>73488.679999999993</v>
      </c>
      <c r="G179" t="s">
        <v>319</v>
      </c>
      <c r="H179" s="9">
        <v>43570</v>
      </c>
      <c r="I179">
        <v>1</v>
      </c>
      <c r="J179" t="s">
        <v>327</v>
      </c>
      <c r="K179" t="s">
        <v>316</v>
      </c>
      <c r="L179" t="s">
        <v>53</v>
      </c>
      <c r="M179">
        <v>2538</v>
      </c>
      <c r="N179">
        <v>7</v>
      </c>
    </row>
    <row r="180" spans="1:14" x14ac:dyDescent="0.3">
      <c r="A180" t="s">
        <v>785</v>
      </c>
      <c r="B180" t="s">
        <v>786</v>
      </c>
      <c r="C180" t="s">
        <v>787</v>
      </c>
      <c r="D180" t="s">
        <v>11</v>
      </c>
      <c r="E180" t="s">
        <v>44</v>
      </c>
      <c r="F180">
        <v>92704.48</v>
      </c>
      <c r="G180" t="s">
        <v>319</v>
      </c>
      <c r="H180" s="9">
        <v>43430</v>
      </c>
      <c r="I180">
        <v>1</v>
      </c>
      <c r="J180" t="s">
        <v>327</v>
      </c>
      <c r="K180" t="s">
        <v>316</v>
      </c>
      <c r="L180" t="s">
        <v>21</v>
      </c>
      <c r="M180">
        <v>2678</v>
      </c>
      <c r="N180">
        <v>7</v>
      </c>
    </row>
    <row r="181" spans="1:14" x14ac:dyDescent="0.3">
      <c r="A181" t="s">
        <v>788</v>
      </c>
      <c r="B181" t="s">
        <v>789</v>
      </c>
      <c r="C181" t="s">
        <v>790</v>
      </c>
      <c r="D181" t="s">
        <v>24</v>
      </c>
      <c r="E181" t="s">
        <v>59</v>
      </c>
      <c r="F181">
        <v>78443.78</v>
      </c>
      <c r="G181" t="s">
        <v>319</v>
      </c>
      <c r="H181" s="9">
        <v>43599</v>
      </c>
      <c r="I181">
        <v>1</v>
      </c>
      <c r="J181" t="s">
        <v>327</v>
      </c>
      <c r="K181" t="s">
        <v>316</v>
      </c>
      <c r="L181" t="s">
        <v>18</v>
      </c>
      <c r="M181">
        <v>2509</v>
      </c>
      <c r="N181">
        <v>7</v>
      </c>
    </row>
    <row r="182" spans="1:14" x14ac:dyDescent="0.3">
      <c r="A182" t="s">
        <v>57</v>
      </c>
      <c r="B182" t="s">
        <v>791</v>
      </c>
      <c r="C182" t="s">
        <v>792</v>
      </c>
      <c r="D182" t="s">
        <v>11</v>
      </c>
      <c r="E182" t="s">
        <v>59</v>
      </c>
      <c r="F182">
        <v>97105.19</v>
      </c>
      <c r="G182" t="s">
        <v>319</v>
      </c>
      <c r="H182" s="9">
        <v>44425</v>
      </c>
      <c r="I182">
        <v>1</v>
      </c>
      <c r="J182" t="s">
        <v>13</v>
      </c>
      <c r="K182" t="s">
        <v>316</v>
      </c>
      <c r="L182" t="s">
        <v>21</v>
      </c>
      <c r="M182">
        <v>1683</v>
      </c>
      <c r="N182">
        <v>5</v>
      </c>
    </row>
    <row r="183" spans="1:14" x14ac:dyDescent="0.3">
      <c r="A183" t="s">
        <v>793</v>
      </c>
      <c r="B183" t="s">
        <v>794</v>
      </c>
      <c r="C183" t="s">
        <v>795</v>
      </c>
      <c r="D183" t="s">
        <v>11</v>
      </c>
      <c r="E183" t="s">
        <v>62</v>
      </c>
      <c r="F183">
        <v>109163.39</v>
      </c>
      <c r="G183" t="s">
        <v>315</v>
      </c>
      <c r="H183" s="9">
        <v>44019</v>
      </c>
      <c r="I183">
        <v>0.8</v>
      </c>
      <c r="J183" t="s">
        <v>13</v>
      </c>
      <c r="K183" t="s">
        <v>320</v>
      </c>
      <c r="L183" t="s">
        <v>53</v>
      </c>
      <c r="M183">
        <v>2089</v>
      </c>
      <c r="N183">
        <v>6</v>
      </c>
    </row>
    <row r="184" spans="1:14" x14ac:dyDescent="0.3">
      <c r="A184" t="s">
        <v>796</v>
      </c>
      <c r="B184" t="s">
        <v>797</v>
      </c>
      <c r="C184" t="s">
        <v>798</v>
      </c>
      <c r="D184" t="s">
        <v>24</v>
      </c>
      <c r="E184" t="s">
        <v>29</v>
      </c>
      <c r="F184">
        <v>31816.57</v>
      </c>
      <c r="G184" t="s">
        <v>348</v>
      </c>
      <c r="H184" s="9">
        <v>43497</v>
      </c>
      <c r="I184">
        <v>0.3</v>
      </c>
      <c r="J184" t="s">
        <v>327</v>
      </c>
      <c r="K184" t="s">
        <v>320</v>
      </c>
      <c r="L184" t="s">
        <v>26</v>
      </c>
      <c r="M184">
        <v>2611</v>
      </c>
      <c r="N184">
        <v>7</v>
      </c>
    </row>
    <row r="185" spans="1:14" x14ac:dyDescent="0.3">
      <c r="A185" t="s">
        <v>799</v>
      </c>
      <c r="B185" t="s">
        <v>800</v>
      </c>
      <c r="C185" t="s">
        <v>801</v>
      </c>
      <c r="D185" t="s">
        <v>11</v>
      </c>
      <c r="E185" t="s">
        <v>59</v>
      </c>
      <c r="F185">
        <v>118442.54</v>
      </c>
      <c r="G185" t="s">
        <v>315</v>
      </c>
      <c r="H185" s="9">
        <v>44193</v>
      </c>
      <c r="I185">
        <v>1</v>
      </c>
      <c r="J185" t="s">
        <v>13</v>
      </c>
      <c r="K185" t="s">
        <v>316</v>
      </c>
      <c r="L185" t="s">
        <v>56</v>
      </c>
      <c r="M185">
        <v>1915</v>
      </c>
      <c r="N185">
        <v>5</v>
      </c>
    </row>
    <row r="186" spans="1:14" x14ac:dyDescent="0.3">
      <c r="A186" t="s">
        <v>100</v>
      </c>
      <c r="B186" t="s">
        <v>802</v>
      </c>
      <c r="C186" t="s">
        <v>803</v>
      </c>
      <c r="D186" t="s">
        <v>11</v>
      </c>
      <c r="E186" t="s">
        <v>12</v>
      </c>
      <c r="F186">
        <v>84745.93</v>
      </c>
      <c r="G186" t="s">
        <v>319</v>
      </c>
      <c r="H186" s="9">
        <v>43707</v>
      </c>
      <c r="I186">
        <v>1</v>
      </c>
      <c r="J186" t="s">
        <v>13</v>
      </c>
      <c r="K186" t="s">
        <v>316</v>
      </c>
      <c r="L186" t="s">
        <v>14</v>
      </c>
      <c r="M186">
        <v>2401</v>
      </c>
      <c r="N186">
        <v>7</v>
      </c>
    </row>
    <row r="187" spans="1:14" x14ac:dyDescent="0.3">
      <c r="A187" t="s">
        <v>423</v>
      </c>
      <c r="B187" t="s">
        <v>424</v>
      </c>
      <c r="C187" t="s">
        <v>425</v>
      </c>
      <c r="D187" t="s">
        <v>11</v>
      </c>
      <c r="E187" t="s">
        <v>37</v>
      </c>
      <c r="F187">
        <v>69163.39</v>
      </c>
      <c r="G187" t="s">
        <v>319</v>
      </c>
      <c r="H187" s="9">
        <v>43397</v>
      </c>
      <c r="I187">
        <v>1</v>
      </c>
      <c r="J187" t="s">
        <v>13</v>
      </c>
      <c r="K187" t="s">
        <v>316</v>
      </c>
      <c r="L187" t="s">
        <v>26</v>
      </c>
      <c r="M187">
        <v>2711</v>
      </c>
      <c r="N187">
        <v>7</v>
      </c>
    </row>
    <row r="188" spans="1:14" x14ac:dyDescent="0.3">
      <c r="A188" t="s">
        <v>724</v>
      </c>
      <c r="B188" t="s">
        <v>725</v>
      </c>
      <c r="C188" t="s">
        <v>726</v>
      </c>
      <c r="D188" t="s">
        <v>11</v>
      </c>
      <c r="E188" t="s">
        <v>89</v>
      </c>
      <c r="F188">
        <v>84598.88</v>
      </c>
      <c r="G188" t="s">
        <v>319</v>
      </c>
      <c r="H188" s="9">
        <v>44116</v>
      </c>
      <c r="I188">
        <v>1</v>
      </c>
      <c r="J188" t="s">
        <v>327</v>
      </c>
      <c r="K188" t="s">
        <v>316</v>
      </c>
      <c r="L188" t="s">
        <v>53</v>
      </c>
      <c r="M188">
        <v>1992</v>
      </c>
      <c r="N188">
        <v>5</v>
      </c>
    </row>
    <row r="189" spans="1:14" x14ac:dyDescent="0.3">
      <c r="A189" t="s">
        <v>804</v>
      </c>
      <c r="B189" t="s">
        <v>805</v>
      </c>
      <c r="C189" t="s">
        <v>806</v>
      </c>
      <c r="D189" t="s">
        <v>11</v>
      </c>
      <c r="E189" t="s">
        <v>67</v>
      </c>
      <c r="F189">
        <v>68795.48</v>
      </c>
      <c r="G189" t="s">
        <v>319</v>
      </c>
      <c r="H189" s="9">
        <v>44277</v>
      </c>
      <c r="I189">
        <v>0.2</v>
      </c>
      <c r="J189" t="s">
        <v>13</v>
      </c>
      <c r="K189" t="s">
        <v>320</v>
      </c>
      <c r="L189" t="s">
        <v>26</v>
      </c>
      <c r="M189">
        <v>1831</v>
      </c>
      <c r="N189">
        <v>5</v>
      </c>
    </row>
    <row r="190" spans="1:14" x14ac:dyDescent="0.3">
      <c r="A190" t="s">
        <v>807</v>
      </c>
      <c r="B190" t="s">
        <v>808</v>
      </c>
      <c r="C190" t="s">
        <v>809</v>
      </c>
      <c r="D190" t="s">
        <v>11</v>
      </c>
      <c r="E190" t="s">
        <v>62</v>
      </c>
      <c r="F190">
        <v>32269.91</v>
      </c>
      <c r="G190" t="s">
        <v>348</v>
      </c>
      <c r="H190" s="9">
        <v>43346</v>
      </c>
      <c r="I190">
        <v>1</v>
      </c>
      <c r="J190" t="s">
        <v>13</v>
      </c>
      <c r="K190" t="s">
        <v>316</v>
      </c>
      <c r="L190" t="s">
        <v>26</v>
      </c>
      <c r="M190">
        <v>2762</v>
      </c>
      <c r="N190">
        <v>8</v>
      </c>
    </row>
    <row r="191" spans="1:14" x14ac:dyDescent="0.3">
      <c r="A191" t="s">
        <v>810</v>
      </c>
      <c r="B191" t="s">
        <v>811</v>
      </c>
      <c r="C191" t="s">
        <v>812</v>
      </c>
      <c r="D191" t="s">
        <v>24</v>
      </c>
      <c r="E191" t="s">
        <v>47</v>
      </c>
      <c r="F191">
        <v>78705.929999999993</v>
      </c>
      <c r="G191" t="s">
        <v>319</v>
      </c>
      <c r="H191" s="9">
        <v>43409</v>
      </c>
      <c r="I191">
        <v>1</v>
      </c>
      <c r="J191" t="s">
        <v>327</v>
      </c>
      <c r="K191" t="s">
        <v>316</v>
      </c>
      <c r="L191" t="s">
        <v>53</v>
      </c>
      <c r="M191">
        <v>2699</v>
      </c>
      <c r="N191">
        <v>7</v>
      </c>
    </row>
    <row r="192" spans="1:14" x14ac:dyDescent="0.3">
      <c r="A192" t="s">
        <v>813</v>
      </c>
      <c r="B192" t="s">
        <v>814</v>
      </c>
      <c r="C192" t="s">
        <v>815</v>
      </c>
      <c r="D192" t="s">
        <v>24</v>
      </c>
      <c r="E192" t="s">
        <v>29</v>
      </c>
      <c r="F192">
        <v>53535.62</v>
      </c>
      <c r="G192" t="s">
        <v>319</v>
      </c>
      <c r="H192" s="9">
        <v>44110</v>
      </c>
      <c r="I192">
        <v>0.5</v>
      </c>
      <c r="J192" t="s">
        <v>327</v>
      </c>
      <c r="K192" t="s">
        <v>320</v>
      </c>
      <c r="L192" t="s">
        <v>53</v>
      </c>
      <c r="M192">
        <v>1998</v>
      </c>
      <c r="N192">
        <v>5</v>
      </c>
    </row>
    <row r="193" spans="1:14" x14ac:dyDescent="0.3">
      <c r="A193" t="s">
        <v>87</v>
      </c>
      <c r="B193" t="s">
        <v>574</v>
      </c>
      <c r="C193" t="s">
        <v>575</v>
      </c>
      <c r="D193" t="s">
        <v>11</v>
      </c>
      <c r="E193" t="s">
        <v>89</v>
      </c>
      <c r="F193">
        <v>41934.71</v>
      </c>
      <c r="G193" t="s">
        <v>348</v>
      </c>
      <c r="H193" s="9">
        <v>43780</v>
      </c>
      <c r="I193">
        <v>1</v>
      </c>
      <c r="J193" t="s">
        <v>13</v>
      </c>
      <c r="K193" t="s">
        <v>316</v>
      </c>
      <c r="L193" t="s">
        <v>26</v>
      </c>
      <c r="M193">
        <v>2328</v>
      </c>
      <c r="N193">
        <v>6</v>
      </c>
    </row>
    <row r="194" spans="1:14" x14ac:dyDescent="0.3">
      <c r="A194" t="s">
        <v>816</v>
      </c>
      <c r="B194" t="s">
        <v>501</v>
      </c>
      <c r="C194" t="s">
        <v>817</v>
      </c>
      <c r="D194" t="s">
        <v>11</v>
      </c>
      <c r="E194" t="s">
        <v>67</v>
      </c>
      <c r="F194">
        <v>91929.69</v>
      </c>
      <c r="G194" t="s">
        <v>319</v>
      </c>
      <c r="H194" s="9">
        <v>44085</v>
      </c>
      <c r="I194">
        <v>1</v>
      </c>
      <c r="J194" t="s">
        <v>327</v>
      </c>
      <c r="K194" t="s">
        <v>316</v>
      </c>
      <c r="L194" t="s">
        <v>26</v>
      </c>
      <c r="M194">
        <v>2023</v>
      </c>
      <c r="N194">
        <v>6</v>
      </c>
    </row>
    <row r="195" spans="1:14" x14ac:dyDescent="0.3">
      <c r="A195" t="s">
        <v>138</v>
      </c>
      <c r="B195" t="s">
        <v>818</v>
      </c>
      <c r="C195" t="s">
        <v>819</v>
      </c>
      <c r="D195" t="s">
        <v>24</v>
      </c>
      <c r="E195" t="s">
        <v>47</v>
      </c>
      <c r="F195">
        <v>62281.24</v>
      </c>
      <c r="G195" t="s">
        <v>319</v>
      </c>
      <c r="H195" s="9">
        <v>43272</v>
      </c>
      <c r="I195">
        <v>1</v>
      </c>
      <c r="J195" t="s">
        <v>13</v>
      </c>
      <c r="K195" t="s">
        <v>316</v>
      </c>
      <c r="L195" t="s">
        <v>26</v>
      </c>
      <c r="M195">
        <v>2836</v>
      </c>
      <c r="N195">
        <v>8</v>
      </c>
    </row>
    <row r="196" spans="1:14" x14ac:dyDescent="0.3">
      <c r="A196" t="s">
        <v>820</v>
      </c>
      <c r="B196" t="s">
        <v>821</v>
      </c>
      <c r="C196" t="s">
        <v>822</v>
      </c>
      <c r="D196" t="s">
        <v>24</v>
      </c>
      <c r="E196" t="s">
        <v>37</v>
      </c>
      <c r="F196">
        <v>57925.91</v>
      </c>
      <c r="G196" t="s">
        <v>319</v>
      </c>
      <c r="H196" s="9">
        <v>43572</v>
      </c>
      <c r="I196">
        <v>0.5</v>
      </c>
      <c r="J196" t="s">
        <v>13</v>
      </c>
      <c r="K196" t="s">
        <v>320</v>
      </c>
      <c r="L196" t="s">
        <v>14</v>
      </c>
      <c r="M196">
        <v>2536</v>
      </c>
      <c r="N196">
        <v>7</v>
      </c>
    </row>
    <row r="197" spans="1:14" x14ac:dyDescent="0.3">
      <c r="A197" t="s">
        <v>823</v>
      </c>
      <c r="B197" t="s">
        <v>824</v>
      </c>
      <c r="C197" t="s">
        <v>825</v>
      </c>
      <c r="D197" t="s">
        <v>24</v>
      </c>
      <c r="E197" t="s">
        <v>59</v>
      </c>
      <c r="F197">
        <v>82239.53</v>
      </c>
      <c r="G197" t="s">
        <v>319</v>
      </c>
      <c r="H197" s="9">
        <v>43846</v>
      </c>
      <c r="I197">
        <v>1</v>
      </c>
      <c r="J197" t="s">
        <v>357</v>
      </c>
      <c r="K197" t="s">
        <v>316</v>
      </c>
      <c r="L197" t="s">
        <v>21</v>
      </c>
      <c r="M197">
        <v>2262</v>
      </c>
      <c r="N197">
        <v>6</v>
      </c>
    </row>
    <row r="198" spans="1:14" x14ac:dyDescent="0.3">
      <c r="A198" t="s">
        <v>826</v>
      </c>
      <c r="B198" t="s">
        <v>827</v>
      </c>
      <c r="C198" t="s">
        <v>828</v>
      </c>
      <c r="D198" t="s">
        <v>24</v>
      </c>
      <c r="E198" t="s">
        <v>59</v>
      </c>
      <c r="F198">
        <v>53184.02</v>
      </c>
      <c r="G198" t="s">
        <v>319</v>
      </c>
      <c r="H198" s="9">
        <v>43180</v>
      </c>
      <c r="I198">
        <v>1</v>
      </c>
      <c r="J198" t="s">
        <v>327</v>
      </c>
      <c r="K198" t="s">
        <v>316</v>
      </c>
      <c r="L198" t="s">
        <v>26</v>
      </c>
      <c r="M198">
        <v>2928</v>
      </c>
      <c r="N198">
        <v>8</v>
      </c>
    </row>
    <row r="199" spans="1:14" x14ac:dyDescent="0.3">
      <c r="A199" t="s">
        <v>48</v>
      </c>
      <c r="B199" t="s">
        <v>829</v>
      </c>
      <c r="C199" t="s">
        <v>830</v>
      </c>
      <c r="D199" t="s">
        <v>24</v>
      </c>
      <c r="E199" t="s">
        <v>37</v>
      </c>
      <c r="F199">
        <v>35936.31</v>
      </c>
      <c r="G199" t="s">
        <v>348</v>
      </c>
      <c r="H199" s="9">
        <v>43241</v>
      </c>
      <c r="I199">
        <v>1</v>
      </c>
      <c r="J199" t="s">
        <v>13</v>
      </c>
      <c r="K199" t="s">
        <v>316</v>
      </c>
      <c r="L199" t="s">
        <v>50</v>
      </c>
      <c r="M199">
        <v>2867</v>
      </c>
      <c r="N199">
        <v>8</v>
      </c>
    </row>
    <row r="200" spans="1:14" x14ac:dyDescent="0.3">
      <c r="A200" t="s">
        <v>831</v>
      </c>
      <c r="B200" t="s">
        <v>832</v>
      </c>
      <c r="C200" t="s">
        <v>833</v>
      </c>
      <c r="D200" t="s">
        <v>11</v>
      </c>
      <c r="E200" t="s">
        <v>62</v>
      </c>
      <c r="F200">
        <v>28305.08</v>
      </c>
      <c r="G200" t="s">
        <v>348</v>
      </c>
      <c r="H200" s="9">
        <v>43754</v>
      </c>
      <c r="I200">
        <v>1</v>
      </c>
      <c r="J200" t="s">
        <v>13</v>
      </c>
      <c r="K200" t="s">
        <v>316</v>
      </c>
      <c r="L200" t="s">
        <v>26</v>
      </c>
      <c r="M200">
        <v>2354</v>
      </c>
      <c r="N200">
        <v>6</v>
      </c>
    </row>
    <row r="201" spans="1:14" x14ac:dyDescent="0.3">
      <c r="A201" t="s">
        <v>38</v>
      </c>
      <c r="B201" t="s">
        <v>834</v>
      </c>
      <c r="C201" t="s">
        <v>835</v>
      </c>
      <c r="D201" t="s">
        <v>24</v>
      </c>
      <c r="E201" t="s">
        <v>34</v>
      </c>
      <c r="F201">
        <v>29774.76</v>
      </c>
      <c r="G201" t="s">
        <v>348</v>
      </c>
      <c r="H201" s="9">
        <v>44105</v>
      </c>
      <c r="I201">
        <v>1</v>
      </c>
      <c r="J201" t="s">
        <v>13</v>
      </c>
      <c r="K201" t="s">
        <v>316</v>
      </c>
      <c r="L201" t="s">
        <v>14</v>
      </c>
      <c r="M201">
        <v>2003</v>
      </c>
      <c r="N201">
        <v>5</v>
      </c>
    </row>
    <row r="202" spans="1:14" x14ac:dyDescent="0.3">
      <c r="A202" t="s">
        <v>836</v>
      </c>
      <c r="B202" t="s">
        <v>837</v>
      </c>
      <c r="C202" t="s">
        <v>838</v>
      </c>
      <c r="D202" t="s">
        <v>24</v>
      </c>
      <c r="E202" t="s">
        <v>37</v>
      </c>
      <c r="F202">
        <v>102515.81</v>
      </c>
      <c r="G202" t="s">
        <v>315</v>
      </c>
      <c r="H202" s="9">
        <v>43902</v>
      </c>
      <c r="I202">
        <v>1</v>
      </c>
      <c r="J202" t="s">
        <v>327</v>
      </c>
      <c r="K202" t="s">
        <v>316</v>
      </c>
      <c r="L202" t="s">
        <v>50</v>
      </c>
      <c r="M202">
        <v>2206</v>
      </c>
      <c r="N202">
        <v>6</v>
      </c>
    </row>
    <row r="203" spans="1:14" x14ac:dyDescent="0.3">
      <c r="A203" t="s">
        <v>500</v>
      </c>
      <c r="B203" t="s">
        <v>501</v>
      </c>
      <c r="C203" t="s">
        <v>502</v>
      </c>
      <c r="D203" t="s">
        <v>336</v>
      </c>
      <c r="E203" t="s">
        <v>44</v>
      </c>
      <c r="F203">
        <v>99448.78</v>
      </c>
      <c r="G203" t="s">
        <v>319</v>
      </c>
      <c r="H203" s="9">
        <v>43473</v>
      </c>
      <c r="I203">
        <v>1</v>
      </c>
      <c r="J203" t="s">
        <v>327</v>
      </c>
      <c r="K203" t="s">
        <v>316</v>
      </c>
      <c r="L203" t="s">
        <v>14</v>
      </c>
      <c r="M203">
        <v>2635</v>
      </c>
      <c r="N203">
        <v>7</v>
      </c>
    </row>
    <row r="204" spans="1:14" x14ac:dyDescent="0.3">
      <c r="A204" t="s">
        <v>804</v>
      </c>
      <c r="B204" t="s">
        <v>805</v>
      </c>
      <c r="C204" t="s">
        <v>806</v>
      </c>
      <c r="D204" t="s">
        <v>11</v>
      </c>
      <c r="E204" t="s">
        <v>67</v>
      </c>
      <c r="F204">
        <v>68795.48</v>
      </c>
      <c r="G204" t="s">
        <v>319</v>
      </c>
      <c r="H204" s="9">
        <v>44277</v>
      </c>
      <c r="I204">
        <v>0.2</v>
      </c>
      <c r="J204" t="s">
        <v>13</v>
      </c>
      <c r="K204" t="s">
        <v>320</v>
      </c>
      <c r="L204" t="s">
        <v>26</v>
      </c>
      <c r="M204">
        <v>1831</v>
      </c>
      <c r="N204">
        <v>5</v>
      </c>
    </row>
    <row r="205" spans="1:14" x14ac:dyDescent="0.3">
      <c r="A205" t="s">
        <v>559</v>
      </c>
      <c r="B205" t="s">
        <v>560</v>
      </c>
      <c r="C205" t="s">
        <v>561</v>
      </c>
      <c r="D205" t="s">
        <v>11</v>
      </c>
      <c r="E205" t="s">
        <v>47</v>
      </c>
      <c r="F205">
        <v>99683.67</v>
      </c>
      <c r="G205" t="s">
        <v>319</v>
      </c>
      <c r="H205" s="9">
        <v>43500</v>
      </c>
      <c r="I205">
        <v>1</v>
      </c>
      <c r="J205" t="s">
        <v>327</v>
      </c>
      <c r="K205" t="s">
        <v>316</v>
      </c>
      <c r="L205" t="s">
        <v>53</v>
      </c>
      <c r="M205">
        <v>2608</v>
      </c>
      <c r="N205">
        <v>7</v>
      </c>
    </row>
    <row r="206" spans="1:14" x14ac:dyDescent="0.3">
      <c r="A206" t="s">
        <v>839</v>
      </c>
      <c r="B206" t="s">
        <v>840</v>
      </c>
      <c r="C206" t="s">
        <v>841</v>
      </c>
      <c r="D206" t="s">
        <v>24</v>
      </c>
      <c r="E206" t="s">
        <v>37</v>
      </c>
      <c r="F206">
        <v>38825.18</v>
      </c>
      <c r="G206" t="s">
        <v>348</v>
      </c>
      <c r="H206" s="9">
        <v>43696</v>
      </c>
      <c r="I206">
        <v>1</v>
      </c>
      <c r="J206" t="s">
        <v>357</v>
      </c>
      <c r="K206" t="s">
        <v>316</v>
      </c>
      <c r="L206" t="s">
        <v>26</v>
      </c>
      <c r="M206">
        <v>2412</v>
      </c>
      <c r="N206">
        <v>7</v>
      </c>
    </row>
    <row r="207" spans="1:14" x14ac:dyDescent="0.3">
      <c r="A207" t="s">
        <v>842</v>
      </c>
      <c r="B207" t="s">
        <v>843</v>
      </c>
      <c r="C207" t="s">
        <v>844</v>
      </c>
      <c r="D207" t="s">
        <v>11</v>
      </c>
      <c r="E207" t="s">
        <v>62</v>
      </c>
      <c r="F207">
        <v>71229.42</v>
      </c>
      <c r="G207" t="s">
        <v>319</v>
      </c>
      <c r="H207" s="9">
        <v>44166</v>
      </c>
      <c r="I207">
        <v>1</v>
      </c>
      <c r="J207" t="s">
        <v>13</v>
      </c>
      <c r="K207" t="s">
        <v>316</v>
      </c>
      <c r="L207" t="s">
        <v>18</v>
      </c>
      <c r="M207">
        <v>1942</v>
      </c>
      <c r="N207">
        <v>5</v>
      </c>
    </row>
    <row r="208" spans="1:14" x14ac:dyDescent="0.3">
      <c r="A208" t="s">
        <v>19</v>
      </c>
      <c r="B208" t="s">
        <v>541</v>
      </c>
      <c r="C208" t="s">
        <v>542</v>
      </c>
      <c r="D208" t="s">
        <v>11</v>
      </c>
      <c r="E208" t="s">
        <v>17</v>
      </c>
      <c r="F208">
        <v>80695.740000000005</v>
      </c>
      <c r="G208" t="s">
        <v>319</v>
      </c>
      <c r="H208" s="9">
        <v>43360</v>
      </c>
      <c r="I208">
        <v>1</v>
      </c>
      <c r="J208" t="s">
        <v>13</v>
      </c>
      <c r="K208" t="s">
        <v>316</v>
      </c>
      <c r="L208" t="s">
        <v>21</v>
      </c>
      <c r="M208">
        <v>2748</v>
      </c>
      <c r="N208">
        <v>8</v>
      </c>
    </row>
    <row r="209" spans="1:14" x14ac:dyDescent="0.3">
      <c r="A209" t="s">
        <v>65</v>
      </c>
      <c r="B209" t="s">
        <v>845</v>
      </c>
      <c r="C209" t="s">
        <v>846</v>
      </c>
      <c r="D209" t="s">
        <v>11</v>
      </c>
      <c r="E209" t="s">
        <v>67</v>
      </c>
      <c r="F209">
        <v>72502.61</v>
      </c>
      <c r="G209" t="s">
        <v>319</v>
      </c>
      <c r="H209" s="9">
        <v>44235</v>
      </c>
      <c r="I209">
        <v>1</v>
      </c>
      <c r="J209" t="s">
        <v>13</v>
      </c>
      <c r="K209" t="s">
        <v>316</v>
      </c>
      <c r="L209" t="s">
        <v>14</v>
      </c>
      <c r="M209">
        <v>1873</v>
      </c>
      <c r="N209">
        <v>5</v>
      </c>
    </row>
    <row r="210" spans="1:14" x14ac:dyDescent="0.3">
      <c r="A210" t="s">
        <v>847</v>
      </c>
      <c r="B210" t="s">
        <v>848</v>
      </c>
      <c r="C210" t="s">
        <v>849</v>
      </c>
      <c r="D210" t="s">
        <v>11</v>
      </c>
      <c r="E210" t="s">
        <v>67</v>
      </c>
      <c r="F210">
        <v>68197.899999999994</v>
      </c>
      <c r="G210" t="s">
        <v>319</v>
      </c>
      <c r="H210" s="9">
        <v>44119</v>
      </c>
      <c r="I210">
        <v>1</v>
      </c>
      <c r="J210" t="s">
        <v>13</v>
      </c>
      <c r="K210" t="s">
        <v>316</v>
      </c>
      <c r="L210" t="s">
        <v>56</v>
      </c>
      <c r="M210">
        <v>1989</v>
      </c>
      <c r="N210">
        <v>5</v>
      </c>
    </row>
    <row r="211" spans="1:14" x14ac:dyDescent="0.3">
      <c r="A211" t="s">
        <v>850</v>
      </c>
      <c r="B211" t="s">
        <v>509</v>
      </c>
      <c r="C211" t="s">
        <v>851</v>
      </c>
      <c r="D211" t="s">
        <v>24</v>
      </c>
      <c r="E211" t="s">
        <v>67</v>
      </c>
      <c r="F211">
        <v>89960.6</v>
      </c>
      <c r="G211" t="s">
        <v>319</v>
      </c>
      <c r="H211" s="9">
        <v>43515</v>
      </c>
      <c r="I211">
        <v>1</v>
      </c>
      <c r="J211" t="s">
        <v>327</v>
      </c>
      <c r="K211" t="s">
        <v>316</v>
      </c>
      <c r="L211" t="s">
        <v>56</v>
      </c>
      <c r="M211">
        <v>2593</v>
      </c>
      <c r="N211">
        <v>7</v>
      </c>
    </row>
    <row r="212" spans="1:14" x14ac:dyDescent="0.3">
      <c r="A212" t="s">
        <v>713</v>
      </c>
      <c r="B212" t="s">
        <v>852</v>
      </c>
      <c r="C212" t="s">
        <v>853</v>
      </c>
      <c r="D212" t="s">
        <v>24</v>
      </c>
      <c r="E212" t="s">
        <v>34</v>
      </c>
      <c r="F212">
        <v>28481.16</v>
      </c>
      <c r="G212" t="s">
        <v>348</v>
      </c>
      <c r="H212" s="9">
        <v>43916</v>
      </c>
      <c r="I212">
        <v>1</v>
      </c>
      <c r="J212" t="s">
        <v>13</v>
      </c>
      <c r="K212" t="s">
        <v>316</v>
      </c>
      <c r="L212" t="s">
        <v>18</v>
      </c>
      <c r="M212">
        <v>2192</v>
      </c>
      <c r="N212">
        <v>6</v>
      </c>
    </row>
    <row r="213" spans="1:14" x14ac:dyDescent="0.3">
      <c r="A213" t="s">
        <v>466</v>
      </c>
      <c r="B213" t="s">
        <v>854</v>
      </c>
      <c r="C213" t="s">
        <v>855</v>
      </c>
      <c r="D213" t="s">
        <v>11</v>
      </c>
      <c r="E213" t="s">
        <v>12</v>
      </c>
      <c r="F213">
        <v>116767.63</v>
      </c>
      <c r="G213" t="s">
        <v>315</v>
      </c>
      <c r="H213" s="9">
        <v>43949</v>
      </c>
      <c r="I213">
        <v>0.4</v>
      </c>
      <c r="J213" t="s">
        <v>357</v>
      </c>
      <c r="K213" t="s">
        <v>320</v>
      </c>
      <c r="L213" t="s">
        <v>50</v>
      </c>
      <c r="M213">
        <v>2159</v>
      </c>
      <c r="N213">
        <v>6</v>
      </c>
    </row>
    <row r="214" spans="1:14" x14ac:dyDescent="0.3">
      <c r="A214" t="s">
        <v>856</v>
      </c>
      <c r="B214" t="s">
        <v>857</v>
      </c>
      <c r="C214" t="s">
        <v>858</v>
      </c>
      <c r="D214" t="s">
        <v>24</v>
      </c>
      <c r="E214" t="s">
        <v>67</v>
      </c>
      <c r="F214">
        <v>80360.41</v>
      </c>
      <c r="G214" t="s">
        <v>319</v>
      </c>
      <c r="H214" s="9">
        <v>44167</v>
      </c>
      <c r="I214">
        <v>1</v>
      </c>
      <c r="J214" t="s">
        <v>13</v>
      </c>
      <c r="K214" t="s">
        <v>316</v>
      </c>
      <c r="L214" t="s">
        <v>26</v>
      </c>
      <c r="M214">
        <v>1941</v>
      </c>
      <c r="N214">
        <v>5</v>
      </c>
    </row>
    <row r="215" spans="1:14" x14ac:dyDescent="0.3">
      <c r="A215" t="s">
        <v>134</v>
      </c>
      <c r="B215" t="s">
        <v>859</v>
      </c>
      <c r="C215" t="s">
        <v>860</v>
      </c>
      <c r="D215" t="s">
        <v>11</v>
      </c>
      <c r="E215" t="s">
        <v>89</v>
      </c>
      <c r="F215">
        <v>77045.440000000002</v>
      </c>
      <c r="G215" t="s">
        <v>319</v>
      </c>
      <c r="H215" s="9">
        <v>43636</v>
      </c>
      <c r="I215">
        <v>1</v>
      </c>
      <c r="J215" t="s">
        <v>13</v>
      </c>
      <c r="K215" t="s">
        <v>316</v>
      </c>
      <c r="L215" t="s">
        <v>26</v>
      </c>
      <c r="M215">
        <v>2472</v>
      </c>
      <c r="N215">
        <v>7</v>
      </c>
    </row>
    <row r="216" spans="1:14" x14ac:dyDescent="0.3">
      <c r="A216" t="s">
        <v>9</v>
      </c>
      <c r="B216" t="s">
        <v>861</v>
      </c>
      <c r="C216" t="s">
        <v>862</v>
      </c>
      <c r="D216" t="s">
        <v>11</v>
      </c>
      <c r="E216" t="s">
        <v>12</v>
      </c>
      <c r="F216">
        <v>96135.75</v>
      </c>
      <c r="G216" t="s">
        <v>319</v>
      </c>
      <c r="H216" s="9">
        <v>44025</v>
      </c>
      <c r="I216">
        <v>0.3</v>
      </c>
      <c r="J216" t="s">
        <v>13</v>
      </c>
      <c r="K216" t="s">
        <v>320</v>
      </c>
      <c r="L216" t="s">
        <v>14</v>
      </c>
      <c r="M216">
        <v>2083</v>
      </c>
      <c r="N216">
        <v>6</v>
      </c>
    </row>
    <row r="217" spans="1:14" x14ac:dyDescent="0.3">
      <c r="A217" t="s">
        <v>863</v>
      </c>
      <c r="B217" t="s">
        <v>864</v>
      </c>
      <c r="C217" t="s">
        <v>865</v>
      </c>
      <c r="D217" t="s">
        <v>11</v>
      </c>
      <c r="E217" t="s">
        <v>89</v>
      </c>
      <c r="F217">
        <v>102129.37</v>
      </c>
      <c r="G217" t="s">
        <v>315</v>
      </c>
      <c r="H217" s="9">
        <v>44396</v>
      </c>
      <c r="I217">
        <v>1</v>
      </c>
      <c r="J217" t="s">
        <v>13</v>
      </c>
      <c r="K217" t="s">
        <v>316</v>
      </c>
      <c r="L217" t="s">
        <v>21</v>
      </c>
      <c r="M217">
        <v>1712</v>
      </c>
      <c r="N217">
        <v>5</v>
      </c>
    </row>
    <row r="218" spans="1:14" x14ac:dyDescent="0.3">
      <c r="A218" t="s">
        <v>866</v>
      </c>
      <c r="B218" t="s">
        <v>867</v>
      </c>
      <c r="C218" t="s">
        <v>868</v>
      </c>
      <c r="D218" t="s">
        <v>11</v>
      </c>
      <c r="E218" t="s">
        <v>12</v>
      </c>
      <c r="F218">
        <v>99965.97</v>
      </c>
      <c r="G218" t="s">
        <v>319</v>
      </c>
      <c r="H218" s="9">
        <v>43133</v>
      </c>
      <c r="I218">
        <v>1</v>
      </c>
      <c r="J218" t="s">
        <v>13</v>
      </c>
      <c r="K218" t="s">
        <v>316</v>
      </c>
      <c r="L218" t="s">
        <v>26</v>
      </c>
      <c r="M218">
        <v>2975</v>
      </c>
      <c r="N218">
        <v>8</v>
      </c>
    </row>
    <row r="219" spans="1:14" x14ac:dyDescent="0.3">
      <c r="A219" t="s">
        <v>869</v>
      </c>
      <c r="B219" t="s">
        <v>870</v>
      </c>
      <c r="C219" t="s">
        <v>871</v>
      </c>
      <c r="D219" t="s">
        <v>11</v>
      </c>
      <c r="E219" t="s">
        <v>67</v>
      </c>
      <c r="F219">
        <v>49625.64</v>
      </c>
      <c r="G219" t="s">
        <v>348</v>
      </c>
      <c r="H219" s="9">
        <v>44384</v>
      </c>
      <c r="I219">
        <v>0.5</v>
      </c>
      <c r="J219" t="s">
        <v>327</v>
      </c>
      <c r="K219" t="s">
        <v>320</v>
      </c>
      <c r="L219" t="s">
        <v>26</v>
      </c>
      <c r="M219">
        <v>1724</v>
      </c>
      <c r="N219">
        <v>5</v>
      </c>
    </row>
    <row r="220" spans="1:14" x14ac:dyDescent="0.3">
      <c r="A220" t="s">
        <v>872</v>
      </c>
      <c r="B220" t="s">
        <v>873</v>
      </c>
      <c r="C220" t="s">
        <v>874</v>
      </c>
      <c r="D220" t="s">
        <v>11</v>
      </c>
      <c r="E220" t="s">
        <v>59</v>
      </c>
      <c r="F220">
        <v>94815.28</v>
      </c>
      <c r="G220" t="s">
        <v>319</v>
      </c>
      <c r="H220" s="9">
        <v>43440</v>
      </c>
      <c r="I220">
        <v>1</v>
      </c>
      <c r="J220" t="s">
        <v>13</v>
      </c>
      <c r="K220" t="s">
        <v>316</v>
      </c>
      <c r="L220" t="s">
        <v>53</v>
      </c>
      <c r="M220">
        <v>2668</v>
      </c>
      <c r="N220">
        <v>7</v>
      </c>
    </row>
    <row r="221" spans="1:14" x14ac:dyDescent="0.3">
      <c r="A221" t="s">
        <v>104</v>
      </c>
      <c r="B221" t="s">
        <v>875</v>
      </c>
      <c r="C221" t="s">
        <v>876</v>
      </c>
      <c r="D221" t="s">
        <v>24</v>
      </c>
      <c r="E221" t="s">
        <v>82</v>
      </c>
      <c r="F221">
        <v>36714.379999999997</v>
      </c>
      <c r="G221" t="s">
        <v>348</v>
      </c>
      <c r="H221" s="9">
        <v>44175</v>
      </c>
      <c r="I221">
        <v>1</v>
      </c>
      <c r="J221" t="s">
        <v>13</v>
      </c>
      <c r="K221" t="s">
        <v>316</v>
      </c>
      <c r="L221" t="s">
        <v>50</v>
      </c>
      <c r="M221">
        <v>1933</v>
      </c>
      <c r="N221">
        <v>5</v>
      </c>
    </row>
    <row r="222" spans="1:14" x14ac:dyDescent="0.3">
      <c r="A222" t="s">
        <v>27</v>
      </c>
      <c r="B222" t="s">
        <v>877</v>
      </c>
      <c r="C222" t="s">
        <v>878</v>
      </c>
      <c r="D222" t="s">
        <v>11</v>
      </c>
      <c r="E222" t="s">
        <v>29</v>
      </c>
      <c r="F222">
        <v>67905.8</v>
      </c>
      <c r="G222" t="s">
        <v>319</v>
      </c>
      <c r="H222" s="9">
        <v>44194</v>
      </c>
      <c r="I222">
        <v>1</v>
      </c>
      <c r="J222" t="s">
        <v>13</v>
      </c>
      <c r="K222" t="s">
        <v>316</v>
      </c>
      <c r="L222" t="s">
        <v>26</v>
      </c>
      <c r="M222">
        <v>1914</v>
      </c>
      <c r="N222">
        <v>5</v>
      </c>
    </row>
    <row r="223" spans="1:14" x14ac:dyDescent="0.3">
      <c r="A223" t="s">
        <v>879</v>
      </c>
      <c r="B223" t="s">
        <v>880</v>
      </c>
      <c r="C223" t="s">
        <v>881</v>
      </c>
      <c r="D223" t="s">
        <v>24</v>
      </c>
      <c r="E223" t="s">
        <v>44</v>
      </c>
      <c r="F223">
        <v>69862.38</v>
      </c>
      <c r="G223" t="s">
        <v>319</v>
      </c>
      <c r="H223" s="9">
        <v>43458</v>
      </c>
      <c r="I223">
        <v>1</v>
      </c>
      <c r="J223" t="s">
        <v>13</v>
      </c>
      <c r="K223" t="s">
        <v>316</v>
      </c>
      <c r="L223" t="s">
        <v>14</v>
      </c>
      <c r="M223">
        <v>2650</v>
      </c>
      <c r="N223">
        <v>7</v>
      </c>
    </row>
    <row r="224" spans="1:14" x14ac:dyDescent="0.3">
      <c r="A224" t="s">
        <v>74</v>
      </c>
      <c r="B224" t="s">
        <v>641</v>
      </c>
      <c r="C224" t="s">
        <v>642</v>
      </c>
      <c r="D224" t="s">
        <v>24</v>
      </c>
      <c r="E224" t="s">
        <v>37</v>
      </c>
      <c r="F224">
        <v>36547.58</v>
      </c>
      <c r="G224" t="s">
        <v>348</v>
      </c>
      <c r="H224" s="9">
        <v>43416</v>
      </c>
      <c r="I224">
        <v>1</v>
      </c>
      <c r="J224" t="s">
        <v>13</v>
      </c>
      <c r="K224" t="s">
        <v>316</v>
      </c>
      <c r="L224" t="s">
        <v>26</v>
      </c>
      <c r="M224">
        <v>2692</v>
      </c>
      <c r="N224">
        <v>7</v>
      </c>
    </row>
    <row r="225" spans="1:14" x14ac:dyDescent="0.3">
      <c r="A225" t="s">
        <v>882</v>
      </c>
      <c r="B225" t="s">
        <v>883</v>
      </c>
      <c r="C225" t="s">
        <v>884</v>
      </c>
      <c r="D225" t="s">
        <v>24</v>
      </c>
      <c r="E225" t="s">
        <v>17</v>
      </c>
      <c r="F225">
        <v>106400.02</v>
      </c>
      <c r="G225" t="s">
        <v>315</v>
      </c>
      <c r="H225" s="9">
        <v>44021</v>
      </c>
      <c r="I225">
        <v>1</v>
      </c>
      <c r="J225" t="s">
        <v>357</v>
      </c>
      <c r="K225" t="s">
        <v>316</v>
      </c>
      <c r="L225" t="s">
        <v>50</v>
      </c>
      <c r="M225">
        <v>2087</v>
      </c>
      <c r="N225">
        <v>6</v>
      </c>
    </row>
    <row r="226" spans="1:14" x14ac:dyDescent="0.3">
      <c r="A226" t="s">
        <v>885</v>
      </c>
      <c r="B226" t="s">
        <v>886</v>
      </c>
      <c r="C226" t="s">
        <v>887</v>
      </c>
      <c r="D226" t="s">
        <v>24</v>
      </c>
      <c r="E226" t="s">
        <v>44</v>
      </c>
      <c r="F226">
        <v>103494.94</v>
      </c>
      <c r="G226" t="s">
        <v>315</v>
      </c>
      <c r="H226" s="9">
        <v>43256</v>
      </c>
      <c r="I226">
        <v>1</v>
      </c>
      <c r="J226" t="s">
        <v>13</v>
      </c>
      <c r="K226" t="s">
        <v>316</v>
      </c>
      <c r="L226" t="s">
        <v>26</v>
      </c>
      <c r="M226">
        <v>2852</v>
      </c>
      <c r="N226">
        <v>8</v>
      </c>
    </row>
    <row r="227" spans="1:14" x14ac:dyDescent="0.3">
      <c r="A227" t="s">
        <v>738</v>
      </c>
      <c r="B227" t="s">
        <v>739</v>
      </c>
      <c r="C227" t="s">
        <v>740</v>
      </c>
      <c r="D227" t="s">
        <v>24</v>
      </c>
      <c r="E227" t="s">
        <v>89</v>
      </c>
      <c r="F227">
        <v>96753.78</v>
      </c>
      <c r="G227" t="s">
        <v>319</v>
      </c>
      <c r="H227" s="9">
        <v>44494</v>
      </c>
      <c r="I227">
        <v>1</v>
      </c>
      <c r="J227" t="s">
        <v>13</v>
      </c>
      <c r="K227" t="s">
        <v>316</v>
      </c>
      <c r="L227" t="s">
        <v>56</v>
      </c>
      <c r="M227">
        <v>1614</v>
      </c>
      <c r="N227">
        <v>4</v>
      </c>
    </row>
    <row r="228" spans="1:14" x14ac:dyDescent="0.3">
      <c r="A228" t="s">
        <v>19</v>
      </c>
      <c r="B228" t="s">
        <v>541</v>
      </c>
      <c r="C228" t="s">
        <v>542</v>
      </c>
      <c r="D228" t="s">
        <v>11</v>
      </c>
      <c r="E228" t="s">
        <v>17</v>
      </c>
      <c r="F228">
        <v>80695.740000000005</v>
      </c>
      <c r="G228" t="s">
        <v>319</v>
      </c>
      <c r="H228" s="9">
        <v>43360</v>
      </c>
      <c r="I228">
        <v>1</v>
      </c>
      <c r="J228" t="s">
        <v>13</v>
      </c>
      <c r="K228" t="s">
        <v>316</v>
      </c>
      <c r="L228" t="s">
        <v>21</v>
      </c>
      <c r="M228">
        <v>2748</v>
      </c>
      <c r="N228">
        <v>8</v>
      </c>
    </row>
    <row r="229" spans="1:14" x14ac:dyDescent="0.3">
      <c r="A229" t="s">
        <v>888</v>
      </c>
      <c r="B229" t="s">
        <v>889</v>
      </c>
      <c r="C229" t="s">
        <v>890</v>
      </c>
      <c r="D229" t="s">
        <v>11</v>
      </c>
      <c r="E229" t="s">
        <v>34</v>
      </c>
      <c r="F229">
        <v>61213.01</v>
      </c>
      <c r="G229" t="s">
        <v>319</v>
      </c>
      <c r="H229" s="9">
        <v>44365</v>
      </c>
      <c r="I229">
        <v>1</v>
      </c>
      <c r="J229" t="s">
        <v>13</v>
      </c>
      <c r="K229" t="s">
        <v>316</v>
      </c>
      <c r="L229" t="s">
        <v>50</v>
      </c>
      <c r="M229">
        <v>1743</v>
      </c>
      <c r="N229">
        <v>5</v>
      </c>
    </row>
    <row r="230" spans="1:14" x14ac:dyDescent="0.3">
      <c r="A230" t="s">
        <v>891</v>
      </c>
      <c r="B230" t="s">
        <v>892</v>
      </c>
      <c r="C230" t="s">
        <v>893</v>
      </c>
      <c r="D230" t="s">
        <v>24</v>
      </c>
      <c r="E230" t="s">
        <v>47</v>
      </c>
      <c r="F230">
        <v>69709.509999999995</v>
      </c>
      <c r="G230" t="s">
        <v>319</v>
      </c>
      <c r="H230" s="9">
        <v>43472</v>
      </c>
      <c r="I230">
        <v>1</v>
      </c>
      <c r="J230" t="s">
        <v>13</v>
      </c>
      <c r="K230" t="s">
        <v>316</v>
      </c>
      <c r="L230" t="s">
        <v>18</v>
      </c>
      <c r="M230">
        <v>2636</v>
      </c>
      <c r="N230">
        <v>7</v>
      </c>
    </row>
    <row r="231" spans="1:14" x14ac:dyDescent="0.3">
      <c r="A231" t="s">
        <v>894</v>
      </c>
      <c r="B231" t="s">
        <v>895</v>
      </c>
      <c r="C231" t="s">
        <v>896</v>
      </c>
      <c r="D231" t="s">
        <v>11</v>
      </c>
      <c r="E231" t="s">
        <v>47</v>
      </c>
      <c r="F231">
        <v>46751.7</v>
      </c>
      <c r="G231" t="s">
        <v>348</v>
      </c>
      <c r="H231" s="9">
        <v>43843</v>
      </c>
      <c r="I231">
        <v>1</v>
      </c>
      <c r="J231" t="s">
        <v>327</v>
      </c>
      <c r="K231" t="s">
        <v>316</v>
      </c>
      <c r="L231" t="s">
        <v>18</v>
      </c>
      <c r="M231">
        <v>2265</v>
      </c>
      <c r="N231">
        <v>6</v>
      </c>
    </row>
    <row r="232" spans="1:14" x14ac:dyDescent="0.3">
      <c r="A232" t="s">
        <v>68</v>
      </c>
      <c r="B232" t="s">
        <v>897</v>
      </c>
      <c r="C232" t="s">
        <v>898</v>
      </c>
      <c r="D232" t="s">
        <v>24</v>
      </c>
      <c r="E232" t="s">
        <v>62</v>
      </c>
      <c r="F232">
        <v>77096.05</v>
      </c>
      <c r="G232" t="s">
        <v>319</v>
      </c>
      <c r="H232" s="9">
        <v>43217</v>
      </c>
      <c r="I232">
        <v>1</v>
      </c>
      <c r="J232" t="s">
        <v>13</v>
      </c>
      <c r="K232" t="s">
        <v>316</v>
      </c>
      <c r="L232" t="s">
        <v>50</v>
      </c>
      <c r="M232">
        <v>2891</v>
      </c>
      <c r="N232">
        <v>8</v>
      </c>
    </row>
    <row r="233" spans="1:14" x14ac:dyDescent="0.3">
      <c r="A233" t="s">
        <v>447</v>
      </c>
      <c r="B233" t="s">
        <v>448</v>
      </c>
      <c r="C233" t="s">
        <v>449</v>
      </c>
      <c r="D233" t="s">
        <v>11</v>
      </c>
      <c r="E233" t="s">
        <v>67</v>
      </c>
      <c r="F233">
        <v>67818.14</v>
      </c>
      <c r="G233" t="s">
        <v>319</v>
      </c>
      <c r="H233" s="9">
        <v>43406</v>
      </c>
      <c r="I233">
        <v>0.6</v>
      </c>
      <c r="J233" t="s">
        <v>327</v>
      </c>
      <c r="K233" t="s">
        <v>320</v>
      </c>
      <c r="L233" t="s">
        <v>26</v>
      </c>
      <c r="M233">
        <v>2702</v>
      </c>
      <c r="N233">
        <v>7</v>
      </c>
    </row>
    <row r="234" spans="1:14" x14ac:dyDescent="0.3">
      <c r="A234" t="s">
        <v>899</v>
      </c>
      <c r="B234" t="s">
        <v>900</v>
      </c>
      <c r="C234" t="s">
        <v>901</v>
      </c>
      <c r="D234" t="s">
        <v>24</v>
      </c>
      <c r="E234" t="s">
        <v>67</v>
      </c>
      <c r="F234">
        <v>77743.149999999994</v>
      </c>
      <c r="G234" t="s">
        <v>319</v>
      </c>
      <c r="H234" s="9">
        <v>43920</v>
      </c>
      <c r="I234">
        <v>1</v>
      </c>
      <c r="J234" t="s">
        <v>13</v>
      </c>
      <c r="K234" t="s">
        <v>316</v>
      </c>
      <c r="L234" t="s">
        <v>50</v>
      </c>
      <c r="M234">
        <v>2188</v>
      </c>
      <c r="N234">
        <v>6</v>
      </c>
    </row>
    <row r="235" spans="1:14" x14ac:dyDescent="0.3">
      <c r="A235" t="s">
        <v>72</v>
      </c>
      <c r="B235" t="s">
        <v>902</v>
      </c>
      <c r="C235" t="s">
        <v>903</v>
      </c>
      <c r="D235" t="s">
        <v>24</v>
      </c>
      <c r="E235" t="s">
        <v>44</v>
      </c>
      <c r="F235">
        <v>48525.71</v>
      </c>
      <c r="G235" t="s">
        <v>348</v>
      </c>
      <c r="H235" s="9">
        <v>43264</v>
      </c>
      <c r="I235">
        <v>1</v>
      </c>
      <c r="J235" t="s">
        <v>13</v>
      </c>
      <c r="K235" t="s">
        <v>316</v>
      </c>
      <c r="L235" t="s">
        <v>18</v>
      </c>
      <c r="M235">
        <v>2844</v>
      </c>
      <c r="N235">
        <v>8</v>
      </c>
    </row>
    <row r="236" spans="1:14" x14ac:dyDescent="0.3">
      <c r="A236" t="s">
        <v>885</v>
      </c>
      <c r="B236" t="s">
        <v>886</v>
      </c>
      <c r="C236" t="s">
        <v>887</v>
      </c>
      <c r="D236" t="s">
        <v>24</v>
      </c>
      <c r="E236" t="s">
        <v>44</v>
      </c>
      <c r="F236">
        <v>103494.94</v>
      </c>
      <c r="G236" t="s">
        <v>315</v>
      </c>
      <c r="H236" s="9">
        <v>43256</v>
      </c>
      <c r="I236">
        <v>1</v>
      </c>
      <c r="J236" t="s">
        <v>13</v>
      </c>
      <c r="K236" t="s">
        <v>316</v>
      </c>
      <c r="L236" t="s">
        <v>26</v>
      </c>
      <c r="M236">
        <v>2852</v>
      </c>
      <c r="N236">
        <v>8</v>
      </c>
    </row>
    <row r="237" spans="1:14" x14ac:dyDescent="0.3">
      <c r="A237" t="s">
        <v>882</v>
      </c>
      <c r="B237" t="s">
        <v>904</v>
      </c>
      <c r="C237" t="s">
        <v>905</v>
      </c>
      <c r="D237" t="s">
        <v>24</v>
      </c>
      <c r="E237" t="s">
        <v>17</v>
      </c>
      <c r="F237">
        <v>106400.02</v>
      </c>
      <c r="G237" t="s">
        <v>315</v>
      </c>
      <c r="H237" s="9">
        <v>44021</v>
      </c>
      <c r="I237">
        <v>1</v>
      </c>
      <c r="J237" t="s">
        <v>357</v>
      </c>
      <c r="K237" t="s">
        <v>316</v>
      </c>
      <c r="L237" t="s">
        <v>50</v>
      </c>
      <c r="M237">
        <v>2087</v>
      </c>
      <c r="N237">
        <v>6</v>
      </c>
    </row>
    <row r="238" spans="1:14" x14ac:dyDescent="0.3">
      <c r="A238" t="s">
        <v>906</v>
      </c>
      <c r="B238" t="s">
        <v>907</v>
      </c>
      <c r="C238" t="s">
        <v>908</v>
      </c>
      <c r="D238" t="s">
        <v>24</v>
      </c>
      <c r="E238" t="s">
        <v>44</v>
      </c>
      <c r="F238">
        <v>65569.36</v>
      </c>
      <c r="G238" t="s">
        <v>319</v>
      </c>
      <c r="H238" s="9">
        <v>43293</v>
      </c>
      <c r="I238">
        <v>1</v>
      </c>
      <c r="J238" t="s">
        <v>327</v>
      </c>
      <c r="K238" t="s">
        <v>316</v>
      </c>
      <c r="L238" t="s">
        <v>56</v>
      </c>
      <c r="M238">
        <v>2815</v>
      </c>
      <c r="N238">
        <v>8</v>
      </c>
    </row>
    <row r="239" spans="1:14" x14ac:dyDescent="0.3">
      <c r="A239" t="s">
        <v>660</v>
      </c>
      <c r="B239" t="s">
        <v>909</v>
      </c>
      <c r="C239" t="s">
        <v>910</v>
      </c>
      <c r="D239" t="s">
        <v>24</v>
      </c>
      <c r="E239" t="s">
        <v>67</v>
      </c>
      <c r="F239">
        <v>40445.29</v>
      </c>
      <c r="G239" t="s">
        <v>348</v>
      </c>
      <c r="H239" s="9">
        <v>44393</v>
      </c>
      <c r="I239">
        <v>1</v>
      </c>
      <c r="J239" t="s">
        <v>13</v>
      </c>
      <c r="K239" t="s">
        <v>316</v>
      </c>
      <c r="L239" t="s">
        <v>50</v>
      </c>
      <c r="M239">
        <v>1715</v>
      </c>
      <c r="N239">
        <v>5</v>
      </c>
    </row>
    <row r="240" spans="1:14" x14ac:dyDescent="0.3">
      <c r="A240" t="s">
        <v>911</v>
      </c>
      <c r="B240" t="s">
        <v>912</v>
      </c>
      <c r="C240" t="s">
        <v>913</v>
      </c>
      <c r="D240" t="s">
        <v>11</v>
      </c>
      <c r="E240" t="s">
        <v>59</v>
      </c>
      <c r="F240">
        <v>114772.32</v>
      </c>
      <c r="G240" t="s">
        <v>315</v>
      </c>
      <c r="H240" s="9">
        <v>44251</v>
      </c>
      <c r="I240">
        <v>1</v>
      </c>
      <c r="J240" t="s">
        <v>13</v>
      </c>
      <c r="K240" t="s">
        <v>316</v>
      </c>
      <c r="L240" t="s">
        <v>21</v>
      </c>
      <c r="M240">
        <v>1857</v>
      </c>
      <c r="N240">
        <v>5</v>
      </c>
    </row>
    <row r="241" spans="1:14" x14ac:dyDescent="0.3">
      <c r="A241" t="s">
        <v>914</v>
      </c>
      <c r="B241" t="s">
        <v>915</v>
      </c>
      <c r="C241" t="s">
        <v>916</v>
      </c>
      <c r="D241" t="s">
        <v>11</v>
      </c>
      <c r="E241" t="s">
        <v>12</v>
      </c>
      <c r="F241">
        <v>56253.81</v>
      </c>
      <c r="G241" t="s">
        <v>319</v>
      </c>
      <c r="H241" s="9">
        <v>44421</v>
      </c>
      <c r="I241">
        <v>1</v>
      </c>
      <c r="J241" t="s">
        <v>13</v>
      </c>
      <c r="K241" t="s">
        <v>316</v>
      </c>
      <c r="L241" t="s">
        <v>56</v>
      </c>
      <c r="M241">
        <v>1687</v>
      </c>
      <c r="N241">
        <v>5</v>
      </c>
    </row>
    <row r="242" spans="1:14" x14ac:dyDescent="0.3">
      <c r="A242" t="s">
        <v>917</v>
      </c>
      <c r="B242" t="s">
        <v>918</v>
      </c>
      <c r="C242" t="s">
        <v>919</v>
      </c>
      <c r="D242" t="s">
        <v>11</v>
      </c>
      <c r="E242" t="s">
        <v>67</v>
      </c>
      <c r="F242">
        <v>51798.25</v>
      </c>
      <c r="G242" t="s">
        <v>319</v>
      </c>
      <c r="H242" s="9">
        <v>43665</v>
      </c>
      <c r="I242">
        <v>1</v>
      </c>
      <c r="J242" t="s">
        <v>13</v>
      </c>
      <c r="K242" t="s">
        <v>316</v>
      </c>
      <c r="L242" t="s">
        <v>18</v>
      </c>
      <c r="M242">
        <v>2443</v>
      </c>
      <c r="N242">
        <v>7</v>
      </c>
    </row>
    <row r="243" spans="1:14" x14ac:dyDescent="0.3">
      <c r="A243" t="s">
        <v>920</v>
      </c>
      <c r="B243" t="s">
        <v>921</v>
      </c>
      <c r="C243" t="s">
        <v>922</v>
      </c>
      <c r="D243" t="s">
        <v>24</v>
      </c>
      <c r="E243" t="s">
        <v>44</v>
      </c>
      <c r="F243">
        <v>28329.77</v>
      </c>
      <c r="G243" t="s">
        <v>348</v>
      </c>
      <c r="H243" s="9">
        <v>43402</v>
      </c>
      <c r="I243">
        <v>1</v>
      </c>
      <c r="J243" t="s">
        <v>13</v>
      </c>
      <c r="K243" t="s">
        <v>316</v>
      </c>
      <c r="L243" t="s">
        <v>53</v>
      </c>
      <c r="M243">
        <v>2706</v>
      </c>
      <c r="N243">
        <v>7</v>
      </c>
    </row>
    <row r="244" spans="1:14" x14ac:dyDescent="0.3">
      <c r="A244" t="s">
        <v>923</v>
      </c>
      <c r="B244" t="s">
        <v>924</v>
      </c>
      <c r="C244" t="s">
        <v>925</v>
      </c>
      <c r="D244" t="s">
        <v>11</v>
      </c>
      <c r="E244" t="s">
        <v>12</v>
      </c>
      <c r="F244">
        <v>93964.3</v>
      </c>
      <c r="G244" t="s">
        <v>319</v>
      </c>
      <c r="H244" s="9">
        <v>44454</v>
      </c>
      <c r="I244">
        <v>0.4</v>
      </c>
      <c r="J244" t="s">
        <v>327</v>
      </c>
      <c r="K244" t="s">
        <v>320</v>
      </c>
      <c r="L244" t="s">
        <v>18</v>
      </c>
      <c r="M244">
        <v>1654</v>
      </c>
      <c r="N244">
        <v>5</v>
      </c>
    </row>
    <row r="245" spans="1:14" x14ac:dyDescent="0.3">
      <c r="A245" t="s">
        <v>926</v>
      </c>
      <c r="B245" t="s">
        <v>401</v>
      </c>
      <c r="C245" t="s">
        <v>402</v>
      </c>
      <c r="D245" t="s">
        <v>24</v>
      </c>
      <c r="E245" t="s">
        <v>17</v>
      </c>
      <c r="F245">
        <v>90884.32</v>
      </c>
      <c r="G245" t="s">
        <v>319</v>
      </c>
      <c r="H245" s="9">
        <v>44039</v>
      </c>
      <c r="I245">
        <v>0.5</v>
      </c>
      <c r="J245" t="s">
        <v>13</v>
      </c>
      <c r="K245" t="s">
        <v>320</v>
      </c>
      <c r="L245" t="s">
        <v>21</v>
      </c>
      <c r="M245">
        <v>2069</v>
      </c>
      <c r="N245">
        <v>6</v>
      </c>
    </row>
    <row r="246" spans="1:14" x14ac:dyDescent="0.3">
      <c r="A246" t="s">
        <v>60</v>
      </c>
      <c r="B246" t="s">
        <v>927</v>
      </c>
      <c r="C246" t="s">
        <v>928</v>
      </c>
      <c r="D246" t="s">
        <v>24</v>
      </c>
      <c r="E246" t="s">
        <v>62</v>
      </c>
      <c r="F246">
        <v>84742.86</v>
      </c>
      <c r="G246" t="s">
        <v>319</v>
      </c>
      <c r="H246" s="9">
        <v>44098</v>
      </c>
      <c r="I246">
        <v>1</v>
      </c>
      <c r="J246" t="s">
        <v>13</v>
      </c>
      <c r="K246" t="s">
        <v>316</v>
      </c>
      <c r="L246" t="s">
        <v>56</v>
      </c>
      <c r="M246">
        <v>2010</v>
      </c>
      <c r="N246">
        <v>6</v>
      </c>
    </row>
    <row r="247" spans="1:14" x14ac:dyDescent="0.3">
      <c r="A247" t="s">
        <v>929</v>
      </c>
      <c r="B247" t="s">
        <v>930</v>
      </c>
      <c r="C247" t="s">
        <v>931</v>
      </c>
      <c r="D247" t="s">
        <v>24</v>
      </c>
      <c r="E247" t="s">
        <v>89</v>
      </c>
      <c r="F247">
        <v>80772.92</v>
      </c>
      <c r="G247" t="s">
        <v>319</v>
      </c>
      <c r="H247" s="9">
        <v>44137</v>
      </c>
      <c r="I247">
        <v>1</v>
      </c>
      <c r="J247" t="s">
        <v>357</v>
      </c>
      <c r="K247" t="s">
        <v>316</v>
      </c>
      <c r="L247" t="s">
        <v>26</v>
      </c>
      <c r="M247">
        <v>1971</v>
      </c>
      <c r="N247">
        <v>5</v>
      </c>
    </row>
    <row r="248" spans="1:14" x14ac:dyDescent="0.3">
      <c r="A248" t="s">
        <v>932</v>
      </c>
      <c r="B248" t="s">
        <v>933</v>
      </c>
      <c r="C248" t="s">
        <v>934</v>
      </c>
      <c r="D248" t="s">
        <v>11</v>
      </c>
      <c r="E248" t="s">
        <v>44</v>
      </c>
      <c r="F248">
        <v>85264.38</v>
      </c>
      <c r="G248" t="s">
        <v>319</v>
      </c>
      <c r="H248" s="9">
        <v>43220</v>
      </c>
      <c r="I248">
        <v>1</v>
      </c>
      <c r="J248" t="s">
        <v>13</v>
      </c>
      <c r="K248" t="s">
        <v>316</v>
      </c>
      <c r="L248" t="s">
        <v>50</v>
      </c>
      <c r="M248">
        <v>2888</v>
      </c>
      <c r="N248">
        <v>8</v>
      </c>
    </row>
    <row r="249" spans="1:14" x14ac:dyDescent="0.3">
      <c r="A249" t="s">
        <v>506</v>
      </c>
      <c r="B249" t="s">
        <v>507</v>
      </c>
      <c r="C249" t="s">
        <v>508</v>
      </c>
      <c r="D249" t="s">
        <v>24</v>
      </c>
      <c r="E249" t="s">
        <v>34</v>
      </c>
      <c r="F249">
        <v>113747.56</v>
      </c>
      <c r="G249" t="s">
        <v>315</v>
      </c>
      <c r="H249" s="9">
        <v>44270</v>
      </c>
      <c r="I249">
        <v>0.7</v>
      </c>
      <c r="J249" t="s">
        <v>357</v>
      </c>
      <c r="K249" t="s">
        <v>320</v>
      </c>
      <c r="L249" t="s">
        <v>21</v>
      </c>
      <c r="M249">
        <v>1838</v>
      </c>
      <c r="N249">
        <v>5</v>
      </c>
    </row>
    <row r="250" spans="1:14" x14ac:dyDescent="0.3">
      <c r="A250" t="s">
        <v>94</v>
      </c>
      <c r="B250" t="s">
        <v>935</v>
      </c>
      <c r="C250" t="s">
        <v>936</v>
      </c>
      <c r="D250" t="s">
        <v>11</v>
      </c>
      <c r="E250" t="s">
        <v>59</v>
      </c>
      <c r="F250">
        <v>78378.2</v>
      </c>
      <c r="G250" t="s">
        <v>319</v>
      </c>
      <c r="H250" s="9">
        <v>43465</v>
      </c>
      <c r="I250">
        <v>0.4</v>
      </c>
      <c r="J250" t="s">
        <v>13</v>
      </c>
      <c r="K250" t="s">
        <v>320</v>
      </c>
      <c r="L250" t="s">
        <v>26</v>
      </c>
      <c r="M250">
        <v>2643</v>
      </c>
      <c r="N250">
        <v>7</v>
      </c>
    </row>
    <row r="251" spans="1:14" x14ac:dyDescent="0.3">
      <c r="A251" t="s">
        <v>937</v>
      </c>
      <c r="B251" t="s">
        <v>938</v>
      </c>
      <c r="C251" t="s">
        <v>939</v>
      </c>
      <c r="D251" t="s">
        <v>24</v>
      </c>
      <c r="E251" t="s">
        <v>89</v>
      </c>
      <c r="F251">
        <v>91314.75</v>
      </c>
      <c r="G251" t="s">
        <v>319</v>
      </c>
      <c r="H251" s="9">
        <v>43931</v>
      </c>
      <c r="I251">
        <v>1</v>
      </c>
      <c r="J251" t="s">
        <v>327</v>
      </c>
      <c r="K251" t="s">
        <v>316</v>
      </c>
      <c r="L251" t="s">
        <v>53</v>
      </c>
      <c r="M251">
        <v>2177</v>
      </c>
      <c r="N251">
        <v>6</v>
      </c>
    </row>
    <row r="252" spans="1:14" x14ac:dyDescent="0.3">
      <c r="A252" t="s">
        <v>114</v>
      </c>
      <c r="B252" t="s">
        <v>940</v>
      </c>
      <c r="C252" t="s">
        <v>941</v>
      </c>
      <c r="D252" t="s">
        <v>24</v>
      </c>
      <c r="E252" t="s">
        <v>34</v>
      </c>
      <c r="F252">
        <v>66572.58</v>
      </c>
      <c r="G252" t="s">
        <v>319</v>
      </c>
      <c r="H252" s="9">
        <v>44193</v>
      </c>
      <c r="I252">
        <v>1</v>
      </c>
      <c r="J252" t="s">
        <v>13</v>
      </c>
      <c r="K252" t="s">
        <v>316</v>
      </c>
      <c r="L252" t="s">
        <v>50</v>
      </c>
      <c r="M252">
        <v>1915</v>
      </c>
      <c r="N252">
        <v>5</v>
      </c>
    </row>
    <row r="253" spans="1:14" x14ac:dyDescent="0.3">
      <c r="A253" t="s">
        <v>942</v>
      </c>
      <c r="B253" t="s">
        <v>943</v>
      </c>
      <c r="C253" t="s">
        <v>944</v>
      </c>
      <c r="D253" t="s">
        <v>24</v>
      </c>
      <c r="E253" t="s">
        <v>82</v>
      </c>
      <c r="F253">
        <v>30077.45</v>
      </c>
      <c r="G253" t="s">
        <v>348</v>
      </c>
      <c r="H253" s="9">
        <v>43474</v>
      </c>
      <c r="I253">
        <v>1</v>
      </c>
      <c r="J253" t="s">
        <v>13</v>
      </c>
      <c r="K253" t="s">
        <v>316</v>
      </c>
      <c r="L253" t="s">
        <v>14</v>
      </c>
      <c r="M253">
        <v>2634</v>
      </c>
      <c r="N253">
        <v>7</v>
      </c>
    </row>
    <row r="254" spans="1:14" x14ac:dyDescent="0.3">
      <c r="A254" t="s">
        <v>945</v>
      </c>
      <c r="B254" t="s">
        <v>946</v>
      </c>
      <c r="C254" t="s">
        <v>947</v>
      </c>
      <c r="D254" t="s">
        <v>336</v>
      </c>
      <c r="E254" t="s">
        <v>37</v>
      </c>
      <c r="F254">
        <v>98012.63</v>
      </c>
      <c r="G254" t="s">
        <v>319</v>
      </c>
      <c r="H254" s="9">
        <v>43780</v>
      </c>
      <c r="I254">
        <v>1</v>
      </c>
      <c r="J254" t="s">
        <v>13</v>
      </c>
      <c r="K254" t="s">
        <v>316</v>
      </c>
      <c r="L254" t="s">
        <v>26</v>
      </c>
      <c r="M254">
        <v>2328</v>
      </c>
      <c r="N254">
        <v>6</v>
      </c>
    </row>
    <row r="255" spans="1:14" x14ac:dyDescent="0.3">
      <c r="A255" t="s">
        <v>112</v>
      </c>
      <c r="B255" t="s">
        <v>484</v>
      </c>
      <c r="C255" t="s">
        <v>485</v>
      </c>
      <c r="D255" t="s">
        <v>24</v>
      </c>
      <c r="E255" t="s">
        <v>44</v>
      </c>
      <c r="F255">
        <v>72876.91</v>
      </c>
      <c r="G255" t="s">
        <v>319</v>
      </c>
      <c r="H255" s="9">
        <v>43837</v>
      </c>
      <c r="I255">
        <v>1</v>
      </c>
      <c r="J255" t="s">
        <v>13</v>
      </c>
      <c r="K255" t="s">
        <v>316</v>
      </c>
      <c r="L255" t="s">
        <v>26</v>
      </c>
      <c r="M255">
        <v>2271</v>
      </c>
      <c r="N255">
        <v>6</v>
      </c>
    </row>
    <row r="256" spans="1:14" x14ac:dyDescent="0.3">
      <c r="A256" t="s">
        <v>948</v>
      </c>
      <c r="B256" t="s">
        <v>949</v>
      </c>
      <c r="C256" t="s">
        <v>950</v>
      </c>
      <c r="D256" t="s">
        <v>24</v>
      </c>
      <c r="E256" t="s">
        <v>59</v>
      </c>
      <c r="F256">
        <v>92943.89</v>
      </c>
      <c r="G256" t="s">
        <v>319</v>
      </c>
      <c r="H256" s="9">
        <v>44510</v>
      </c>
      <c r="I256">
        <v>1</v>
      </c>
      <c r="J256" t="s">
        <v>13</v>
      </c>
      <c r="K256" t="s">
        <v>316</v>
      </c>
      <c r="L256" t="s">
        <v>18</v>
      </c>
      <c r="M256">
        <v>1598</v>
      </c>
      <c r="N256">
        <v>4</v>
      </c>
    </row>
    <row r="257" spans="1:14" x14ac:dyDescent="0.3">
      <c r="A257" t="s">
        <v>951</v>
      </c>
      <c r="B257" t="s">
        <v>952</v>
      </c>
      <c r="C257" t="s">
        <v>953</v>
      </c>
      <c r="D257" t="s">
        <v>11</v>
      </c>
      <c r="E257" t="s">
        <v>44</v>
      </c>
      <c r="F257">
        <v>29808.07</v>
      </c>
      <c r="G257" t="s">
        <v>348</v>
      </c>
      <c r="H257" s="9">
        <v>43291</v>
      </c>
      <c r="I257">
        <v>0.3</v>
      </c>
      <c r="J257" t="s">
        <v>357</v>
      </c>
      <c r="K257" t="s">
        <v>320</v>
      </c>
      <c r="L257" t="s">
        <v>18</v>
      </c>
      <c r="M257">
        <v>2817</v>
      </c>
      <c r="N257">
        <v>8</v>
      </c>
    </row>
    <row r="258" spans="1:14" x14ac:dyDescent="0.3">
      <c r="A258" t="s">
        <v>123</v>
      </c>
      <c r="B258" t="s">
        <v>954</v>
      </c>
      <c r="C258" t="s">
        <v>955</v>
      </c>
      <c r="D258" t="s">
        <v>11</v>
      </c>
      <c r="E258" t="s">
        <v>89</v>
      </c>
      <c r="F258">
        <v>47551.89</v>
      </c>
      <c r="G258" t="s">
        <v>348</v>
      </c>
      <c r="H258" s="9">
        <v>43468</v>
      </c>
      <c r="I258">
        <v>1</v>
      </c>
      <c r="J258" t="s">
        <v>13</v>
      </c>
      <c r="K258" t="s">
        <v>316</v>
      </c>
      <c r="L258" t="s">
        <v>56</v>
      </c>
      <c r="M258">
        <v>2640</v>
      </c>
      <c r="N258">
        <v>7</v>
      </c>
    </row>
    <row r="259" spans="1:14" x14ac:dyDescent="0.3">
      <c r="A259" t="s">
        <v>472</v>
      </c>
      <c r="B259" t="s">
        <v>830</v>
      </c>
      <c r="C259" t="s">
        <v>956</v>
      </c>
      <c r="D259" t="s">
        <v>11</v>
      </c>
      <c r="E259" t="s">
        <v>47</v>
      </c>
      <c r="F259">
        <v>39700.82</v>
      </c>
      <c r="G259" t="s">
        <v>348</v>
      </c>
      <c r="H259" s="9">
        <v>44203</v>
      </c>
      <c r="I259">
        <v>0.8</v>
      </c>
      <c r="J259" t="s">
        <v>13</v>
      </c>
      <c r="K259" t="s">
        <v>320</v>
      </c>
      <c r="L259" t="s">
        <v>50</v>
      </c>
      <c r="M259">
        <v>1905</v>
      </c>
      <c r="N259">
        <v>5</v>
      </c>
    </row>
    <row r="260" spans="1:14" x14ac:dyDescent="0.3">
      <c r="A260" t="s">
        <v>957</v>
      </c>
      <c r="B260" t="s">
        <v>958</v>
      </c>
      <c r="C260" t="s">
        <v>959</v>
      </c>
      <c r="D260" t="s">
        <v>11</v>
      </c>
      <c r="E260" t="s">
        <v>34</v>
      </c>
      <c r="F260">
        <v>31089.22</v>
      </c>
      <c r="G260" t="s">
        <v>348</v>
      </c>
      <c r="H260" s="9">
        <v>43776</v>
      </c>
      <c r="I260">
        <v>1</v>
      </c>
      <c r="J260" t="s">
        <v>327</v>
      </c>
      <c r="K260" t="s">
        <v>316</v>
      </c>
      <c r="L260" t="s">
        <v>50</v>
      </c>
      <c r="M260">
        <v>2332</v>
      </c>
      <c r="N260">
        <v>6</v>
      </c>
    </row>
    <row r="261" spans="1:14" x14ac:dyDescent="0.3">
      <c r="A261" t="s">
        <v>960</v>
      </c>
      <c r="B261" t="s">
        <v>961</v>
      </c>
      <c r="C261" t="s">
        <v>962</v>
      </c>
      <c r="D261" t="s">
        <v>11</v>
      </c>
      <c r="E261" t="s">
        <v>89</v>
      </c>
      <c r="F261">
        <v>78020.39</v>
      </c>
      <c r="G261" t="s">
        <v>319</v>
      </c>
      <c r="H261" s="9">
        <v>43899</v>
      </c>
      <c r="I261">
        <v>1</v>
      </c>
      <c r="J261" t="s">
        <v>13</v>
      </c>
      <c r="K261" t="s">
        <v>316</v>
      </c>
      <c r="L261" t="s">
        <v>26</v>
      </c>
      <c r="M261">
        <v>2209</v>
      </c>
      <c r="N261">
        <v>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5B0F7-A3D3-4DC5-A69F-2DA0FD7C0FB2}">
  <dimension ref="B6:R592"/>
  <sheetViews>
    <sheetView tabSelected="1" topLeftCell="A2" zoomScale="127" workbookViewId="0">
      <selection activeCell="C575" sqref="C575:E575"/>
    </sheetView>
  </sheetViews>
  <sheetFormatPr defaultRowHeight="14.4" x14ac:dyDescent="0.3"/>
  <cols>
    <col min="3" max="3" width="23.88671875" customWidth="1"/>
    <col min="4" max="4" width="23.21875" bestFit="1" customWidth="1"/>
    <col min="5" max="5" width="24" customWidth="1"/>
    <col min="6" max="6" width="20.21875" customWidth="1"/>
    <col min="7" max="7" width="23.109375" customWidth="1"/>
    <col min="8" max="8" width="16.33203125" customWidth="1"/>
    <col min="9" max="9" width="13.88671875" customWidth="1"/>
    <col min="10" max="10" width="12.44140625" customWidth="1"/>
    <col min="11" max="11" width="10.33203125" bestFit="1" customWidth="1"/>
    <col min="13" max="13" width="14.5546875" customWidth="1"/>
    <col min="15" max="15" width="23.5546875" customWidth="1"/>
  </cols>
  <sheetData>
    <row r="6" spans="4:9" x14ac:dyDescent="0.3">
      <c r="D6" s="13" t="s">
        <v>3</v>
      </c>
      <c r="E6" s="14" t="s">
        <v>963</v>
      </c>
      <c r="F6" s="14" t="s">
        <v>964</v>
      </c>
      <c r="G6" s="15"/>
      <c r="H6" s="15"/>
      <c r="I6" s="15"/>
    </row>
    <row r="7" spans="4:9" x14ac:dyDescent="0.3">
      <c r="D7" s="12" t="s">
        <v>59</v>
      </c>
      <c r="E7" s="12">
        <f>COUNTIFS(Staff[Department],D7)</f>
        <v>26</v>
      </c>
      <c r="F7" s="12" cm="1">
        <f t="array" ref="F7:F18">SUMIFS(Staff[Salary],Staff[Department],D7:D18)</f>
        <v>2131387.4899999998</v>
      </c>
      <c r="G7" s="10" cm="1">
        <f t="array" ref="G7:G18">AVERAGEIFS(Staff[Salary],Staff[Department],D7:D18)</f>
        <v>81976.441923076913</v>
      </c>
      <c r="H7" s="10"/>
      <c r="I7" s="10"/>
    </row>
    <row r="8" spans="4:9" x14ac:dyDescent="0.3">
      <c r="D8" s="12" t="s">
        <v>17</v>
      </c>
      <c r="E8" s="12">
        <f>COUNTIFS(Staff[Department],D8)</f>
        <v>26</v>
      </c>
      <c r="F8" s="12">
        <v>2074326.9500000004</v>
      </c>
      <c r="G8" s="10">
        <v>79781.805769230792</v>
      </c>
      <c r="H8" s="10"/>
      <c r="I8" s="10"/>
    </row>
    <row r="9" spans="4:9" x14ac:dyDescent="0.3">
      <c r="D9" s="12" t="s">
        <v>62</v>
      </c>
      <c r="E9" s="12">
        <f>COUNTIFS(Staff[Department],D9)</f>
        <v>21</v>
      </c>
      <c r="F9" s="12">
        <v>1568153.4700000002</v>
      </c>
      <c r="G9" s="10">
        <v>74673.97476190477</v>
      </c>
      <c r="H9" s="10"/>
      <c r="I9" s="10"/>
    </row>
    <row r="10" spans="4:9" x14ac:dyDescent="0.3">
      <c r="D10" s="12" t="s">
        <v>12</v>
      </c>
      <c r="E10" s="12">
        <f>COUNTIFS(Staff[Department],D10)</f>
        <v>24</v>
      </c>
      <c r="F10" s="12">
        <v>2013215.1600000001</v>
      </c>
      <c r="G10" s="10">
        <v>83883.965000000011</v>
      </c>
      <c r="H10" s="10"/>
      <c r="I10" s="10"/>
    </row>
    <row r="11" spans="4:9" x14ac:dyDescent="0.3">
      <c r="D11" s="12" t="s">
        <v>82</v>
      </c>
      <c r="E11" s="12">
        <f>COUNTIFS(Staff[Department],D11)</f>
        <v>17</v>
      </c>
      <c r="F11" s="12">
        <v>1129351.7499999998</v>
      </c>
      <c r="G11" s="10">
        <v>66432.455882352922</v>
      </c>
      <c r="H11" s="10"/>
      <c r="I11" s="10"/>
    </row>
    <row r="12" spans="4:9" x14ac:dyDescent="0.3">
      <c r="D12" s="12" t="s">
        <v>29</v>
      </c>
      <c r="E12" s="12">
        <f>COUNTIFS(Staff[Department],D12)</f>
        <v>12</v>
      </c>
      <c r="F12" s="12">
        <v>773295.6</v>
      </c>
      <c r="G12" s="10">
        <v>64441.299999999996</v>
      </c>
      <c r="H12" s="10"/>
      <c r="I12" s="10"/>
    </row>
    <row r="13" spans="4:9" x14ac:dyDescent="0.3">
      <c r="D13" s="12" t="s">
        <v>47</v>
      </c>
      <c r="E13" s="12">
        <f>COUNTIFS(Staff[Department],D13)</f>
        <v>18</v>
      </c>
      <c r="F13" s="12">
        <v>1204393.78</v>
      </c>
      <c r="G13" s="10">
        <v>66910.765555555554</v>
      </c>
      <c r="H13" s="10"/>
      <c r="I13" s="10"/>
    </row>
    <row r="14" spans="4:9" x14ac:dyDescent="0.3">
      <c r="D14" s="12" t="s">
        <v>44</v>
      </c>
      <c r="E14" s="12">
        <f>COUNTIFS(Staff[Department],D14)</f>
        <v>22</v>
      </c>
      <c r="F14" s="12">
        <v>1608406.31</v>
      </c>
      <c r="G14" s="10">
        <v>73109.377727272731</v>
      </c>
      <c r="H14" s="10"/>
      <c r="I14" s="10"/>
    </row>
    <row r="15" spans="4:9" x14ac:dyDescent="0.3">
      <c r="D15" s="12" t="s">
        <v>37</v>
      </c>
      <c r="E15" s="12">
        <f>COUNTIFS(Staff[Department],D15)</f>
        <v>26</v>
      </c>
      <c r="F15" s="12">
        <v>1814980.5899999999</v>
      </c>
      <c r="G15" s="10">
        <v>69806.945769230762</v>
      </c>
      <c r="H15" s="10"/>
      <c r="I15" s="10"/>
    </row>
    <row r="16" spans="4:9" x14ac:dyDescent="0.3">
      <c r="D16" s="12" t="s">
        <v>89</v>
      </c>
      <c r="E16" s="12">
        <f>COUNTIFS(Staff[Department],D16)</f>
        <v>18</v>
      </c>
      <c r="F16" s="12">
        <v>1294147.72</v>
      </c>
      <c r="G16" s="10">
        <v>71897.095555555556</v>
      </c>
      <c r="H16" s="10"/>
      <c r="I16" s="10"/>
    </row>
    <row r="17" spans="4:17" x14ac:dyDescent="0.3">
      <c r="D17" s="12" t="s">
        <v>67</v>
      </c>
      <c r="E17" s="12">
        <f>COUNTIFS(Staff[Department],D17)</f>
        <v>29</v>
      </c>
      <c r="F17" s="12">
        <v>2180192.8699999996</v>
      </c>
      <c r="G17" s="10">
        <v>75179.064482758607</v>
      </c>
      <c r="H17" s="10"/>
      <c r="I17" s="10"/>
    </row>
    <row r="18" spans="4:17" x14ac:dyDescent="0.3">
      <c r="D18" s="12" t="s">
        <v>34</v>
      </c>
      <c r="E18" s="12">
        <f>COUNTIFS(Staff[Department],D18)</f>
        <v>21</v>
      </c>
      <c r="F18" s="12">
        <v>1412092.8699999999</v>
      </c>
      <c r="G18" s="10">
        <v>67242.51761904762</v>
      </c>
      <c r="H18" s="10"/>
      <c r="I18" s="10"/>
    </row>
    <row r="19" spans="4:17" x14ac:dyDescent="0.3">
      <c r="D19" s="11"/>
    </row>
    <row r="21" spans="4:17" x14ac:dyDescent="0.3">
      <c r="D21" s="77" t="s">
        <v>965</v>
      </c>
      <c r="E21" s="78"/>
    </row>
    <row r="22" spans="4:17" x14ac:dyDescent="0.3">
      <c r="D22" s="18" t="str" cm="1">
        <f t="array" ref="D22:Q22">Staff[#Headers]</f>
        <v>Emp ID</v>
      </c>
      <c r="E22" s="18" t="str">
        <v>First name</v>
      </c>
      <c r="F22" s="18" t="str">
        <v>Last name</v>
      </c>
      <c r="G22" s="18" t="str">
        <v>Gender</v>
      </c>
      <c r="H22" s="18" t="str">
        <v>Department</v>
      </c>
      <c r="I22" s="18" t="str">
        <v>Salary</v>
      </c>
      <c r="J22" s="18" t="str">
        <v>Salary bucket</v>
      </c>
      <c r="K22" s="18" t="str">
        <v>Start Date</v>
      </c>
      <c r="L22" s="18" t="str">
        <v>FTE</v>
      </c>
      <c r="M22" s="18" t="str">
        <v>Employee type</v>
      </c>
      <c r="N22" s="18" t="str">
        <v>Work type</v>
      </c>
      <c r="O22" s="18" t="str">
        <v>Work location</v>
      </c>
      <c r="P22" s="18" t="str">
        <v>Age</v>
      </c>
      <c r="Q22" s="18" t="str">
        <v>Total Years</v>
      </c>
    </row>
    <row r="23" spans="4:17" x14ac:dyDescent="0.3">
      <c r="D23" s="10" t="str" cm="1">
        <f t="array" ref="D23:Q69">_xlfn._xlws.FILTER(Staff[],Staff[Salary]&gt;100000)</f>
        <v>PR00147</v>
      </c>
      <c r="E23" s="10" t="str">
        <v>Minerva</v>
      </c>
      <c r="F23" s="10" t="str">
        <v>Ricardot</v>
      </c>
      <c r="G23" s="10" t="str">
        <v>Male</v>
      </c>
      <c r="H23" s="10" t="str">
        <v>Engineering</v>
      </c>
      <c r="I23" s="10">
        <v>120000</v>
      </c>
      <c r="J23" s="10" t="str">
        <v>Above 100k</v>
      </c>
      <c r="K23" s="17">
        <v>43416</v>
      </c>
      <c r="L23" s="10">
        <v>1</v>
      </c>
      <c r="M23" s="10" t="str">
        <v>Permanent</v>
      </c>
      <c r="N23" s="10" t="str">
        <v>Full time</v>
      </c>
      <c r="O23" s="10" t="str">
        <v>Remote</v>
      </c>
      <c r="P23" s="10">
        <v>2692</v>
      </c>
      <c r="Q23" s="10">
        <v>7</v>
      </c>
    </row>
    <row r="24" spans="4:17" x14ac:dyDescent="0.3">
      <c r="D24" s="10" t="str">
        <v>SQ04612</v>
      </c>
      <c r="E24" s="10" t="str">
        <v>Mick</v>
      </c>
      <c r="F24" s="10" t="str">
        <v>Spraberry</v>
      </c>
      <c r="G24" s="10" t="str">
        <v>Female</v>
      </c>
      <c r="H24" s="10" t="str">
        <v>Services</v>
      </c>
      <c r="I24" s="10">
        <v>120000</v>
      </c>
      <c r="J24" s="10" t="str">
        <v>Above 100k</v>
      </c>
      <c r="K24" s="17">
        <v>43902</v>
      </c>
      <c r="L24" s="10">
        <v>0.9</v>
      </c>
      <c r="M24" s="10" t="str">
        <v>Permanent</v>
      </c>
      <c r="N24" s="10" t="str">
        <v>Part time</v>
      </c>
      <c r="O24" s="10" t="str">
        <v>Remote</v>
      </c>
      <c r="P24" s="10">
        <v>2206</v>
      </c>
      <c r="Q24" s="10">
        <v>6</v>
      </c>
    </row>
    <row r="25" spans="4:17" x14ac:dyDescent="0.3">
      <c r="D25" s="10" t="str">
        <v>SQ00144</v>
      </c>
      <c r="E25" s="10" t="str">
        <v>Collen</v>
      </c>
      <c r="F25" s="10" t="str">
        <v>Dunbleton</v>
      </c>
      <c r="G25" s="10" t="str">
        <v>Male</v>
      </c>
      <c r="H25" s="10" t="str">
        <v>Engineering</v>
      </c>
      <c r="I25" s="10">
        <v>118976.16</v>
      </c>
      <c r="J25" s="10" t="str">
        <v>Above 100k</v>
      </c>
      <c r="K25" s="17">
        <v>44120</v>
      </c>
      <c r="L25" s="10">
        <v>1</v>
      </c>
      <c r="M25" s="10" t="str">
        <v>Permanent</v>
      </c>
      <c r="N25" s="10" t="str">
        <v>Full time</v>
      </c>
      <c r="O25" s="10" t="str">
        <v>Wellington, New Zealand</v>
      </c>
      <c r="P25" s="10">
        <v>1988</v>
      </c>
      <c r="Q25" s="10">
        <v>5</v>
      </c>
    </row>
    <row r="26" spans="4:17" x14ac:dyDescent="0.3">
      <c r="D26" s="10" t="str">
        <v>PR04601</v>
      </c>
      <c r="E26" s="10" t="str">
        <v>Yedukondalu</v>
      </c>
      <c r="F26" s="10" t="str">
        <v>Panditula</v>
      </c>
      <c r="G26" s="10" t="str">
        <v>Missing</v>
      </c>
      <c r="H26" s="10" t="str">
        <v>Support</v>
      </c>
      <c r="I26" s="10">
        <v>104802.63</v>
      </c>
      <c r="J26" s="10" t="str">
        <v>Above 100k</v>
      </c>
      <c r="K26" s="17">
        <v>44502</v>
      </c>
      <c r="L26" s="10">
        <v>1</v>
      </c>
      <c r="M26" s="10" t="str">
        <v>Permanent</v>
      </c>
      <c r="N26" s="10" t="str">
        <v>Full time</v>
      </c>
      <c r="O26" s="10" t="str">
        <v>Hyderabad, India</v>
      </c>
      <c r="P26" s="10">
        <v>1606</v>
      </c>
      <c r="Q26" s="10">
        <v>4</v>
      </c>
    </row>
    <row r="27" spans="4:17" x14ac:dyDescent="0.3">
      <c r="D27" s="10" t="str">
        <v>TN01281</v>
      </c>
      <c r="E27" s="10" t="str">
        <v>Cletus</v>
      </c>
      <c r="F27" s="10" t="str">
        <v>McGarahan</v>
      </c>
      <c r="G27" s="10" t="str">
        <v>Female</v>
      </c>
      <c r="H27" s="10" t="str">
        <v>Engineering</v>
      </c>
      <c r="I27" s="10">
        <v>114425.19</v>
      </c>
      <c r="J27" s="10" t="str">
        <v>Above 100k</v>
      </c>
      <c r="K27" s="17">
        <v>43857</v>
      </c>
      <c r="L27" s="10">
        <v>1</v>
      </c>
      <c r="M27" s="10" t="str">
        <v>Permanent</v>
      </c>
      <c r="N27" s="10" t="str">
        <v>Full time</v>
      </c>
      <c r="O27" s="10" t="str">
        <v>Wellington, New Zealand</v>
      </c>
      <c r="P27" s="10">
        <v>2251</v>
      </c>
      <c r="Q27" s="10">
        <v>6</v>
      </c>
    </row>
    <row r="28" spans="4:17" x14ac:dyDescent="0.3">
      <c r="D28" s="10" t="str">
        <v>PR02288</v>
      </c>
      <c r="E28" s="10" t="str">
        <v>Althea</v>
      </c>
      <c r="F28" s="10" t="str">
        <v>Bronger</v>
      </c>
      <c r="G28" s="10" t="str">
        <v>Male</v>
      </c>
      <c r="H28" s="10" t="str">
        <v>Product Management</v>
      </c>
      <c r="I28" s="10">
        <v>104335.03999999999</v>
      </c>
      <c r="J28" s="10" t="str">
        <v>Above 100k</v>
      </c>
      <c r="K28" s="17">
        <v>43874</v>
      </c>
      <c r="L28" s="10">
        <v>1</v>
      </c>
      <c r="M28" s="10" t="str">
        <v>Permanent</v>
      </c>
      <c r="N28" s="10" t="str">
        <v>Full time</v>
      </c>
      <c r="O28" s="10" t="str">
        <v>Columbus, USA</v>
      </c>
      <c r="P28" s="10">
        <v>2234</v>
      </c>
      <c r="Q28" s="10">
        <v>6</v>
      </c>
    </row>
    <row r="29" spans="4:17" x14ac:dyDescent="0.3">
      <c r="D29" s="10" t="str">
        <v>SQ01620</v>
      </c>
      <c r="E29" s="10" t="str">
        <v>Westbrook</v>
      </c>
      <c r="F29" s="10" t="str">
        <v>Brandino</v>
      </c>
      <c r="G29" s="10" t="str">
        <v>Male</v>
      </c>
      <c r="H29" s="10" t="str">
        <v>Legal</v>
      </c>
      <c r="I29" s="10">
        <v>113616.23</v>
      </c>
      <c r="J29" s="10" t="str">
        <v>Above 100k</v>
      </c>
      <c r="K29" s="17">
        <v>43255</v>
      </c>
      <c r="L29" s="10">
        <v>1</v>
      </c>
      <c r="M29" s="10" t="str">
        <v>Permanent</v>
      </c>
      <c r="N29" s="10" t="str">
        <v>Full time</v>
      </c>
      <c r="O29" s="10" t="str">
        <v>Remote</v>
      </c>
      <c r="P29" s="10">
        <v>2853</v>
      </c>
      <c r="Q29" s="10">
        <v>8</v>
      </c>
    </row>
    <row r="30" spans="4:17" x14ac:dyDescent="0.3">
      <c r="D30" s="10" t="str">
        <v>VT04681</v>
      </c>
      <c r="E30" s="10" t="str">
        <v>Nickolai</v>
      </c>
      <c r="F30" s="10" t="str">
        <v>Artin</v>
      </c>
      <c r="G30" s="10" t="str">
        <v>Female</v>
      </c>
      <c r="H30" s="10" t="str">
        <v>Product Management</v>
      </c>
      <c r="I30" s="10">
        <v>110906.35</v>
      </c>
      <c r="J30" s="10" t="str">
        <v>Above 100k</v>
      </c>
      <c r="K30" s="17">
        <v>43434</v>
      </c>
      <c r="L30" s="10">
        <v>1</v>
      </c>
      <c r="M30" s="10" t="str">
        <v>Temporary</v>
      </c>
      <c r="N30" s="10" t="str">
        <v>Full time</v>
      </c>
      <c r="O30" s="10" t="str">
        <v>Wellington, New Zealand</v>
      </c>
      <c r="P30" s="10">
        <v>2674</v>
      </c>
      <c r="Q30" s="10">
        <v>7</v>
      </c>
    </row>
    <row r="31" spans="4:17" x14ac:dyDescent="0.3">
      <c r="D31" s="10" t="str">
        <v>TN04246</v>
      </c>
      <c r="E31" s="10" t="str">
        <v>Shaylyn</v>
      </c>
      <c r="F31" s="10" t="str">
        <v>Ransbury</v>
      </c>
      <c r="G31" s="10" t="str">
        <v>Female</v>
      </c>
      <c r="H31" s="10" t="str">
        <v>Support</v>
      </c>
      <c r="I31" s="10">
        <v>100371.31</v>
      </c>
      <c r="J31" s="10" t="str">
        <v>Above 100k</v>
      </c>
      <c r="K31" s="17">
        <v>44067</v>
      </c>
      <c r="L31" s="10">
        <v>0.8</v>
      </c>
      <c r="M31" s="10" t="str">
        <v>Fixed Term</v>
      </c>
      <c r="N31" s="10" t="str">
        <v>Part time</v>
      </c>
      <c r="O31" s="10" t="str">
        <v>Auckland, New Zealand</v>
      </c>
      <c r="P31" s="10">
        <v>2041</v>
      </c>
      <c r="Q31" s="10">
        <v>6</v>
      </c>
    </row>
    <row r="32" spans="4:17" x14ac:dyDescent="0.3">
      <c r="D32" s="10" t="str">
        <v>VT02801</v>
      </c>
      <c r="E32" s="10" t="str">
        <v>Shellysheldon</v>
      </c>
      <c r="F32" s="10" t="str">
        <v>Mahady</v>
      </c>
      <c r="G32" s="10" t="str">
        <v>Male</v>
      </c>
      <c r="H32" s="10" t="str">
        <v>Training</v>
      </c>
      <c r="I32" s="10">
        <v>114691.03</v>
      </c>
      <c r="J32" s="10" t="str">
        <v>Above 100k</v>
      </c>
      <c r="K32" s="17">
        <v>44039</v>
      </c>
      <c r="L32" s="10">
        <v>1</v>
      </c>
      <c r="M32" s="10" t="str">
        <v>Temporary</v>
      </c>
      <c r="N32" s="10" t="str">
        <v>Full time</v>
      </c>
      <c r="O32" s="10" t="str">
        <v>Wellington, New Zealand</v>
      </c>
      <c r="P32" s="10">
        <v>2069</v>
      </c>
      <c r="Q32" s="10">
        <v>6</v>
      </c>
    </row>
    <row r="33" spans="4:17" x14ac:dyDescent="0.3">
      <c r="D33" s="10" t="str">
        <v>PR02208</v>
      </c>
      <c r="E33" s="10" t="str">
        <v>Gowri</v>
      </c>
      <c r="F33" s="10" t="str">
        <v>Sankar</v>
      </c>
      <c r="G33" s="10" t="str">
        <v>Female</v>
      </c>
      <c r="H33" s="10" t="str">
        <v>Training</v>
      </c>
      <c r="I33" s="10">
        <v>102934.09</v>
      </c>
      <c r="J33" s="10" t="str">
        <v>Above 100k</v>
      </c>
      <c r="K33" s="17">
        <v>44315</v>
      </c>
      <c r="L33" s="10">
        <v>1</v>
      </c>
      <c r="M33" s="10" t="str">
        <v>Permanent</v>
      </c>
      <c r="N33" s="10" t="str">
        <v>Full time</v>
      </c>
      <c r="O33" s="10" t="str">
        <v>Hyderabad, India</v>
      </c>
      <c r="P33" s="10">
        <v>1793</v>
      </c>
      <c r="Q33" s="10">
        <v>5</v>
      </c>
    </row>
    <row r="34" spans="4:17" x14ac:dyDescent="0.3">
      <c r="D34" s="10" t="str">
        <v>VT04093</v>
      </c>
      <c r="E34" s="10" t="str">
        <v>Prasanna</v>
      </c>
      <c r="F34" s="10" t="str">
        <v>Lakshmi</v>
      </c>
      <c r="G34" s="10" t="str">
        <v>Female</v>
      </c>
      <c r="H34" s="10" t="str">
        <v>Training</v>
      </c>
      <c r="I34" s="10">
        <v>116767.63</v>
      </c>
      <c r="J34" s="10" t="str">
        <v>Above 100k</v>
      </c>
      <c r="K34" s="17">
        <v>43949</v>
      </c>
      <c r="L34" s="10">
        <v>0.4</v>
      </c>
      <c r="M34" s="10" t="str">
        <v>Temporary</v>
      </c>
      <c r="N34" s="10" t="str">
        <v>Part time</v>
      </c>
      <c r="O34" s="10" t="str">
        <v>Chennai, India</v>
      </c>
      <c r="P34" s="10">
        <v>2159</v>
      </c>
      <c r="Q34" s="10">
        <v>6</v>
      </c>
    </row>
    <row r="35" spans="4:17" x14ac:dyDescent="0.3">
      <c r="D35" s="10" t="str">
        <v>VT03421</v>
      </c>
      <c r="E35" s="10" t="str">
        <v>Alic</v>
      </c>
      <c r="F35" s="10" t="str">
        <v>Bagg</v>
      </c>
      <c r="G35" s="10" t="str">
        <v>Male</v>
      </c>
      <c r="H35" s="10" t="str">
        <v>Legal</v>
      </c>
      <c r="I35" s="10">
        <v>113747.56</v>
      </c>
      <c r="J35" s="10" t="str">
        <v>Above 100k</v>
      </c>
      <c r="K35" s="17">
        <v>44270</v>
      </c>
      <c r="L35" s="10">
        <v>0.7</v>
      </c>
      <c r="M35" s="10" t="str">
        <v>Temporary</v>
      </c>
      <c r="N35" s="10" t="str">
        <v>Part time</v>
      </c>
      <c r="O35" s="10" t="str">
        <v>Columbus, USA</v>
      </c>
      <c r="P35" s="10">
        <v>1838</v>
      </c>
      <c r="Q35" s="10">
        <v>5</v>
      </c>
    </row>
    <row r="36" spans="4:17" x14ac:dyDescent="0.3">
      <c r="D36" s="10" t="str">
        <v>VT02491</v>
      </c>
      <c r="E36" s="10" t="str">
        <v>Alexis</v>
      </c>
      <c r="F36" s="10" t="str">
        <v>Gotfrey</v>
      </c>
      <c r="G36" s="10" t="str">
        <v>Male</v>
      </c>
      <c r="H36" s="10" t="str">
        <v>Engineering</v>
      </c>
      <c r="I36" s="10">
        <v>114465.93</v>
      </c>
      <c r="J36" s="10" t="str">
        <v>Above 100k</v>
      </c>
      <c r="K36" s="17">
        <v>43291</v>
      </c>
      <c r="L36" s="10">
        <v>1</v>
      </c>
      <c r="M36" s="10" t="str">
        <v>Temporary</v>
      </c>
      <c r="N36" s="10" t="str">
        <v>Full time</v>
      </c>
      <c r="O36" s="10" t="str">
        <v>Wellington, New Zealand</v>
      </c>
      <c r="P36" s="10">
        <v>2817</v>
      </c>
      <c r="Q36" s="10">
        <v>8</v>
      </c>
    </row>
    <row r="37" spans="4:17" x14ac:dyDescent="0.3">
      <c r="D37" s="10" t="str">
        <v>TN04058</v>
      </c>
      <c r="E37" s="10" t="str">
        <v>Subbarao</v>
      </c>
      <c r="F37" s="10" t="str">
        <v>Malladi</v>
      </c>
      <c r="G37" s="10" t="str">
        <v>Male</v>
      </c>
      <c r="H37" s="10" t="str">
        <v>Product Management</v>
      </c>
      <c r="I37" s="10">
        <v>106775.14</v>
      </c>
      <c r="J37" s="10" t="str">
        <v>Above 100k</v>
      </c>
      <c r="K37" s="17">
        <v>43563</v>
      </c>
      <c r="L37" s="10">
        <v>1</v>
      </c>
      <c r="M37" s="10" t="str">
        <v>Fixed Term</v>
      </c>
      <c r="N37" s="10" t="str">
        <v>Full time</v>
      </c>
      <c r="O37" s="10" t="str">
        <v>Hyderabad, India</v>
      </c>
      <c r="P37" s="10">
        <v>2545</v>
      </c>
      <c r="Q37" s="10">
        <v>7</v>
      </c>
    </row>
    <row r="38" spans="4:17" x14ac:dyDescent="0.3">
      <c r="D38" s="10" t="str">
        <v>PR01159</v>
      </c>
      <c r="E38" s="10" t="str">
        <v>Mollie</v>
      </c>
      <c r="F38" s="10" t="str">
        <v>Hanway</v>
      </c>
      <c r="G38" s="10" t="str">
        <v>Male</v>
      </c>
      <c r="H38" s="10" t="str">
        <v>Engineering</v>
      </c>
      <c r="I38" s="10">
        <v>112645.99</v>
      </c>
      <c r="J38" s="10" t="str">
        <v>Above 100k</v>
      </c>
      <c r="K38" s="17">
        <v>43759</v>
      </c>
      <c r="L38" s="10">
        <v>0.6</v>
      </c>
      <c r="M38" s="10" t="str">
        <v>Permanent</v>
      </c>
      <c r="N38" s="10" t="str">
        <v>Part time</v>
      </c>
      <c r="O38" s="10" t="str">
        <v>Seattle, USA</v>
      </c>
      <c r="P38" s="10">
        <v>2349</v>
      </c>
      <c r="Q38" s="10">
        <v>6</v>
      </c>
    </row>
    <row r="39" spans="4:17" x14ac:dyDescent="0.3">
      <c r="D39" s="10" t="str">
        <v>SQ03476</v>
      </c>
      <c r="E39" s="10" t="str">
        <v>Ramalingam</v>
      </c>
      <c r="F39" s="10" t="str">
        <v>Kothapeta</v>
      </c>
      <c r="G39" s="10" t="str">
        <v>Missing</v>
      </c>
      <c r="H39" s="10" t="str">
        <v>Accounting</v>
      </c>
      <c r="I39" s="10">
        <v>107107.6</v>
      </c>
      <c r="J39" s="10" t="str">
        <v>Above 100k</v>
      </c>
      <c r="K39" s="17">
        <v>43325</v>
      </c>
      <c r="L39" s="10">
        <v>0.9</v>
      </c>
      <c r="M39" s="10" t="str">
        <v>Permanent</v>
      </c>
      <c r="N39" s="10" t="str">
        <v>Part time</v>
      </c>
      <c r="O39" s="10" t="str">
        <v>Chennai, India</v>
      </c>
      <c r="P39" s="10">
        <v>2783</v>
      </c>
      <c r="Q39" s="10">
        <v>8</v>
      </c>
    </row>
    <row r="40" spans="4:17" x14ac:dyDescent="0.3">
      <c r="D40" s="10" t="str">
        <v>VT01684</v>
      </c>
      <c r="E40" s="10" t="str">
        <v>Audry</v>
      </c>
      <c r="F40" s="10" t="str">
        <v>Yu</v>
      </c>
      <c r="G40" s="10" t="str">
        <v>Female</v>
      </c>
      <c r="H40" s="10" t="str">
        <v>Training</v>
      </c>
      <c r="I40" s="10">
        <v>101187.36</v>
      </c>
      <c r="J40" s="10" t="str">
        <v>Above 100k</v>
      </c>
      <c r="K40" s="17">
        <v>43258</v>
      </c>
      <c r="L40" s="10">
        <v>1</v>
      </c>
      <c r="M40" s="10" t="str">
        <v>Fixed Term</v>
      </c>
      <c r="N40" s="10" t="str">
        <v>Full time</v>
      </c>
      <c r="O40" s="10" t="str">
        <v>Columbus, USA</v>
      </c>
      <c r="P40" s="10">
        <v>2850</v>
      </c>
      <c r="Q40" s="10">
        <v>8</v>
      </c>
    </row>
    <row r="41" spans="4:17" x14ac:dyDescent="0.3">
      <c r="D41" s="10" t="str">
        <v>TN04740</v>
      </c>
      <c r="E41" s="10" t="str">
        <v>Tristam</v>
      </c>
      <c r="F41" s="10" t="str">
        <v>Cuming</v>
      </c>
      <c r="G41" s="10" t="str">
        <v>Female</v>
      </c>
      <c r="H41" s="10" t="str">
        <v>Support</v>
      </c>
      <c r="I41" s="10">
        <v>104038.9</v>
      </c>
      <c r="J41" s="10" t="str">
        <v>Above 100k</v>
      </c>
      <c r="K41" s="17">
        <v>43815</v>
      </c>
      <c r="L41" s="10">
        <v>1</v>
      </c>
      <c r="M41" s="10" t="str">
        <v>Fixed Term</v>
      </c>
      <c r="N41" s="10" t="str">
        <v>Full time</v>
      </c>
      <c r="O41" s="10" t="str">
        <v>Remote</v>
      </c>
      <c r="P41" s="10">
        <v>2293</v>
      </c>
      <c r="Q41" s="10">
        <v>6</v>
      </c>
    </row>
    <row r="42" spans="4:17" x14ac:dyDescent="0.3">
      <c r="D42" s="10" t="str">
        <v>VT01893</v>
      </c>
      <c r="E42" s="10" t="str">
        <v>Lindy</v>
      </c>
      <c r="F42" s="10" t="str">
        <v>Guillet</v>
      </c>
      <c r="G42" s="10" t="str">
        <v>Male</v>
      </c>
      <c r="H42" s="10" t="str">
        <v>Training</v>
      </c>
      <c r="I42" s="10">
        <v>112778.28</v>
      </c>
      <c r="J42" s="10" t="str">
        <v>Above 100k</v>
      </c>
      <c r="K42" s="17">
        <v>43250</v>
      </c>
      <c r="L42" s="10">
        <v>1</v>
      </c>
      <c r="M42" s="10" t="str">
        <v>Fixed Term</v>
      </c>
      <c r="N42" s="10" t="str">
        <v>Full time</v>
      </c>
      <c r="O42" s="10" t="str">
        <v>Remote</v>
      </c>
      <c r="P42" s="10">
        <v>2858</v>
      </c>
      <c r="Q42" s="10">
        <v>8</v>
      </c>
    </row>
    <row r="43" spans="4:17" x14ac:dyDescent="0.3">
      <c r="D43" s="10" t="str">
        <v>PR02010</v>
      </c>
      <c r="E43" s="10" t="str">
        <v>Prerana</v>
      </c>
      <c r="F43" s="10" t="str">
        <v>Nishita</v>
      </c>
      <c r="G43" s="10" t="str">
        <v>Male</v>
      </c>
      <c r="H43" s="10" t="str">
        <v>Product Management</v>
      </c>
      <c r="I43" s="10">
        <v>115191.38</v>
      </c>
      <c r="J43" s="10" t="str">
        <v>Above 100k</v>
      </c>
      <c r="K43" s="17">
        <v>44004</v>
      </c>
      <c r="L43" s="10">
        <v>1</v>
      </c>
      <c r="M43" s="10" t="str">
        <v>Permanent</v>
      </c>
      <c r="N43" s="10" t="str">
        <v>Full time</v>
      </c>
      <c r="O43" s="10" t="str">
        <v>Hyderabad, India</v>
      </c>
      <c r="P43" s="10">
        <v>2104</v>
      </c>
      <c r="Q43" s="10">
        <v>6</v>
      </c>
    </row>
    <row r="44" spans="4:17" x14ac:dyDescent="0.3">
      <c r="D44" s="10" t="str">
        <v>SQ00498</v>
      </c>
      <c r="E44" s="10" t="str">
        <v>Amery</v>
      </c>
      <c r="F44" s="10" t="str">
        <v>Ofer</v>
      </c>
      <c r="G44" s="10" t="str">
        <v>Female</v>
      </c>
      <c r="H44" s="10" t="str">
        <v>Legal</v>
      </c>
      <c r="I44" s="10">
        <v>111049.84</v>
      </c>
      <c r="J44" s="10" t="str">
        <v>Above 100k</v>
      </c>
      <c r="K44" s="17">
        <v>44393</v>
      </c>
      <c r="L44" s="10">
        <v>1</v>
      </c>
      <c r="M44" s="10" t="str">
        <v>Permanent</v>
      </c>
      <c r="N44" s="10" t="str">
        <v>Full time</v>
      </c>
      <c r="O44" s="10" t="str">
        <v>Wellington, New Zealand</v>
      </c>
      <c r="P44" s="10">
        <v>1715</v>
      </c>
      <c r="Q44" s="10">
        <v>5</v>
      </c>
    </row>
    <row r="45" spans="4:17" x14ac:dyDescent="0.3">
      <c r="D45" s="10" t="str">
        <v>TN04058</v>
      </c>
      <c r="E45" s="10" t="str">
        <v>Vasu</v>
      </c>
      <c r="F45" s="10" t="str">
        <v>Nandin</v>
      </c>
      <c r="G45" s="10" t="str">
        <v>Male</v>
      </c>
      <c r="H45" s="10" t="str">
        <v>Product Management</v>
      </c>
      <c r="I45" s="10">
        <v>106775.14</v>
      </c>
      <c r="J45" s="10" t="str">
        <v>Above 100k</v>
      </c>
      <c r="K45" s="17">
        <v>43563</v>
      </c>
      <c r="L45" s="10">
        <v>1</v>
      </c>
      <c r="M45" s="10" t="str">
        <v>Fixed Term</v>
      </c>
      <c r="N45" s="10" t="str">
        <v>Full time</v>
      </c>
      <c r="O45" s="10" t="str">
        <v>Hyderabad, India</v>
      </c>
      <c r="P45" s="10">
        <v>2545</v>
      </c>
      <c r="Q45" s="10">
        <v>7</v>
      </c>
    </row>
    <row r="46" spans="4:17" x14ac:dyDescent="0.3">
      <c r="D46" s="10" t="str">
        <v>SQ04603</v>
      </c>
      <c r="E46" s="10" t="str">
        <v>Natalee</v>
      </c>
      <c r="F46" s="10" t="str">
        <v>Craiker</v>
      </c>
      <c r="G46" s="10" t="str">
        <v>Male</v>
      </c>
      <c r="H46" s="10" t="str">
        <v>Product Management</v>
      </c>
      <c r="I46" s="10">
        <v>111229.47</v>
      </c>
      <c r="J46" s="10" t="str">
        <v>Above 100k</v>
      </c>
      <c r="K46" s="17">
        <v>43402</v>
      </c>
      <c r="L46" s="10">
        <v>1</v>
      </c>
      <c r="M46" s="10" t="str">
        <v>Permanent</v>
      </c>
      <c r="N46" s="10" t="str">
        <v>Full time</v>
      </c>
      <c r="O46" s="10" t="str">
        <v>Remote</v>
      </c>
      <c r="P46" s="10">
        <v>2706</v>
      </c>
      <c r="Q46" s="10">
        <v>7</v>
      </c>
    </row>
    <row r="47" spans="4:17" x14ac:dyDescent="0.3">
      <c r="D47" s="10" t="str">
        <v>VT04028</v>
      </c>
      <c r="E47" s="10" t="str">
        <v>Michale</v>
      </c>
      <c r="F47" s="10" t="str">
        <v>Rolf</v>
      </c>
      <c r="G47" s="10" t="str">
        <v>Male</v>
      </c>
      <c r="H47" s="10" t="str">
        <v>Services</v>
      </c>
      <c r="I47" s="10">
        <v>111815.49</v>
      </c>
      <c r="J47" s="10" t="str">
        <v>Above 100k</v>
      </c>
      <c r="K47" s="17">
        <v>43895</v>
      </c>
      <c r="L47" s="10">
        <v>0.7</v>
      </c>
      <c r="M47" s="10" t="str">
        <v>Temporary</v>
      </c>
      <c r="N47" s="10" t="str">
        <v>Part time</v>
      </c>
      <c r="O47" s="10" t="str">
        <v>Remote</v>
      </c>
      <c r="P47" s="10">
        <v>2213</v>
      </c>
      <c r="Q47" s="10">
        <v>6</v>
      </c>
    </row>
    <row r="48" spans="4:17" x14ac:dyDescent="0.3">
      <c r="D48" s="10" t="str">
        <v>VT04028</v>
      </c>
      <c r="E48" s="10" t="str">
        <v>Michale</v>
      </c>
      <c r="F48" s="10" t="str">
        <v>Rolf</v>
      </c>
      <c r="G48" s="10" t="str">
        <v>Male</v>
      </c>
      <c r="H48" s="10" t="str">
        <v>Services</v>
      </c>
      <c r="I48" s="10">
        <v>111815.49</v>
      </c>
      <c r="J48" s="10" t="str">
        <v>Above 100k</v>
      </c>
      <c r="K48" s="17">
        <v>43895</v>
      </c>
      <c r="L48" s="10">
        <v>0.7</v>
      </c>
      <c r="M48" s="10" t="str">
        <v>Temporary</v>
      </c>
      <c r="N48" s="10" t="str">
        <v>Part time</v>
      </c>
      <c r="O48" s="10" t="str">
        <v>Remote</v>
      </c>
      <c r="P48" s="10">
        <v>2213</v>
      </c>
      <c r="Q48" s="10">
        <v>6</v>
      </c>
    </row>
    <row r="49" spans="4:17" x14ac:dyDescent="0.3">
      <c r="D49" s="10" t="str">
        <v>SQ00022</v>
      </c>
      <c r="E49" s="10" t="str">
        <v>Carlin</v>
      </c>
      <c r="F49" s="10" t="str">
        <v>Demke</v>
      </c>
      <c r="G49" s="10" t="str">
        <v>Male</v>
      </c>
      <c r="H49" s="10" t="str">
        <v>Business Development</v>
      </c>
      <c r="I49" s="10">
        <v>110042.37</v>
      </c>
      <c r="J49" s="10" t="str">
        <v>Above 100k</v>
      </c>
      <c r="K49" s="17">
        <v>43914</v>
      </c>
      <c r="L49" s="10">
        <v>1</v>
      </c>
      <c r="M49" s="10" t="str">
        <v>Permanent</v>
      </c>
      <c r="N49" s="10" t="str">
        <v>Full time</v>
      </c>
      <c r="O49" s="10" t="str">
        <v>Columbus, USA</v>
      </c>
      <c r="P49" s="10">
        <v>2194</v>
      </c>
      <c r="Q49" s="10">
        <v>6</v>
      </c>
    </row>
    <row r="50" spans="4:17" x14ac:dyDescent="0.3">
      <c r="D50" s="10" t="str">
        <v>SQ03116</v>
      </c>
      <c r="E50" s="10" t="str">
        <v>Syd</v>
      </c>
      <c r="F50" s="10" t="str">
        <v>Fearn</v>
      </c>
      <c r="G50" s="10" t="str">
        <v>Male</v>
      </c>
      <c r="H50" s="10" t="str">
        <v>Engineering</v>
      </c>
      <c r="I50" s="10">
        <v>108872.77</v>
      </c>
      <c r="J50" s="10" t="str">
        <v>Above 100k</v>
      </c>
      <c r="K50" s="17">
        <v>43521</v>
      </c>
      <c r="L50" s="10">
        <v>1</v>
      </c>
      <c r="M50" s="10" t="str">
        <v>Permanent</v>
      </c>
      <c r="N50" s="10" t="str">
        <v>Full time</v>
      </c>
      <c r="O50" s="10" t="str">
        <v>Remote</v>
      </c>
      <c r="P50" s="10">
        <v>2587</v>
      </c>
      <c r="Q50" s="10">
        <v>7</v>
      </c>
    </row>
    <row r="51" spans="4:17" x14ac:dyDescent="0.3">
      <c r="D51" s="10" t="str">
        <v>VT04552</v>
      </c>
      <c r="E51" s="10" t="str">
        <v>Theresita</v>
      </c>
      <c r="F51" s="10" t="str">
        <v>Chasmer</v>
      </c>
      <c r="G51" s="10" t="str">
        <v>Female</v>
      </c>
      <c r="H51" s="10" t="str">
        <v>Product Management</v>
      </c>
      <c r="I51" s="10">
        <v>106665.67</v>
      </c>
      <c r="J51" s="10" t="str">
        <v>Above 100k</v>
      </c>
      <c r="K51" s="17">
        <v>43311</v>
      </c>
      <c r="L51" s="10">
        <v>1</v>
      </c>
      <c r="M51" s="10" t="str">
        <v>Temporary</v>
      </c>
      <c r="N51" s="10" t="str">
        <v>Full time</v>
      </c>
      <c r="O51" s="10" t="str">
        <v>Columbus, USA</v>
      </c>
      <c r="P51" s="10">
        <v>2797</v>
      </c>
      <c r="Q51" s="10">
        <v>8</v>
      </c>
    </row>
    <row r="52" spans="4:17" x14ac:dyDescent="0.3">
      <c r="D52" s="10" t="str">
        <v>SQ04665</v>
      </c>
      <c r="E52" s="10" t="str">
        <v>Collin</v>
      </c>
      <c r="F52" s="10" t="str">
        <v>Jagson</v>
      </c>
      <c r="G52" s="10" t="str">
        <v>Male</v>
      </c>
      <c r="H52" s="10" t="str">
        <v>Services</v>
      </c>
      <c r="I52" s="10">
        <v>100424.23</v>
      </c>
      <c r="J52" s="10" t="str">
        <v>Above 100k</v>
      </c>
      <c r="K52" s="17">
        <v>43801</v>
      </c>
      <c r="L52" s="10">
        <v>1</v>
      </c>
      <c r="M52" s="10" t="str">
        <v>Permanent</v>
      </c>
      <c r="N52" s="10" t="str">
        <v>Full time</v>
      </c>
      <c r="O52" s="10" t="str">
        <v>Auckland, New Zealand</v>
      </c>
      <c r="P52" s="10">
        <v>2307</v>
      </c>
      <c r="Q52" s="10">
        <v>6</v>
      </c>
    </row>
    <row r="53" spans="4:17" x14ac:dyDescent="0.3">
      <c r="D53" s="10" t="str">
        <v>VT01893</v>
      </c>
      <c r="E53" s="10" t="str">
        <v>Lindy</v>
      </c>
      <c r="F53" s="10" t="str">
        <v>Guillet</v>
      </c>
      <c r="G53" s="10" t="str">
        <v>Male</v>
      </c>
      <c r="H53" s="10" t="str">
        <v>Training</v>
      </c>
      <c r="I53" s="10">
        <v>112778.28</v>
      </c>
      <c r="J53" s="10" t="str">
        <v>Above 100k</v>
      </c>
      <c r="K53" s="17">
        <v>43250</v>
      </c>
      <c r="L53" s="10">
        <v>1</v>
      </c>
      <c r="M53" s="10" t="str">
        <v>Fixed Term</v>
      </c>
      <c r="N53" s="10" t="str">
        <v>Full time</v>
      </c>
      <c r="O53" s="10" t="str">
        <v>Remote</v>
      </c>
      <c r="P53" s="10">
        <v>2858</v>
      </c>
      <c r="Q53" s="10">
        <v>8</v>
      </c>
    </row>
    <row r="54" spans="4:17" x14ac:dyDescent="0.3">
      <c r="D54" s="10" t="str">
        <v>PR03886</v>
      </c>
      <c r="E54" s="10" t="str">
        <v>Edd</v>
      </c>
      <c r="F54" s="10" t="str">
        <v>MacKnockiter</v>
      </c>
      <c r="G54" s="10" t="str">
        <v>Male</v>
      </c>
      <c r="H54" s="10" t="str">
        <v>Accounting</v>
      </c>
      <c r="I54" s="10">
        <v>119022.49</v>
      </c>
      <c r="J54" s="10" t="str">
        <v>Above 100k</v>
      </c>
      <c r="K54" s="17">
        <v>44431</v>
      </c>
      <c r="L54" s="10">
        <v>1</v>
      </c>
      <c r="M54" s="10" t="str">
        <v>Permanent</v>
      </c>
      <c r="N54" s="10" t="str">
        <v>Full time</v>
      </c>
      <c r="O54" s="10" t="str">
        <v>Auckland, New Zealand</v>
      </c>
      <c r="P54" s="10">
        <v>1677</v>
      </c>
      <c r="Q54" s="10">
        <v>5</v>
      </c>
    </row>
    <row r="55" spans="4:17" x14ac:dyDescent="0.3">
      <c r="D55" s="10" t="str">
        <v>PR00746</v>
      </c>
      <c r="E55" s="10" t="str">
        <v>Hogan</v>
      </c>
      <c r="F55" s="10" t="str">
        <v>Iles</v>
      </c>
      <c r="G55" s="10" t="str">
        <v>Female</v>
      </c>
      <c r="H55" s="10" t="str">
        <v>Accounting</v>
      </c>
      <c r="I55" s="10">
        <v>114177.23</v>
      </c>
      <c r="J55" s="10" t="str">
        <v>Above 100k</v>
      </c>
      <c r="K55" s="17">
        <v>43908</v>
      </c>
      <c r="L55" s="10">
        <v>1</v>
      </c>
      <c r="M55" s="10" t="str">
        <v>Permanent</v>
      </c>
      <c r="N55" s="10" t="str">
        <v>Full time</v>
      </c>
      <c r="O55" s="10" t="str">
        <v>Wellington, New Zealand</v>
      </c>
      <c r="P55" s="10">
        <v>2200</v>
      </c>
      <c r="Q55" s="10">
        <v>6</v>
      </c>
    </row>
    <row r="56" spans="4:17" x14ac:dyDescent="0.3">
      <c r="D56" s="10" t="str">
        <v>SQ03387</v>
      </c>
      <c r="E56" s="10" t="str">
        <v>Robinia</v>
      </c>
      <c r="F56" s="10" t="str">
        <v>Scholling</v>
      </c>
      <c r="G56" s="10" t="str">
        <v>Female</v>
      </c>
      <c r="H56" s="10" t="str">
        <v>Human Resources</v>
      </c>
      <c r="I56" s="10">
        <v>100731.95</v>
      </c>
      <c r="J56" s="10" t="str">
        <v>Above 100k</v>
      </c>
      <c r="K56" s="17">
        <v>43936</v>
      </c>
      <c r="L56" s="10">
        <v>1</v>
      </c>
      <c r="M56" s="10" t="str">
        <v>Permanent</v>
      </c>
      <c r="N56" s="10" t="str">
        <v>Full time</v>
      </c>
      <c r="O56" s="10" t="str">
        <v>Auckland, New Zealand</v>
      </c>
      <c r="P56" s="10">
        <v>2172</v>
      </c>
      <c r="Q56" s="10">
        <v>6</v>
      </c>
    </row>
    <row r="57" spans="4:17" x14ac:dyDescent="0.3">
      <c r="D57" s="10" t="str">
        <v>SQ02703</v>
      </c>
      <c r="E57" s="10" t="str">
        <v>Deepit</v>
      </c>
      <c r="F57" s="10" t="str">
        <v>Ranjana</v>
      </c>
      <c r="G57" s="10" t="str">
        <v>Female</v>
      </c>
      <c r="H57" s="10" t="str">
        <v>Marketing</v>
      </c>
      <c r="I57" s="10">
        <v>104903.79</v>
      </c>
      <c r="J57" s="10" t="str">
        <v>Above 100k</v>
      </c>
      <c r="K57" s="17">
        <v>43649</v>
      </c>
      <c r="L57" s="10">
        <v>1</v>
      </c>
      <c r="M57" s="10" t="str">
        <v>Permanent</v>
      </c>
      <c r="N57" s="10" t="str">
        <v>Full time</v>
      </c>
      <c r="O57" s="10" t="str">
        <v>Chennai, India</v>
      </c>
      <c r="P57" s="10">
        <v>2459</v>
      </c>
      <c r="Q57" s="10">
        <v>7</v>
      </c>
    </row>
    <row r="58" spans="4:17" x14ac:dyDescent="0.3">
      <c r="D58" s="10" t="str">
        <v>SQ03733</v>
      </c>
      <c r="E58" s="10" t="str">
        <v>Revkah</v>
      </c>
      <c r="F58" s="10" t="str">
        <v>Antonacci</v>
      </c>
      <c r="G58" s="10" t="str">
        <v>Male</v>
      </c>
      <c r="H58" s="10" t="str">
        <v>Engineering</v>
      </c>
      <c r="I58" s="10">
        <v>109143.17</v>
      </c>
      <c r="J58" s="10" t="str">
        <v>Above 100k</v>
      </c>
      <c r="K58" s="17">
        <v>43945</v>
      </c>
      <c r="L58" s="10">
        <v>1</v>
      </c>
      <c r="M58" s="10" t="str">
        <v>Permanent</v>
      </c>
      <c r="N58" s="10" t="str">
        <v>Full time</v>
      </c>
      <c r="O58" s="10" t="str">
        <v>Wellington, New Zealand</v>
      </c>
      <c r="P58" s="10">
        <v>2163</v>
      </c>
      <c r="Q58" s="10">
        <v>6</v>
      </c>
    </row>
    <row r="59" spans="4:17" x14ac:dyDescent="0.3">
      <c r="D59" s="10" t="str">
        <v>TN00579</v>
      </c>
      <c r="E59" s="10" t="str">
        <v>Rafaelita</v>
      </c>
      <c r="F59" s="10" t="str">
        <v>Blaksland</v>
      </c>
      <c r="G59" s="10" t="str">
        <v>Female</v>
      </c>
      <c r="H59" s="10" t="str">
        <v>Services</v>
      </c>
      <c r="I59" s="10">
        <v>109163.39</v>
      </c>
      <c r="J59" s="10" t="str">
        <v>Above 100k</v>
      </c>
      <c r="K59" s="17">
        <v>44019</v>
      </c>
      <c r="L59" s="10">
        <v>0.8</v>
      </c>
      <c r="M59" s="10" t="str">
        <v>Permanent</v>
      </c>
      <c r="N59" s="10" t="str">
        <v>Part time</v>
      </c>
      <c r="O59" s="10" t="str">
        <v>Seattle, USA</v>
      </c>
      <c r="P59" s="10">
        <v>2089</v>
      </c>
      <c r="Q59" s="10">
        <v>6</v>
      </c>
    </row>
    <row r="60" spans="4:17" x14ac:dyDescent="0.3">
      <c r="D60" s="10" t="str">
        <v>SQ02174</v>
      </c>
      <c r="E60" s="10" t="str">
        <v>Sidoney</v>
      </c>
      <c r="F60" s="10" t="str">
        <v>Yitzhok</v>
      </c>
      <c r="G60" s="10" t="str">
        <v>Female</v>
      </c>
      <c r="H60" s="10" t="str">
        <v>Engineering</v>
      </c>
      <c r="I60" s="10">
        <v>118442.54</v>
      </c>
      <c r="J60" s="10" t="str">
        <v>Above 100k</v>
      </c>
      <c r="K60" s="17">
        <v>44193</v>
      </c>
      <c r="L60" s="10">
        <v>1</v>
      </c>
      <c r="M60" s="10" t="str">
        <v>Permanent</v>
      </c>
      <c r="N60" s="10" t="str">
        <v>Full time</v>
      </c>
      <c r="O60" s="10" t="str">
        <v>Auckland, New Zealand</v>
      </c>
      <c r="P60" s="10">
        <v>1915</v>
      </c>
      <c r="Q60" s="10">
        <v>5</v>
      </c>
    </row>
    <row r="61" spans="4:17" x14ac:dyDescent="0.3">
      <c r="D61" s="10" t="str">
        <v>VT01762</v>
      </c>
      <c r="E61" s="10" t="str">
        <v>Geena</v>
      </c>
      <c r="F61" s="10" t="str">
        <v>Raghavanpillai</v>
      </c>
      <c r="G61" s="10" t="str">
        <v>Male</v>
      </c>
      <c r="H61" s="10" t="str">
        <v>Accounting</v>
      </c>
      <c r="I61" s="10">
        <v>102515.81</v>
      </c>
      <c r="J61" s="10" t="str">
        <v>Above 100k</v>
      </c>
      <c r="K61" s="17">
        <v>43902</v>
      </c>
      <c r="L61" s="10">
        <v>1</v>
      </c>
      <c r="M61" s="10" t="str">
        <v>Fixed Term</v>
      </c>
      <c r="N61" s="10" t="str">
        <v>Full time</v>
      </c>
      <c r="O61" s="10" t="str">
        <v>Chennai, India</v>
      </c>
      <c r="P61" s="10">
        <v>2206</v>
      </c>
      <c r="Q61" s="10">
        <v>6</v>
      </c>
    </row>
    <row r="62" spans="4:17" x14ac:dyDescent="0.3">
      <c r="D62" s="10" t="str">
        <v>VT04093</v>
      </c>
      <c r="E62" s="10" t="str">
        <v>Baruna</v>
      </c>
      <c r="F62" s="10" t="str">
        <v>Ogale</v>
      </c>
      <c r="G62" s="10" t="str">
        <v>Female</v>
      </c>
      <c r="H62" s="10" t="str">
        <v>Training</v>
      </c>
      <c r="I62" s="10">
        <v>116767.63</v>
      </c>
      <c r="J62" s="10" t="str">
        <v>Above 100k</v>
      </c>
      <c r="K62" s="17">
        <v>43949</v>
      </c>
      <c r="L62" s="10">
        <v>0.4</v>
      </c>
      <c r="M62" s="10" t="str">
        <v>Temporary</v>
      </c>
      <c r="N62" s="10" t="str">
        <v>Part time</v>
      </c>
      <c r="O62" s="10" t="str">
        <v>Chennai, India</v>
      </c>
      <c r="P62" s="10">
        <v>2159</v>
      </c>
      <c r="Q62" s="10">
        <v>6</v>
      </c>
    </row>
    <row r="63" spans="4:17" x14ac:dyDescent="0.3">
      <c r="D63" s="10" t="str">
        <v>SQ03491</v>
      </c>
      <c r="E63" s="10" t="str">
        <v>Freda</v>
      </c>
      <c r="F63" s="10" t="str">
        <v>Legan</v>
      </c>
      <c r="G63" s="10" t="str">
        <v>Female</v>
      </c>
      <c r="H63" s="10" t="str">
        <v>Sales</v>
      </c>
      <c r="I63" s="10">
        <v>102129.37</v>
      </c>
      <c r="J63" s="10" t="str">
        <v>Above 100k</v>
      </c>
      <c r="K63" s="17">
        <v>44396</v>
      </c>
      <c r="L63" s="10">
        <v>1</v>
      </c>
      <c r="M63" s="10" t="str">
        <v>Permanent</v>
      </c>
      <c r="N63" s="10" t="str">
        <v>Full time</v>
      </c>
      <c r="O63" s="10" t="str">
        <v>Columbus, USA</v>
      </c>
      <c r="P63" s="10">
        <v>1712</v>
      </c>
      <c r="Q63" s="10">
        <v>5</v>
      </c>
    </row>
    <row r="64" spans="4:17" x14ac:dyDescent="0.3">
      <c r="D64" s="10" t="str">
        <v>VT04350</v>
      </c>
      <c r="E64" s="10" t="str">
        <v>Kulbhushan</v>
      </c>
      <c r="F64" s="10" t="str">
        <v>Moorthy</v>
      </c>
      <c r="G64" s="10" t="str">
        <v>Male</v>
      </c>
      <c r="H64" s="10" t="str">
        <v>Business Development</v>
      </c>
      <c r="I64" s="10">
        <v>106400.02</v>
      </c>
      <c r="J64" s="10" t="str">
        <v>Above 100k</v>
      </c>
      <c r="K64" s="17">
        <v>44021</v>
      </c>
      <c r="L64" s="10">
        <v>1</v>
      </c>
      <c r="M64" s="10" t="str">
        <v>Temporary</v>
      </c>
      <c r="N64" s="10" t="str">
        <v>Full time</v>
      </c>
      <c r="O64" s="10" t="str">
        <v>Chennai, India</v>
      </c>
      <c r="P64" s="10">
        <v>2087</v>
      </c>
      <c r="Q64" s="10">
        <v>6</v>
      </c>
    </row>
    <row r="65" spans="4:17" x14ac:dyDescent="0.3">
      <c r="D65" s="10" t="str">
        <v>SQ02035</v>
      </c>
      <c r="E65" s="10" t="str">
        <v>Anni</v>
      </c>
      <c r="F65" s="10" t="str">
        <v>Izzard</v>
      </c>
      <c r="G65" s="10" t="str">
        <v>Male</v>
      </c>
      <c r="H65" s="10" t="str">
        <v>Human Resources</v>
      </c>
      <c r="I65" s="10">
        <v>103494.94</v>
      </c>
      <c r="J65" s="10" t="str">
        <v>Above 100k</v>
      </c>
      <c r="K65" s="17">
        <v>43256</v>
      </c>
      <c r="L65" s="10">
        <v>1</v>
      </c>
      <c r="M65" s="10" t="str">
        <v>Permanent</v>
      </c>
      <c r="N65" s="10" t="str">
        <v>Full time</v>
      </c>
      <c r="O65" s="10" t="str">
        <v>Remote</v>
      </c>
      <c r="P65" s="10">
        <v>2852</v>
      </c>
      <c r="Q65" s="10">
        <v>8</v>
      </c>
    </row>
    <row r="66" spans="4:17" x14ac:dyDescent="0.3">
      <c r="D66" s="10" t="str">
        <v>SQ02035</v>
      </c>
      <c r="E66" s="10" t="str">
        <v>Anni</v>
      </c>
      <c r="F66" s="10" t="str">
        <v>Izzard</v>
      </c>
      <c r="G66" s="10" t="str">
        <v>Male</v>
      </c>
      <c r="H66" s="10" t="str">
        <v>Human Resources</v>
      </c>
      <c r="I66" s="10">
        <v>103494.94</v>
      </c>
      <c r="J66" s="10" t="str">
        <v>Above 100k</v>
      </c>
      <c r="K66" s="17">
        <v>43256</v>
      </c>
      <c r="L66" s="10">
        <v>1</v>
      </c>
      <c r="M66" s="10" t="str">
        <v>Permanent</v>
      </c>
      <c r="N66" s="10" t="str">
        <v>Full time</v>
      </c>
      <c r="O66" s="10" t="str">
        <v>Remote</v>
      </c>
      <c r="P66" s="10">
        <v>2852</v>
      </c>
      <c r="Q66" s="10">
        <v>8</v>
      </c>
    </row>
    <row r="67" spans="4:17" x14ac:dyDescent="0.3">
      <c r="D67" s="10" t="str">
        <v>VT04350</v>
      </c>
      <c r="E67" s="10" t="str">
        <v>Lalit</v>
      </c>
      <c r="F67" s="10" t="str">
        <v>Kothari</v>
      </c>
      <c r="G67" s="10" t="str">
        <v>Male</v>
      </c>
      <c r="H67" s="10" t="str">
        <v>Business Development</v>
      </c>
      <c r="I67" s="10">
        <v>106400.02</v>
      </c>
      <c r="J67" s="10" t="str">
        <v>Above 100k</v>
      </c>
      <c r="K67" s="17">
        <v>44021</v>
      </c>
      <c r="L67" s="10">
        <v>1</v>
      </c>
      <c r="M67" s="10" t="str">
        <v>Temporary</v>
      </c>
      <c r="N67" s="10" t="str">
        <v>Full time</v>
      </c>
      <c r="O67" s="10" t="str">
        <v>Chennai, India</v>
      </c>
      <c r="P67" s="10">
        <v>2087</v>
      </c>
      <c r="Q67" s="10">
        <v>6</v>
      </c>
    </row>
    <row r="68" spans="4:17" x14ac:dyDescent="0.3">
      <c r="D68" s="10" t="str">
        <v>SQ02624</v>
      </c>
      <c r="E68" s="10" t="str">
        <v>Gwenneth</v>
      </c>
      <c r="F68" s="10" t="str">
        <v>Fealey</v>
      </c>
      <c r="G68" s="10" t="str">
        <v>Female</v>
      </c>
      <c r="H68" s="10" t="str">
        <v>Engineering</v>
      </c>
      <c r="I68" s="10">
        <v>114772.32</v>
      </c>
      <c r="J68" s="10" t="str">
        <v>Above 100k</v>
      </c>
      <c r="K68" s="17">
        <v>44251</v>
      </c>
      <c r="L68" s="10">
        <v>1</v>
      </c>
      <c r="M68" s="10" t="str">
        <v>Permanent</v>
      </c>
      <c r="N68" s="10" t="str">
        <v>Full time</v>
      </c>
      <c r="O68" s="10" t="str">
        <v>Columbus, USA</v>
      </c>
      <c r="P68" s="10">
        <v>1857</v>
      </c>
      <c r="Q68" s="10">
        <v>5</v>
      </c>
    </row>
    <row r="69" spans="4:17" x14ac:dyDescent="0.3">
      <c r="D69" s="10" t="str">
        <v>VT03421</v>
      </c>
      <c r="E69" s="10" t="str">
        <v>Alic</v>
      </c>
      <c r="F69" s="10" t="str">
        <v>Bagg</v>
      </c>
      <c r="G69" s="10" t="str">
        <v>Male</v>
      </c>
      <c r="H69" s="10" t="str">
        <v>Legal</v>
      </c>
      <c r="I69" s="10">
        <v>113747.56</v>
      </c>
      <c r="J69" s="10" t="str">
        <v>Above 100k</v>
      </c>
      <c r="K69" s="17">
        <v>44270</v>
      </c>
      <c r="L69" s="10">
        <v>0.7</v>
      </c>
      <c r="M69" s="10" t="str">
        <v>Temporary</v>
      </c>
      <c r="N69" s="10" t="str">
        <v>Part time</v>
      </c>
      <c r="O69" s="10" t="str">
        <v>Columbus, USA</v>
      </c>
      <c r="P69" s="10">
        <v>1838</v>
      </c>
      <c r="Q69" s="10">
        <v>5</v>
      </c>
    </row>
    <row r="74" spans="4:17" x14ac:dyDescent="0.3">
      <c r="D74" s="78" t="s">
        <v>966</v>
      </c>
      <c r="E74" s="78"/>
    </row>
    <row r="75" spans="4:17" x14ac:dyDescent="0.3">
      <c r="D75" s="10" t="str" cm="1">
        <f t="array" ref="D75:H75">_xlfn.CHOOSECOLS(Staff[#Headers],1,2,3,5,6)</f>
        <v>Emp ID</v>
      </c>
      <c r="E75" s="10" t="str">
        <v>First name</v>
      </c>
      <c r="F75" s="10" t="str">
        <v>Last name</v>
      </c>
      <c r="G75" s="10" t="str">
        <v>Department</v>
      </c>
      <c r="H75" s="10" t="str">
        <v>Salary</v>
      </c>
    </row>
    <row r="76" spans="4:17" x14ac:dyDescent="0.3">
      <c r="D76" t="str" cm="1">
        <f t="array" ref="D76:H122">_xlfn.CHOOSECOLS(_xlfn._xlws.FILTER(Staff[],Staff[Salary]&gt;100000),1,2,3,5,6)</f>
        <v>PR00147</v>
      </c>
      <c r="E76" t="str">
        <v>Minerva</v>
      </c>
      <c r="F76" t="str">
        <v>Ricardot</v>
      </c>
      <c r="G76" t="str">
        <v>Engineering</v>
      </c>
      <c r="H76">
        <v>120000</v>
      </c>
    </row>
    <row r="77" spans="4:17" x14ac:dyDescent="0.3">
      <c r="D77" t="str">
        <v>SQ04612</v>
      </c>
      <c r="E77" t="str">
        <v>Mick</v>
      </c>
      <c r="F77" t="str">
        <v>Spraberry</v>
      </c>
      <c r="G77" t="str">
        <v>Services</v>
      </c>
      <c r="H77">
        <v>120000</v>
      </c>
    </row>
    <row r="78" spans="4:17" x14ac:dyDescent="0.3">
      <c r="D78" t="str">
        <v>SQ00144</v>
      </c>
      <c r="E78" t="str">
        <v>Collen</v>
      </c>
      <c r="F78" t="str">
        <v>Dunbleton</v>
      </c>
      <c r="G78" t="str">
        <v>Engineering</v>
      </c>
      <c r="H78">
        <v>118976.16</v>
      </c>
    </row>
    <row r="79" spans="4:17" x14ac:dyDescent="0.3">
      <c r="D79" t="str">
        <v>PR04601</v>
      </c>
      <c r="E79" t="str">
        <v>Yedukondalu</v>
      </c>
      <c r="F79" t="str">
        <v>Panditula</v>
      </c>
      <c r="G79" t="str">
        <v>Support</v>
      </c>
      <c r="H79">
        <v>104802.63</v>
      </c>
    </row>
    <row r="80" spans="4:17" x14ac:dyDescent="0.3">
      <c r="D80" t="str">
        <v>TN01281</v>
      </c>
      <c r="E80" t="str">
        <v>Cletus</v>
      </c>
      <c r="F80" t="str">
        <v>McGarahan</v>
      </c>
      <c r="G80" t="str">
        <v>Engineering</v>
      </c>
      <c r="H80">
        <v>114425.19</v>
      </c>
    </row>
    <row r="81" spans="4:8" x14ac:dyDescent="0.3">
      <c r="D81" t="str">
        <v>PR02288</v>
      </c>
      <c r="E81" t="str">
        <v>Althea</v>
      </c>
      <c r="F81" t="str">
        <v>Bronger</v>
      </c>
      <c r="G81" t="str">
        <v>Product Management</v>
      </c>
      <c r="H81">
        <v>104335.03999999999</v>
      </c>
    </row>
    <row r="82" spans="4:8" x14ac:dyDescent="0.3">
      <c r="D82" t="str">
        <v>SQ01620</v>
      </c>
      <c r="E82" t="str">
        <v>Westbrook</v>
      </c>
      <c r="F82" t="str">
        <v>Brandino</v>
      </c>
      <c r="G82" t="str">
        <v>Legal</v>
      </c>
      <c r="H82">
        <v>113616.23</v>
      </c>
    </row>
    <row r="83" spans="4:8" x14ac:dyDescent="0.3">
      <c r="D83" t="str">
        <v>VT04681</v>
      </c>
      <c r="E83" t="str">
        <v>Nickolai</v>
      </c>
      <c r="F83" t="str">
        <v>Artin</v>
      </c>
      <c r="G83" t="str">
        <v>Product Management</v>
      </c>
      <c r="H83">
        <v>110906.35</v>
      </c>
    </row>
    <row r="84" spans="4:8" x14ac:dyDescent="0.3">
      <c r="D84" t="str">
        <v>TN04246</v>
      </c>
      <c r="E84" t="str">
        <v>Shaylyn</v>
      </c>
      <c r="F84" t="str">
        <v>Ransbury</v>
      </c>
      <c r="G84" t="str">
        <v>Support</v>
      </c>
      <c r="H84">
        <v>100371.31</v>
      </c>
    </row>
    <row r="85" spans="4:8" x14ac:dyDescent="0.3">
      <c r="D85" t="str">
        <v>VT02801</v>
      </c>
      <c r="E85" t="str">
        <v>Shellysheldon</v>
      </c>
      <c r="F85" t="str">
        <v>Mahady</v>
      </c>
      <c r="G85" t="str">
        <v>Training</v>
      </c>
      <c r="H85">
        <v>114691.03</v>
      </c>
    </row>
    <row r="86" spans="4:8" x14ac:dyDescent="0.3">
      <c r="D86" t="str">
        <v>PR02208</v>
      </c>
      <c r="E86" t="str">
        <v>Gowri</v>
      </c>
      <c r="F86" t="str">
        <v>Sankar</v>
      </c>
      <c r="G86" t="str">
        <v>Training</v>
      </c>
      <c r="H86">
        <v>102934.09</v>
      </c>
    </row>
    <row r="87" spans="4:8" x14ac:dyDescent="0.3">
      <c r="D87" t="str">
        <v>VT04093</v>
      </c>
      <c r="E87" t="str">
        <v>Prasanna</v>
      </c>
      <c r="F87" t="str">
        <v>Lakshmi</v>
      </c>
      <c r="G87" t="str">
        <v>Training</v>
      </c>
      <c r="H87">
        <v>116767.63</v>
      </c>
    </row>
    <row r="88" spans="4:8" x14ac:dyDescent="0.3">
      <c r="D88" t="str">
        <v>VT03421</v>
      </c>
      <c r="E88" t="str">
        <v>Alic</v>
      </c>
      <c r="F88" t="str">
        <v>Bagg</v>
      </c>
      <c r="G88" t="str">
        <v>Legal</v>
      </c>
      <c r="H88">
        <v>113747.56</v>
      </c>
    </row>
    <row r="89" spans="4:8" x14ac:dyDescent="0.3">
      <c r="D89" t="str">
        <v>VT02491</v>
      </c>
      <c r="E89" t="str">
        <v>Alexis</v>
      </c>
      <c r="F89" t="str">
        <v>Gotfrey</v>
      </c>
      <c r="G89" t="str">
        <v>Engineering</v>
      </c>
      <c r="H89">
        <v>114465.93</v>
      </c>
    </row>
    <row r="90" spans="4:8" x14ac:dyDescent="0.3">
      <c r="D90" t="str">
        <v>TN04058</v>
      </c>
      <c r="E90" t="str">
        <v>Subbarao</v>
      </c>
      <c r="F90" t="str">
        <v>Malladi</v>
      </c>
      <c r="G90" t="str">
        <v>Product Management</v>
      </c>
      <c r="H90">
        <v>106775.14</v>
      </c>
    </row>
    <row r="91" spans="4:8" x14ac:dyDescent="0.3">
      <c r="D91" t="str">
        <v>PR01159</v>
      </c>
      <c r="E91" t="str">
        <v>Mollie</v>
      </c>
      <c r="F91" t="str">
        <v>Hanway</v>
      </c>
      <c r="G91" t="str">
        <v>Engineering</v>
      </c>
      <c r="H91">
        <v>112645.99</v>
      </c>
    </row>
    <row r="92" spans="4:8" x14ac:dyDescent="0.3">
      <c r="D92" t="str">
        <v>SQ03476</v>
      </c>
      <c r="E92" t="str">
        <v>Ramalingam</v>
      </c>
      <c r="F92" t="str">
        <v>Kothapeta</v>
      </c>
      <c r="G92" t="str">
        <v>Accounting</v>
      </c>
      <c r="H92">
        <v>107107.6</v>
      </c>
    </row>
    <row r="93" spans="4:8" x14ac:dyDescent="0.3">
      <c r="D93" t="str">
        <v>VT01684</v>
      </c>
      <c r="E93" t="str">
        <v>Audry</v>
      </c>
      <c r="F93" t="str">
        <v>Yu</v>
      </c>
      <c r="G93" t="str">
        <v>Training</v>
      </c>
      <c r="H93">
        <v>101187.36</v>
      </c>
    </row>
    <row r="94" spans="4:8" x14ac:dyDescent="0.3">
      <c r="D94" t="str">
        <v>TN04740</v>
      </c>
      <c r="E94" t="str">
        <v>Tristam</v>
      </c>
      <c r="F94" t="str">
        <v>Cuming</v>
      </c>
      <c r="G94" t="str">
        <v>Support</v>
      </c>
      <c r="H94">
        <v>104038.9</v>
      </c>
    </row>
    <row r="95" spans="4:8" x14ac:dyDescent="0.3">
      <c r="D95" t="str">
        <v>VT01893</v>
      </c>
      <c r="E95" t="str">
        <v>Lindy</v>
      </c>
      <c r="F95" t="str">
        <v>Guillet</v>
      </c>
      <c r="G95" t="str">
        <v>Training</v>
      </c>
      <c r="H95">
        <v>112778.28</v>
      </c>
    </row>
    <row r="96" spans="4:8" x14ac:dyDescent="0.3">
      <c r="D96" t="str">
        <v>PR02010</v>
      </c>
      <c r="E96" t="str">
        <v>Prerana</v>
      </c>
      <c r="F96" t="str">
        <v>Nishita</v>
      </c>
      <c r="G96" t="str">
        <v>Product Management</v>
      </c>
      <c r="H96">
        <v>115191.38</v>
      </c>
    </row>
    <row r="97" spans="4:8" x14ac:dyDescent="0.3">
      <c r="D97" t="str">
        <v>SQ00498</v>
      </c>
      <c r="E97" t="str">
        <v>Amery</v>
      </c>
      <c r="F97" t="str">
        <v>Ofer</v>
      </c>
      <c r="G97" t="str">
        <v>Legal</v>
      </c>
      <c r="H97">
        <v>111049.84</v>
      </c>
    </row>
    <row r="98" spans="4:8" x14ac:dyDescent="0.3">
      <c r="D98" t="str">
        <v>TN04058</v>
      </c>
      <c r="E98" t="str">
        <v>Vasu</v>
      </c>
      <c r="F98" t="str">
        <v>Nandin</v>
      </c>
      <c r="G98" t="str">
        <v>Product Management</v>
      </c>
      <c r="H98">
        <v>106775.14</v>
      </c>
    </row>
    <row r="99" spans="4:8" x14ac:dyDescent="0.3">
      <c r="D99" t="str">
        <v>SQ04603</v>
      </c>
      <c r="E99" t="str">
        <v>Natalee</v>
      </c>
      <c r="F99" t="str">
        <v>Craiker</v>
      </c>
      <c r="G99" t="str">
        <v>Product Management</v>
      </c>
      <c r="H99">
        <v>111229.47</v>
      </c>
    </row>
    <row r="100" spans="4:8" x14ac:dyDescent="0.3">
      <c r="D100" t="str">
        <v>VT04028</v>
      </c>
      <c r="E100" t="str">
        <v>Michale</v>
      </c>
      <c r="F100" t="str">
        <v>Rolf</v>
      </c>
      <c r="G100" t="str">
        <v>Services</v>
      </c>
      <c r="H100">
        <v>111815.49</v>
      </c>
    </row>
    <row r="101" spans="4:8" x14ac:dyDescent="0.3">
      <c r="D101" t="str">
        <v>VT04028</v>
      </c>
      <c r="E101" t="str">
        <v>Michale</v>
      </c>
      <c r="F101" t="str">
        <v>Rolf</v>
      </c>
      <c r="G101" t="str">
        <v>Services</v>
      </c>
      <c r="H101">
        <v>111815.49</v>
      </c>
    </row>
    <row r="102" spans="4:8" x14ac:dyDescent="0.3">
      <c r="D102" t="str">
        <v>SQ00022</v>
      </c>
      <c r="E102" t="str">
        <v>Carlin</v>
      </c>
      <c r="F102" t="str">
        <v>Demke</v>
      </c>
      <c r="G102" t="str">
        <v>Business Development</v>
      </c>
      <c r="H102">
        <v>110042.37</v>
      </c>
    </row>
    <row r="103" spans="4:8" x14ac:dyDescent="0.3">
      <c r="D103" t="str">
        <v>SQ03116</v>
      </c>
      <c r="E103" t="str">
        <v>Syd</v>
      </c>
      <c r="F103" t="str">
        <v>Fearn</v>
      </c>
      <c r="G103" t="str">
        <v>Engineering</v>
      </c>
      <c r="H103">
        <v>108872.77</v>
      </c>
    </row>
    <row r="104" spans="4:8" x14ac:dyDescent="0.3">
      <c r="D104" t="str">
        <v>VT04552</v>
      </c>
      <c r="E104" t="str">
        <v>Theresita</v>
      </c>
      <c r="F104" t="str">
        <v>Chasmer</v>
      </c>
      <c r="G104" t="str">
        <v>Product Management</v>
      </c>
      <c r="H104">
        <v>106665.67</v>
      </c>
    </row>
    <row r="105" spans="4:8" x14ac:dyDescent="0.3">
      <c r="D105" t="str">
        <v>SQ04665</v>
      </c>
      <c r="E105" t="str">
        <v>Collin</v>
      </c>
      <c r="F105" t="str">
        <v>Jagson</v>
      </c>
      <c r="G105" t="str">
        <v>Services</v>
      </c>
      <c r="H105">
        <v>100424.23</v>
      </c>
    </row>
    <row r="106" spans="4:8" x14ac:dyDescent="0.3">
      <c r="D106" t="str">
        <v>VT01893</v>
      </c>
      <c r="E106" t="str">
        <v>Lindy</v>
      </c>
      <c r="F106" t="str">
        <v>Guillet</v>
      </c>
      <c r="G106" t="str">
        <v>Training</v>
      </c>
      <c r="H106">
        <v>112778.28</v>
      </c>
    </row>
    <row r="107" spans="4:8" x14ac:dyDescent="0.3">
      <c r="D107" t="str">
        <v>PR03886</v>
      </c>
      <c r="E107" t="str">
        <v>Edd</v>
      </c>
      <c r="F107" t="str">
        <v>MacKnockiter</v>
      </c>
      <c r="G107" t="str">
        <v>Accounting</v>
      </c>
      <c r="H107">
        <v>119022.49</v>
      </c>
    </row>
    <row r="108" spans="4:8" x14ac:dyDescent="0.3">
      <c r="D108" t="str">
        <v>PR00746</v>
      </c>
      <c r="E108" t="str">
        <v>Hogan</v>
      </c>
      <c r="F108" t="str">
        <v>Iles</v>
      </c>
      <c r="G108" t="str">
        <v>Accounting</v>
      </c>
      <c r="H108">
        <v>114177.23</v>
      </c>
    </row>
    <row r="109" spans="4:8" x14ac:dyDescent="0.3">
      <c r="D109" t="str">
        <v>SQ03387</v>
      </c>
      <c r="E109" t="str">
        <v>Robinia</v>
      </c>
      <c r="F109" t="str">
        <v>Scholling</v>
      </c>
      <c r="G109" t="str">
        <v>Human Resources</v>
      </c>
      <c r="H109">
        <v>100731.95</v>
      </c>
    </row>
    <row r="110" spans="4:8" x14ac:dyDescent="0.3">
      <c r="D110" t="str">
        <v>SQ02703</v>
      </c>
      <c r="E110" t="str">
        <v>Deepit</v>
      </c>
      <c r="F110" t="str">
        <v>Ranjana</v>
      </c>
      <c r="G110" t="str">
        <v>Marketing</v>
      </c>
      <c r="H110">
        <v>104903.79</v>
      </c>
    </row>
    <row r="111" spans="4:8" x14ac:dyDescent="0.3">
      <c r="D111" t="str">
        <v>SQ03733</v>
      </c>
      <c r="E111" t="str">
        <v>Revkah</v>
      </c>
      <c r="F111" t="str">
        <v>Antonacci</v>
      </c>
      <c r="G111" t="str">
        <v>Engineering</v>
      </c>
      <c r="H111">
        <v>109143.17</v>
      </c>
    </row>
    <row r="112" spans="4:8" x14ac:dyDescent="0.3">
      <c r="D112" t="str">
        <v>TN00579</v>
      </c>
      <c r="E112" t="str">
        <v>Rafaelita</v>
      </c>
      <c r="F112" t="str">
        <v>Blaksland</v>
      </c>
      <c r="G112" t="str">
        <v>Services</v>
      </c>
      <c r="H112">
        <v>109163.39</v>
      </c>
    </row>
    <row r="113" spans="4:9" x14ac:dyDescent="0.3">
      <c r="D113" t="str">
        <v>SQ02174</v>
      </c>
      <c r="E113" t="str">
        <v>Sidoney</v>
      </c>
      <c r="F113" t="str">
        <v>Yitzhok</v>
      </c>
      <c r="G113" t="str">
        <v>Engineering</v>
      </c>
      <c r="H113">
        <v>118442.54</v>
      </c>
    </row>
    <row r="114" spans="4:9" x14ac:dyDescent="0.3">
      <c r="D114" t="str">
        <v>VT01762</v>
      </c>
      <c r="E114" t="str">
        <v>Geena</v>
      </c>
      <c r="F114" t="str">
        <v>Raghavanpillai</v>
      </c>
      <c r="G114" t="str">
        <v>Accounting</v>
      </c>
      <c r="H114">
        <v>102515.81</v>
      </c>
    </row>
    <row r="115" spans="4:9" x14ac:dyDescent="0.3">
      <c r="D115" t="str">
        <v>VT04093</v>
      </c>
      <c r="E115" t="str">
        <v>Baruna</v>
      </c>
      <c r="F115" t="str">
        <v>Ogale</v>
      </c>
      <c r="G115" t="str">
        <v>Training</v>
      </c>
      <c r="H115">
        <v>116767.63</v>
      </c>
    </row>
    <row r="116" spans="4:9" x14ac:dyDescent="0.3">
      <c r="D116" t="str">
        <v>SQ03491</v>
      </c>
      <c r="E116" t="str">
        <v>Freda</v>
      </c>
      <c r="F116" t="str">
        <v>Legan</v>
      </c>
      <c r="G116" t="str">
        <v>Sales</v>
      </c>
      <c r="H116">
        <v>102129.37</v>
      </c>
    </row>
    <row r="117" spans="4:9" x14ac:dyDescent="0.3">
      <c r="D117" t="str">
        <v>VT04350</v>
      </c>
      <c r="E117" t="str">
        <v>Kulbhushan</v>
      </c>
      <c r="F117" t="str">
        <v>Moorthy</v>
      </c>
      <c r="G117" t="str">
        <v>Business Development</v>
      </c>
      <c r="H117">
        <v>106400.02</v>
      </c>
    </row>
    <row r="118" spans="4:9" x14ac:dyDescent="0.3">
      <c r="D118" t="str">
        <v>SQ02035</v>
      </c>
      <c r="E118" t="str">
        <v>Anni</v>
      </c>
      <c r="F118" t="str">
        <v>Izzard</v>
      </c>
      <c r="G118" t="str">
        <v>Human Resources</v>
      </c>
      <c r="H118">
        <v>103494.94</v>
      </c>
    </row>
    <row r="119" spans="4:9" x14ac:dyDescent="0.3">
      <c r="D119" t="str">
        <v>SQ02035</v>
      </c>
      <c r="E119" t="str">
        <v>Anni</v>
      </c>
      <c r="F119" t="str">
        <v>Izzard</v>
      </c>
      <c r="G119" t="str">
        <v>Human Resources</v>
      </c>
      <c r="H119">
        <v>103494.94</v>
      </c>
    </row>
    <row r="120" spans="4:9" x14ac:dyDescent="0.3">
      <c r="D120" t="str">
        <v>VT04350</v>
      </c>
      <c r="E120" t="str">
        <v>Lalit</v>
      </c>
      <c r="F120" t="str">
        <v>Kothari</v>
      </c>
      <c r="G120" t="str">
        <v>Business Development</v>
      </c>
      <c r="H120">
        <v>106400.02</v>
      </c>
    </row>
    <row r="121" spans="4:9" x14ac:dyDescent="0.3">
      <c r="D121" t="str">
        <v>SQ02624</v>
      </c>
      <c r="E121" t="str">
        <v>Gwenneth</v>
      </c>
      <c r="F121" t="str">
        <v>Fealey</v>
      </c>
      <c r="G121" t="str">
        <v>Engineering</v>
      </c>
      <c r="H121">
        <v>114772.32</v>
      </c>
    </row>
    <row r="122" spans="4:9" x14ac:dyDescent="0.3">
      <c r="D122" t="str">
        <v>VT03421</v>
      </c>
      <c r="E122" t="str">
        <v>Alic</v>
      </c>
      <c r="F122" t="str">
        <v>Bagg</v>
      </c>
      <c r="G122" t="str">
        <v>Legal</v>
      </c>
      <c r="H122">
        <v>113747.56</v>
      </c>
    </row>
    <row r="126" spans="4:9" x14ac:dyDescent="0.3">
      <c r="D126" s="78" t="s">
        <v>967</v>
      </c>
      <c r="E126" s="78"/>
    </row>
    <row r="128" spans="4:9" x14ac:dyDescent="0.3">
      <c r="D128" t="str" cm="1">
        <f t="array" ref="D128:I128">_xlfn.CHOOSECOLS(Staff[#Headers],1,2,3,4,5,6)</f>
        <v>Emp ID</v>
      </c>
      <c r="E128" t="str">
        <v>First name</v>
      </c>
      <c r="F128" t="str">
        <v>Last name</v>
      </c>
      <c r="G128" t="str">
        <v>Gender</v>
      </c>
      <c r="H128" t="str">
        <v>Department</v>
      </c>
      <c r="I128" t="str">
        <v>Salary</v>
      </c>
    </row>
    <row r="129" spans="4:9" x14ac:dyDescent="0.3">
      <c r="D129" t="str" cm="1">
        <f t="array" ref="D129:I146">_xlfn._xlws.FILTER(Staff[[Emp ID]:[Salary]],(Staff[Salary]&gt;100000)*(Staff[Gender] = "female"))</f>
        <v>SQ04612</v>
      </c>
      <c r="E129" t="str">
        <v>Mick</v>
      </c>
      <c r="F129" t="str">
        <v>Spraberry</v>
      </c>
      <c r="G129" t="str">
        <v>Female</v>
      </c>
      <c r="H129" t="str">
        <v>Services</v>
      </c>
      <c r="I129">
        <v>120000</v>
      </c>
    </row>
    <row r="130" spans="4:9" x14ac:dyDescent="0.3">
      <c r="D130" t="str">
        <v>TN01281</v>
      </c>
      <c r="E130" t="str">
        <v>Cletus</v>
      </c>
      <c r="F130" t="str">
        <v>McGarahan</v>
      </c>
      <c r="G130" t="str">
        <v>Female</v>
      </c>
      <c r="H130" t="str">
        <v>Engineering</v>
      </c>
      <c r="I130">
        <v>114425.19</v>
      </c>
    </row>
    <row r="131" spans="4:9" x14ac:dyDescent="0.3">
      <c r="D131" t="str">
        <v>VT04681</v>
      </c>
      <c r="E131" t="str">
        <v>Nickolai</v>
      </c>
      <c r="F131" t="str">
        <v>Artin</v>
      </c>
      <c r="G131" t="str">
        <v>Female</v>
      </c>
      <c r="H131" t="str">
        <v>Product Management</v>
      </c>
      <c r="I131">
        <v>110906.35</v>
      </c>
    </row>
    <row r="132" spans="4:9" x14ac:dyDescent="0.3">
      <c r="D132" t="str">
        <v>TN04246</v>
      </c>
      <c r="E132" t="str">
        <v>Shaylyn</v>
      </c>
      <c r="F132" t="str">
        <v>Ransbury</v>
      </c>
      <c r="G132" t="str">
        <v>Female</v>
      </c>
      <c r="H132" t="str">
        <v>Support</v>
      </c>
      <c r="I132">
        <v>100371.31</v>
      </c>
    </row>
    <row r="133" spans="4:9" x14ac:dyDescent="0.3">
      <c r="D133" t="str">
        <v>PR02208</v>
      </c>
      <c r="E133" t="str">
        <v>Gowri</v>
      </c>
      <c r="F133" t="str">
        <v>Sankar</v>
      </c>
      <c r="G133" t="str">
        <v>Female</v>
      </c>
      <c r="H133" t="str">
        <v>Training</v>
      </c>
      <c r="I133">
        <v>102934.09</v>
      </c>
    </row>
    <row r="134" spans="4:9" x14ac:dyDescent="0.3">
      <c r="D134" t="str">
        <v>VT04093</v>
      </c>
      <c r="E134" t="str">
        <v>Prasanna</v>
      </c>
      <c r="F134" t="str">
        <v>Lakshmi</v>
      </c>
      <c r="G134" t="str">
        <v>Female</v>
      </c>
      <c r="H134" t="str">
        <v>Training</v>
      </c>
      <c r="I134">
        <v>116767.63</v>
      </c>
    </row>
    <row r="135" spans="4:9" x14ac:dyDescent="0.3">
      <c r="D135" t="str">
        <v>VT01684</v>
      </c>
      <c r="E135" t="str">
        <v>Audry</v>
      </c>
      <c r="F135" t="str">
        <v>Yu</v>
      </c>
      <c r="G135" t="str">
        <v>Female</v>
      </c>
      <c r="H135" t="str">
        <v>Training</v>
      </c>
      <c r="I135">
        <v>101187.36</v>
      </c>
    </row>
    <row r="136" spans="4:9" x14ac:dyDescent="0.3">
      <c r="D136" t="str">
        <v>TN04740</v>
      </c>
      <c r="E136" t="str">
        <v>Tristam</v>
      </c>
      <c r="F136" t="str">
        <v>Cuming</v>
      </c>
      <c r="G136" t="str">
        <v>Female</v>
      </c>
      <c r="H136" t="str">
        <v>Support</v>
      </c>
      <c r="I136">
        <v>104038.9</v>
      </c>
    </row>
    <row r="137" spans="4:9" x14ac:dyDescent="0.3">
      <c r="D137" t="str">
        <v>SQ00498</v>
      </c>
      <c r="E137" t="str">
        <v>Amery</v>
      </c>
      <c r="F137" t="str">
        <v>Ofer</v>
      </c>
      <c r="G137" t="str">
        <v>Female</v>
      </c>
      <c r="H137" t="str">
        <v>Legal</v>
      </c>
      <c r="I137">
        <v>111049.84</v>
      </c>
    </row>
    <row r="138" spans="4:9" x14ac:dyDescent="0.3">
      <c r="D138" t="str">
        <v>VT04552</v>
      </c>
      <c r="E138" t="str">
        <v>Theresita</v>
      </c>
      <c r="F138" t="str">
        <v>Chasmer</v>
      </c>
      <c r="G138" t="str">
        <v>Female</v>
      </c>
      <c r="H138" t="str">
        <v>Product Management</v>
      </c>
      <c r="I138">
        <v>106665.67</v>
      </c>
    </row>
    <row r="139" spans="4:9" x14ac:dyDescent="0.3">
      <c r="D139" t="str">
        <v>PR00746</v>
      </c>
      <c r="E139" t="str">
        <v>Hogan</v>
      </c>
      <c r="F139" t="str">
        <v>Iles</v>
      </c>
      <c r="G139" t="str">
        <v>Female</v>
      </c>
      <c r="H139" t="str">
        <v>Accounting</v>
      </c>
      <c r="I139">
        <v>114177.23</v>
      </c>
    </row>
    <row r="140" spans="4:9" x14ac:dyDescent="0.3">
      <c r="D140" t="str">
        <v>SQ03387</v>
      </c>
      <c r="E140" t="str">
        <v>Robinia</v>
      </c>
      <c r="F140" t="str">
        <v>Scholling</v>
      </c>
      <c r="G140" t="str">
        <v>Female</v>
      </c>
      <c r="H140" t="str">
        <v>Human Resources</v>
      </c>
      <c r="I140">
        <v>100731.95</v>
      </c>
    </row>
    <row r="141" spans="4:9" x14ac:dyDescent="0.3">
      <c r="D141" t="str">
        <v>SQ02703</v>
      </c>
      <c r="E141" t="str">
        <v>Deepit</v>
      </c>
      <c r="F141" t="str">
        <v>Ranjana</v>
      </c>
      <c r="G141" t="str">
        <v>Female</v>
      </c>
      <c r="H141" t="str">
        <v>Marketing</v>
      </c>
      <c r="I141">
        <v>104903.79</v>
      </c>
    </row>
    <row r="142" spans="4:9" x14ac:dyDescent="0.3">
      <c r="D142" t="str">
        <v>TN00579</v>
      </c>
      <c r="E142" t="str">
        <v>Rafaelita</v>
      </c>
      <c r="F142" t="str">
        <v>Blaksland</v>
      </c>
      <c r="G142" t="str">
        <v>Female</v>
      </c>
      <c r="H142" t="str">
        <v>Services</v>
      </c>
      <c r="I142">
        <v>109163.39</v>
      </c>
    </row>
    <row r="143" spans="4:9" x14ac:dyDescent="0.3">
      <c r="D143" t="str">
        <v>SQ02174</v>
      </c>
      <c r="E143" t="str">
        <v>Sidoney</v>
      </c>
      <c r="F143" t="str">
        <v>Yitzhok</v>
      </c>
      <c r="G143" t="str">
        <v>Female</v>
      </c>
      <c r="H143" t="str">
        <v>Engineering</v>
      </c>
      <c r="I143">
        <v>118442.54</v>
      </c>
    </row>
    <row r="144" spans="4:9" x14ac:dyDescent="0.3">
      <c r="D144" t="str">
        <v>VT04093</v>
      </c>
      <c r="E144" t="str">
        <v>Baruna</v>
      </c>
      <c r="F144" t="str">
        <v>Ogale</v>
      </c>
      <c r="G144" t="str">
        <v>Female</v>
      </c>
      <c r="H144" t="str">
        <v>Training</v>
      </c>
      <c r="I144">
        <v>116767.63</v>
      </c>
    </row>
    <row r="145" spans="4:9" x14ac:dyDescent="0.3">
      <c r="D145" t="str">
        <v>SQ03491</v>
      </c>
      <c r="E145" t="str">
        <v>Freda</v>
      </c>
      <c r="F145" t="str">
        <v>Legan</v>
      </c>
      <c r="G145" t="str">
        <v>Female</v>
      </c>
      <c r="H145" t="str">
        <v>Sales</v>
      </c>
      <c r="I145">
        <v>102129.37</v>
      </c>
    </row>
    <row r="146" spans="4:9" x14ac:dyDescent="0.3">
      <c r="D146" t="str">
        <v>SQ02624</v>
      </c>
      <c r="E146" t="str">
        <v>Gwenneth</v>
      </c>
      <c r="F146" t="str">
        <v>Fealey</v>
      </c>
      <c r="G146" t="str">
        <v>Female</v>
      </c>
      <c r="H146" t="str">
        <v>Engineering</v>
      </c>
      <c r="I146">
        <v>114772.32</v>
      </c>
    </row>
    <row r="151" spans="4:9" x14ac:dyDescent="0.3">
      <c r="D151" s="78" t="s">
        <v>968</v>
      </c>
    </row>
    <row r="153" spans="4:9" x14ac:dyDescent="0.3">
      <c r="E153" s="12" t="s">
        <v>973</v>
      </c>
      <c r="F153" s="12" t="s">
        <v>24</v>
      </c>
      <c r="G153" s="12" t="s">
        <v>11</v>
      </c>
    </row>
    <row r="154" spans="4:9" x14ac:dyDescent="0.3">
      <c r="D154" t="s">
        <v>969</v>
      </c>
      <c r="E154" s="12">
        <f>MIN(Staff[Salary])</f>
        <v>28160.79</v>
      </c>
      <c r="F154" s="12">
        <f>_xlfn.MINIFS(Staff[Salary],Staff[Gender],F153)</f>
        <v>28160.79</v>
      </c>
      <c r="G154" s="12">
        <f>_xlfn.MINIFS(Staff[Salary],Staff[Gender],G153)</f>
        <v>28305.08</v>
      </c>
    </row>
    <row r="155" spans="4:9" x14ac:dyDescent="0.3">
      <c r="D155" t="s">
        <v>970</v>
      </c>
      <c r="E155" s="12">
        <f>MAX(Staff[Salary])</f>
        <v>120000</v>
      </c>
      <c r="F155" s="12">
        <f>_xlfn.MAXIFS(Staff[Salary],Staff[Gender],F153)</f>
        <v>120000</v>
      </c>
      <c r="G155" s="12">
        <f>_xlfn.MAXIFS(Staff[Salary],Staff[Gender],G153)</f>
        <v>120000</v>
      </c>
    </row>
    <row r="156" spans="4:9" x14ac:dyDescent="0.3">
      <c r="D156" t="s">
        <v>971</v>
      </c>
      <c r="E156" s="12">
        <f>LARGE(Staff[Salary],1)</f>
        <v>120000</v>
      </c>
      <c r="F156" s="12" cm="1">
        <f t="array" ref="F156">LARGE(_xlfn._xlws.FILTER(Staff[Salary],Staff[Gender]=F153),1)</f>
        <v>120000</v>
      </c>
      <c r="G156" s="12" cm="1">
        <f t="array" ref="G156">LARGE(_xlfn._xlws.FILTER(Staff[Salary],Staff[Gender]=G153),1)</f>
        <v>120000</v>
      </c>
    </row>
    <row r="157" spans="4:9" x14ac:dyDescent="0.3">
      <c r="E157" s="12">
        <f>LARGE(Staff[Salary],2)</f>
        <v>120000</v>
      </c>
      <c r="F157" s="12" cm="1">
        <f t="array" ref="F157">LARGE(_xlfn._xlws.FILTER(Staff[Salary],Staff[Gender]=F153),2)</f>
        <v>119022.49</v>
      </c>
      <c r="G157" s="12" cm="1">
        <f t="array" ref="G157">LARGE(_xlfn._xlws.FILTER(Staff[Salary],Staff[Gender]=G153),2)</f>
        <v>118442.54</v>
      </c>
    </row>
    <row r="158" spans="4:9" x14ac:dyDescent="0.3">
      <c r="E158" s="12">
        <f>LARGE(Staff[Salary],3)</f>
        <v>119022.49</v>
      </c>
      <c r="F158" s="12" cm="1">
        <f t="array" ref="F158">LARGE(_xlfn._xlws.FILTER(Staff[Salary],Staff[Gender]=F153),3)</f>
        <v>118976.16</v>
      </c>
      <c r="G158" s="12" cm="1">
        <f t="array" ref="G158">LARGE(_xlfn._xlws.FILTER(Staff[Salary],Staff[Gender]=G153),3)</f>
        <v>116767.63</v>
      </c>
    </row>
    <row r="159" spans="4:9" x14ac:dyDescent="0.3">
      <c r="E159" s="12">
        <f>LARGE(Staff[Salary],4)</f>
        <v>118976.16</v>
      </c>
      <c r="F159" s="12" cm="1">
        <f t="array" ref="F159">LARGE(_xlfn._xlws.FILTER(Staff[Salary],Staff[Gender]=F153),4)</f>
        <v>115191.38</v>
      </c>
      <c r="G159" s="12" cm="1">
        <f t="array" ref="G159">LARGE(_xlfn._xlws.FILTER(Staff[Salary],Staff[Gender]=G153),4)</f>
        <v>116767.63</v>
      </c>
    </row>
    <row r="160" spans="4:9" x14ac:dyDescent="0.3">
      <c r="E160" s="12">
        <f>LARGE(Staff[Salary],5)</f>
        <v>118442.54</v>
      </c>
      <c r="F160" s="12" cm="1">
        <f t="array" ref="F160">LARGE(_xlfn._xlws.FILTER(Staff[Salary],Staff[Gender]=F153),5)</f>
        <v>114691.03</v>
      </c>
      <c r="G160" s="12" cm="1">
        <f t="array" ref="G160">LARGE(_xlfn._xlws.FILTER(Staff[Salary],Staff[Gender]=G153),5)</f>
        <v>114772.32</v>
      </c>
    </row>
    <row r="162" spans="4:7" x14ac:dyDescent="0.3">
      <c r="D162" t="s">
        <v>971</v>
      </c>
      <c r="E162" s="12" cm="1">
        <f t="array" ref="E162:E166">_xlfn.TAKE(_xlfn._xlws.SORT(Staff[Salary],,-1),5)</f>
        <v>120000</v>
      </c>
      <c r="F162" s="12"/>
      <c r="G162" s="12"/>
    </row>
    <row r="163" spans="4:7" x14ac:dyDescent="0.3">
      <c r="D163" t="s">
        <v>972</v>
      </c>
      <c r="E163" s="12">
        <v>120000</v>
      </c>
      <c r="F163" s="12"/>
      <c r="G163" s="12"/>
    </row>
    <row r="164" spans="4:7" x14ac:dyDescent="0.3">
      <c r="E164" s="12">
        <v>119022.49</v>
      </c>
      <c r="F164" s="12"/>
      <c r="G164" s="12"/>
    </row>
    <row r="165" spans="4:7" x14ac:dyDescent="0.3">
      <c r="E165" s="12">
        <v>118976.16</v>
      </c>
      <c r="F165" s="12"/>
      <c r="G165" s="12"/>
    </row>
    <row r="166" spans="4:7" x14ac:dyDescent="0.3">
      <c r="E166" s="12">
        <v>118442.54</v>
      </c>
      <c r="F166" s="12"/>
      <c r="G166" s="12"/>
    </row>
    <row r="169" spans="4:7" x14ac:dyDescent="0.3">
      <c r="D169" t="s">
        <v>974</v>
      </c>
    </row>
    <row r="170" spans="4:7" x14ac:dyDescent="0.3">
      <c r="E170" s="19" t="s">
        <v>3</v>
      </c>
      <c r="F170" s="16" t="s">
        <v>975</v>
      </c>
    </row>
    <row r="171" spans="4:7" x14ac:dyDescent="0.3">
      <c r="E171" s="10" t="str" cm="1">
        <f t="array" ref="E171:E182">_xlfn._xlws.SORT(_xlfn.UNIQUE(Staff[Department]))</f>
        <v>Accounting</v>
      </c>
      <c r="F171" s="16">
        <f>COUNTA(_xlfn.ANCHORARRAY(E171))</f>
        <v>12</v>
      </c>
    </row>
    <row r="172" spans="4:7" x14ac:dyDescent="0.3">
      <c r="E172" s="10" t="str">
        <v>Business Development</v>
      </c>
      <c r="F172" s="16"/>
    </row>
    <row r="173" spans="4:7" x14ac:dyDescent="0.3">
      <c r="E173" s="10" t="str">
        <v>Engineering</v>
      </c>
      <c r="F173" s="16"/>
    </row>
    <row r="174" spans="4:7" x14ac:dyDescent="0.3">
      <c r="E174" s="10" t="str">
        <v>Human Resources</v>
      </c>
    </row>
    <row r="175" spans="4:7" x14ac:dyDescent="0.3">
      <c r="E175" s="10" t="str">
        <v>Legal</v>
      </c>
    </row>
    <row r="176" spans="4:7" x14ac:dyDescent="0.3">
      <c r="E176" s="10" t="str">
        <v>Marketing</v>
      </c>
    </row>
    <row r="177" spans="4:5" x14ac:dyDescent="0.3">
      <c r="E177" s="10" t="str">
        <v>Product Management</v>
      </c>
    </row>
    <row r="178" spans="4:5" x14ac:dyDescent="0.3">
      <c r="E178" s="10" t="str">
        <v>Research and Development</v>
      </c>
    </row>
    <row r="179" spans="4:5" x14ac:dyDescent="0.3">
      <c r="E179" s="10" t="str">
        <v>Sales</v>
      </c>
    </row>
    <row r="180" spans="4:5" x14ac:dyDescent="0.3">
      <c r="E180" s="10" t="str">
        <v>Services</v>
      </c>
    </row>
    <row r="181" spans="4:5" x14ac:dyDescent="0.3">
      <c r="E181" s="10" t="str">
        <v>Support</v>
      </c>
    </row>
    <row r="182" spans="4:5" x14ac:dyDescent="0.3">
      <c r="E182" s="10" t="str">
        <v>Training</v>
      </c>
    </row>
    <row r="188" spans="4:5" x14ac:dyDescent="0.3">
      <c r="D188" s="20" t="s">
        <v>976</v>
      </c>
    </row>
    <row r="190" spans="4:5" x14ac:dyDescent="0.3">
      <c r="D190" s="21" t="s">
        <v>977</v>
      </c>
    </row>
    <row r="193" spans="4:8" x14ac:dyDescent="0.3">
      <c r="D193" t="s">
        <v>978</v>
      </c>
      <c r="E193" t="s">
        <v>40</v>
      </c>
      <c r="G193" t="s">
        <v>978</v>
      </c>
      <c r="H193" t="s">
        <v>979</v>
      </c>
    </row>
    <row r="195" spans="4:8" x14ac:dyDescent="0.3">
      <c r="D195" t="s">
        <v>307</v>
      </c>
      <c r="E195" t="str">
        <f>VLOOKUP(E193,Staff[],2,FALSE)</f>
        <v>Jill</v>
      </c>
      <c r="G195" t="s">
        <v>307</v>
      </c>
      <c r="H195" t="str">
        <f>IFERROR(VLOOKUP(H193,Staff[],2,FALSE),"Not found")</f>
        <v>Not found</v>
      </c>
    </row>
    <row r="196" spans="4:8" x14ac:dyDescent="0.3">
      <c r="D196" t="s">
        <v>308</v>
      </c>
      <c r="E196" t="str">
        <f>VLOOKUP(E193,Staff[],3,FALSE)</f>
        <v>Shipsey</v>
      </c>
      <c r="G196" t="s">
        <v>308</v>
      </c>
      <c r="H196" t="str">
        <f>IFERROR(VLOOKUP(H194,Staff[],2,FALSE),"Not found")</f>
        <v>Not found</v>
      </c>
    </row>
    <row r="197" spans="4:8" x14ac:dyDescent="0.3">
      <c r="D197" t="s">
        <v>3</v>
      </c>
      <c r="E197" t="str">
        <f>VLOOKUP(E193,Staff[],5,FALSE)</f>
        <v>Accounting</v>
      </c>
      <c r="G197" t="s">
        <v>3</v>
      </c>
      <c r="H197" t="str">
        <f>IFERROR(VLOOKUP(H195,Staff[],2,FALSE),"Not found")</f>
        <v>Not found</v>
      </c>
    </row>
    <row r="198" spans="4:8" x14ac:dyDescent="0.3">
      <c r="D198" t="s">
        <v>4</v>
      </c>
      <c r="E198" s="16">
        <f>VLOOKUP(E193,Staff[],6,FALSE)</f>
        <v>52963.65</v>
      </c>
      <c r="G198" t="s">
        <v>4</v>
      </c>
      <c r="H198" t="str">
        <f>IFERROR(VLOOKUP(H196,Staff[],2,FALSE),"Not found")</f>
        <v>Not found</v>
      </c>
    </row>
    <row r="201" spans="4:8" x14ac:dyDescent="0.3">
      <c r="D201" s="21" t="s">
        <v>980</v>
      </c>
    </row>
    <row r="203" spans="4:8" x14ac:dyDescent="0.3">
      <c r="D203" t="s">
        <v>981</v>
      </c>
      <c r="E203" t="s">
        <v>982</v>
      </c>
    </row>
    <row r="205" spans="4:8" x14ac:dyDescent="0.3">
      <c r="D205">
        <f>MATCH(E203,Staff[Last name],0)</f>
        <v>8</v>
      </c>
    </row>
    <row r="207" spans="4:8" x14ac:dyDescent="0.3">
      <c r="D207" t="s">
        <v>983</v>
      </c>
      <c r="E207" t="str" cm="1">
        <f t="array" ref="E207">INDEX(Staff[Emp ID],D205)</f>
        <v>SQ01854</v>
      </c>
    </row>
    <row r="208" spans="4:8" x14ac:dyDescent="0.3">
      <c r="D208" t="s">
        <v>984</v>
      </c>
      <c r="E208" t="str" cm="1">
        <f t="array" ref="E208">INDEX(Staff[Department],D205)</f>
        <v>Marketing</v>
      </c>
    </row>
    <row r="212" spans="4:18" x14ac:dyDescent="0.3">
      <c r="D212" s="21" t="s">
        <v>985</v>
      </c>
    </row>
    <row r="214" spans="4:18" x14ac:dyDescent="0.3">
      <c r="D214" t="s">
        <v>978</v>
      </c>
      <c r="E214" t="s">
        <v>382</v>
      </c>
    </row>
    <row r="216" spans="4:18" x14ac:dyDescent="0.3">
      <c r="D216" t="s">
        <v>307</v>
      </c>
      <c r="E216" s="16" t="str">
        <f>_xlfn.XLOOKUP(E214,Staff[Emp ID],Staff[First name])</f>
        <v>Mayur</v>
      </c>
    </row>
    <row r="217" spans="4:18" x14ac:dyDescent="0.3">
      <c r="D217" t="s">
        <v>308</v>
      </c>
      <c r="E217" s="16" t="str">
        <f>_xlfn.XLOOKUP(E214,Staff[Emp ID],Staff[Last name])</f>
        <v>Kousika</v>
      </c>
    </row>
    <row r="218" spans="4:18" x14ac:dyDescent="0.3">
      <c r="D218" t="s">
        <v>3</v>
      </c>
      <c r="E218" s="16" t="str">
        <f>_xlfn.XLOOKUP(E214,Staff[Emp ID],Staff[Department])</f>
        <v>Training</v>
      </c>
    </row>
    <row r="219" spans="4:18" x14ac:dyDescent="0.3">
      <c r="D219" t="s">
        <v>4</v>
      </c>
      <c r="E219" s="16">
        <f>_xlfn.XLOOKUP(E214,Staff[Emp ID],Staff[Salary])</f>
        <v>71570.990000000005</v>
      </c>
    </row>
    <row r="222" spans="4:18" x14ac:dyDescent="0.3">
      <c r="D222" s="78" t="s">
        <v>986</v>
      </c>
      <c r="E222" t="str" cm="1">
        <f t="array" ref="E222:R222">_xlfn.XLOOKUP(E214,Staff[Emp ID],Staff[])</f>
        <v>TN00890</v>
      </c>
      <c r="F222" t="str">
        <v>Mayur</v>
      </c>
      <c r="G222" t="str">
        <v>Kousika</v>
      </c>
      <c r="H222" t="str">
        <v>Female</v>
      </c>
      <c r="I222" t="str">
        <v>Training</v>
      </c>
      <c r="J222">
        <v>71570.990000000005</v>
      </c>
      <c r="K222" t="str">
        <v>50k to 100k</v>
      </c>
      <c r="L222">
        <v>44249</v>
      </c>
      <c r="M222">
        <v>0.5</v>
      </c>
      <c r="N222" t="str">
        <v>Permanent</v>
      </c>
      <c r="O222" t="str">
        <v>Part time</v>
      </c>
      <c r="P222" t="str">
        <v>Hyderabad, India</v>
      </c>
      <c r="Q222">
        <v>1859</v>
      </c>
      <c r="R222">
        <v>5</v>
      </c>
    </row>
    <row r="224" spans="4:18" x14ac:dyDescent="0.3">
      <c r="D224" s="78" t="s">
        <v>987</v>
      </c>
      <c r="E224" s="16" t="str" cm="1">
        <f t="array" ref="E224:E237">TRANSPOSE(_xlfn.XLOOKUP(E214,Staff[Emp ID],Staff[]))</f>
        <v>TN00890</v>
      </c>
    </row>
    <row r="225" spans="5:5" x14ac:dyDescent="0.3">
      <c r="E225" s="16" t="str">
        <v>Mayur</v>
      </c>
    </row>
    <row r="226" spans="5:5" x14ac:dyDescent="0.3">
      <c r="E226" s="16" t="str">
        <v>Kousika</v>
      </c>
    </row>
    <row r="227" spans="5:5" x14ac:dyDescent="0.3">
      <c r="E227" s="16" t="str">
        <v>Female</v>
      </c>
    </row>
    <row r="228" spans="5:5" x14ac:dyDescent="0.3">
      <c r="E228" s="16" t="str">
        <v>Training</v>
      </c>
    </row>
    <row r="229" spans="5:5" x14ac:dyDescent="0.3">
      <c r="E229" s="16">
        <v>71570.990000000005</v>
      </c>
    </row>
    <row r="230" spans="5:5" x14ac:dyDescent="0.3">
      <c r="E230" s="16" t="str">
        <v>50k to 100k</v>
      </c>
    </row>
    <row r="231" spans="5:5" x14ac:dyDescent="0.3">
      <c r="E231" s="16">
        <v>44249</v>
      </c>
    </row>
    <row r="232" spans="5:5" x14ac:dyDescent="0.3">
      <c r="E232" s="16">
        <v>0.5</v>
      </c>
    </row>
    <row r="233" spans="5:5" x14ac:dyDescent="0.3">
      <c r="E233" s="16" t="str">
        <v>Permanent</v>
      </c>
    </row>
    <row r="234" spans="5:5" x14ac:dyDescent="0.3">
      <c r="E234" s="16" t="str">
        <v>Part time</v>
      </c>
    </row>
    <row r="235" spans="5:5" x14ac:dyDescent="0.3">
      <c r="E235" s="16" t="str">
        <v>Hyderabad, India</v>
      </c>
    </row>
    <row r="236" spans="5:5" x14ac:dyDescent="0.3">
      <c r="E236" s="16">
        <v>1859</v>
      </c>
    </row>
    <row r="237" spans="5:5" x14ac:dyDescent="0.3">
      <c r="E237" s="16">
        <v>5</v>
      </c>
    </row>
    <row r="241" spans="2:17" x14ac:dyDescent="0.3">
      <c r="D241" s="78" t="s">
        <v>988</v>
      </c>
      <c r="E241" s="78"/>
    </row>
    <row r="242" spans="2:17" x14ac:dyDescent="0.3">
      <c r="D242" t="str" cm="1">
        <f t="array" ref="D242:Q243">_xlfn._xlws.FILTER(Staff[],Staff[Salary]=120000)</f>
        <v>PR00147</v>
      </c>
      <c r="E242" t="str">
        <v>Minerva</v>
      </c>
      <c r="F242" t="str">
        <v>Ricardot</v>
      </c>
      <c r="G242" t="str">
        <v>Male</v>
      </c>
      <c r="H242" t="str">
        <v>Engineering</v>
      </c>
      <c r="I242">
        <v>120000</v>
      </c>
      <c r="J242" t="str">
        <v>Above 100k</v>
      </c>
      <c r="K242">
        <v>43416</v>
      </c>
      <c r="L242">
        <v>1</v>
      </c>
      <c r="M242" t="str">
        <v>Permanent</v>
      </c>
      <c r="N242" t="str">
        <v>Full time</v>
      </c>
      <c r="O242" t="str">
        <v>Remote</v>
      </c>
      <c r="P242">
        <v>2692</v>
      </c>
      <c r="Q242">
        <v>7</v>
      </c>
    </row>
    <row r="243" spans="2:17" x14ac:dyDescent="0.3">
      <c r="D243" t="str">
        <v>SQ04612</v>
      </c>
      <c r="E243" t="str">
        <v>Mick</v>
      </c>
      <c r="F243" t="str">
        <v>Spraberry</v>
      </c>
      <c r="G243" t="str">
        <v>Female</v>
      </c>
      <c r="H243" t="str">
        <v>Services</v>
      </c>
      <c r="I243">
        <v>120000</v>
      </c>
      <c r="J243" t="str">
        <v>Above 100k</v>
      </c>
      <c r="K243">
        <v>43902</v>
      </c>
      <c r="L243">
        <v>0.9</v>
      </c>
      <c r="M243" t="str">
        <v>Permanent</v>
      </c>
      <c r="N243" t="str">
        <v>Part time</v>
      </c>
      <c r="O243" t="str">
        <v>Remote</v>
      </c>
      <c r="P243">
        <v>2206</v>
      </c>
      <c r="Q243">
        <v>6</v>
      </c>
    </row>
    <row r="247" spans="2:17" x14ac:dyDescent="0.3">
      <c r="D247" s="78" t="s">
        <v>989</v>
      </c>
      <c r="E247" s="78"/>
    </row>
    <row r="248" spans="2:17" x14ac:dyDescent="0.3">
      <c r="D248" t="str" cm="1">
        <f t="array" ref="D248">_xlfn.XLOOKUP(MAX(Staff[Salary]),Staff[Salary],Staff[First name] &amp;" " &amp;Staff[Last name])</f>
        <v>Minerva Ricardot</v>
      </c>
    </row>
    <row r="251" spans="2:17" x14ac:dyDescent="0.3">
      <c r="B251" s="78" t="s">
        <v>990</v>
      </c>
      <c r="D251" t="str" cm="1">
        <f t="array" ref="D251:D252">_xlfn._xlws.FILTER(Staff[First name]&amp;"  "&amp;Staff[Last name],Staff[Salary]=MAX(Staff[Salary]))</f>
        <v>Minerva  Ricardot</v>
      </c>
    </row>
    <row r="252" spans="2:17" x14ac:dyDescent="0.3">
      <c r="D252" t="str">
        <v>Mick  Spraberry</v>
      </c>
    </row>
    <row r="255" spans="2:17" x14ac:dyDescent="0.3">
      <c r="B255" s="78" t="s">
        <v>991</v>
      </c>
      <c r="C255" s="78"/>
      <c r="D255" s="78"/>
    </row>
    <row r="258" spans="2:16" x14ac:dyDescent="0.3">
      <c r="D258" t="str" cm="1">
        <f t="array" ref="D258">_xlfn.TEXTJOIN(",",,_xlfn._xlws.FILTER(Staff[First name]&amp;" "&amp;Staff[Last name],Staff[Salary]=MAX(Staff[Salary])))</f>
        <v>Minerva Ricardot,Mick Spraberry</v>
      </c>
    </row>
    <row r="260" spans="2:16" x14ac:dyDescent="0.3">
      <c r="B260" s="78" t="s">
        <v>992</v>
      </c>
      <c r="C260" s="78"/>
      <c r="D260" s="78"/>
    </row>
    <row r="263" spans="2:16" x14ac:dyDescent="0.3">
      <c r="C263" t="str" cm="1">
        <f t="array" ref="C263:P269">_xlfn._xlws.FILTER(Staff[],LEFT(Staff[First name],1)="H")</f>
        <v>TN00214</v>
      </c>
      <c r="D263" t="str">
        <v>Hemavati</v>
      </c>
      <c r="E263" t="str">
        <v>Muthiah</v>
      </c>
      <c r="F263" t="str">
        <v>Female</v>
      </c>
      <c r="G263" t="str">
        <v>Training</v>
      </c>
      <c r="H263">
        <v>37902.35</v>
      </c>
      <c r="I263" t="str">
        <v>under 50k</v>
      </c>
      <c r="J263">
        <v>43823</v>
      </c>
      <c r="K263">
        <v>1</v>
      </c>
      <c r="L263" t="str">
        <v>Permanent</v>
      </c>
      <c r="M263" t="str">
        <v>Full time</v>
      </c>
      <c r="N263" t="str">
        <v>Chennai, India</v>
      </c>
      <c r="O263">
        <v>2285</v>
      </c>
      <c r="P263">
        <v>6</v>
      </c>
    </row>
    <row r="264" spans="2:16" x14ac:dyDescent="0.3">
      <c r="C264" t="str">
        <v>PR00746</v>
      </c>
      <c r="D264" t="str">
        <v>Hogan</v>
      </c>
      <c r="E264" t="str">
        <v>Iles</v>
      </c>
      <c r="F264" t="str">
        <v>Female</v>
      </c>
      <c r="G264" t="str">
        <v>Accounting</v>
      </c>
      <c r="H264">
        <v>114177.23</v>
      </c>
      <c r="I264" t="str">
        <v>Above 100k</v>
      </c>
      <c r="J264">
        <v>43908</v>
      </c>
      <c r="K264">
        <v>1</v>
      </c>
      <c r="L264" t="str">
        <v>Permanent</v>
      </c>
      <c r="M264" t="str">
        <v>Full time</v>
      </c>
      <c r="N264" t="str">
        <v>Wellington, New Zealand</v>
      </c>
      <c r="O264">
        <v>2200</v>
      </c>
      <c r="P264">
        <v>6</v>
      </c>
    </row>
    <row r="265" spans="2:16" x14ac:dyDescent="0.3">
      <c r="C265" t="str">
        <v>TN04175</v>
      </c>
      <c r="D265" t="str">
        <v>Hinda</v>
      </c>
      <c r="E265" t="str">
        <v>Label</v>
      </c>
      <c r="F265" t="str">
        <v>Female</v>
      </c>
      <c r="G265" t="str">
        <v>Human Resources</v>
      </c>
      <c r="H265">
        <v>92704.48</v>
      </c>
      <c r="I265" t="str">
        <v>50k to 100k</v>
      </c>
      <c r="J265">
        <v>43430</v>
      </c>
      <c r="K265">
        <v>1</v>
      </c>
      <c r="L265" t="str">
        <v>Fixed Term</v>
      </c>
      <c r="M265" t="str">
        <v>Full time</v>
      </c>
      <c r="N265" t="str">
        <v>Columbus, USA</v>
      </c>
      <c r="O265">
        <v>2678</v>
      </c>
      <c r="P265">
        <v>7</v>
      </c>
    </row>
    <row r="266" spans="2:16" x14ac:dyDescent="0.3">
      <c r="C266" t="str">
        <v>SQ04437</v>
      </c>
      <c r="D266" t="str">
        <v>Hephzibah</v>
      </c>
      <c r="E266" t="str">
        <v>Summerell</v>
      </c>
      <c r="F266" t="str">
        <v>Female</v>
      </c>
      <c r="G266" t="str">
        <v>Services</v>
      </c>
      <c r="H266">
        <v>28305.08</v>
      </c>
      <c r="I266" t="str">
        <v>under 50k</v>
      </c>
      <c r="J266">
        <v>43754</v>
      </c>
      <c r="K266">
        <v>1</v>
      </c>
      <c r="L266" t="str">
        <v>Permanent</v>
      </c>
      <c r="M266" t="str">
        <v>Full time</v>
      </c>
      <c r="N266" t="str">
        <v>Remote</v>
      </c>
      <c r="O266">
        <v>2354</v>
      </c>
      <c r="P266">
        <v>6</v>
      </c>
    </row>
    <row r="267" spans="2:16" x14ac:dyDescent="0.3">
      <c r="C267" t="str">
        <v>PR00246</v>
      </c>
      <c r="D267" t="str">
        <v>Husein</v>
      </c>
      <c r="E267" t="str">
        <v>Augar</v>
      </c>
      <c r="F267" t="str">
        <v>Female</v>
      </c>
      <c r="G267" t="str">
        <v>Marketing</v>
      </c>
      <c r="H267">
        <v>67905.8</v>
      </c>
      <c r="I267" t="str">
        <v>50k to 100k</v>
      </c>
      <c r="J267">
        <v>44194</v>
      </c>
      <c r="K267">
        <v>1</v>
      </c>
      <c r="L267" t="str">
        <v>Permanent</v>
      </c>
      <c r="M267" t="str">
        <v>Full time</v>
      </c>
      <c r="N267" t="str">
        <v>Remote</v>
      </c>
      <c r="O267">
        <v>1914</v>
      </c>
      <c r="P267">
        <v>5</v>
      </c>
    </row>
    <row r="268" spans="2:16" x14ac:dyDescent="0.3">
      <c r="C268" t="str">
        <v>VT01996</v>
      </c>
      <c r="D268" t="str">
        <v>Hali</v>
      </c>
      <c r="E268" t="str">
        <v>Behnecke</v>
      </c>
      <c r="F268" t="str">
        <v>Male</v>
      </c>
      <c r="G268" t="str">
        <v>Human Resources</v>
      </c>
      <c r="H268">
        <v>65569.36</v>
      </c>
      <c r="I268" t="str">
        <v>50k to 100k</v>
      </c>
      <c r="J268">
        <v>43293</v>
      </c>
      <c r="K268">
        <v>1</v>
      </c>
      <c r="L268" t="str">
        <v>Fixed Term</v>
      </c>
      <c r="M268" t="str">
        <v>Full time</v>
      </c>
      <c r="N268" t="str">
        <v>Auckland, New Zealand</v>
      </c>
      <c r="O268">
        <v>2815</v>
      </c>
      <c r="P268">
        <v>8</v>
      </c>
    </row>
    <row r="269" spans="2:16" x14ac:dyDescent="0.3">
      <c r="C269" t="str">
        <v>TN04775</v>
      </c>
      <c r="D269" t="str">
        <v>Hridaynath</v>
      </c>
      <c r="E269" t="str">
        <v>Tendulkar</v>
      </c>
      <c r="F269" t="str">
        <v>Female</v>
      </c>
      <c r="G269" t="str">
        <v>Legal</v>
      </c>
      <c r="H269">
        <v>31089.22</v>
      </c>
      <c r="I269" t="str">
        <v>under 50k</v>
      </c>
      <c r="J269">
        <v>43776</v>
      </c>
      <c r="K269">
        <v>1</v>
      </c>
      <c r="L269" t="str">
        <v>Fixed Term</v>
      </c>
      <c r="M269" t="str">
        <v>Full time</v>
      </c>
      <c r="N269" t="str">
        <v>Chennai, India</v>
      </c>
      <c r="O269">
        <v>2332</v>
      </c>
      <c r="P269">
        <v>6</v>
      </c>
    </row>
    <row r="272" spans="2:16" x14ac:dyDescent="0.3">
      <c r="B272" s="22" t="s">
        <v>993</v>
      </c>
      <c r="C272" s="22"/>
      <c r="D272" s="22"/>
    </row>
    <row r="275" spans="3:16" x14ac:dyDescent="0.3">
      <c r="C275" t="str" cm="1">
        <f t="array" ref="C275:P388">_xlfn._xlws.FILTER(Staff[],Staff[Start Date]&gt;=DATE(2020,1,1))</f>
        <v>SQ04612</v>
      </c>
      <c r="D275" t="str">
        <v>Mick</v>
      </c>
      <c r="E275" t="str">
        <v>Spraberry</v>
      </c>
      <c r="F275" t="str">
        <v>Female</v>
      </c>
      <c r="G275" t="str">
        <v>Services</v>
      </c>
      <c r="H275">
        <v>120000</v>
      </c>
      <c r="I275" t="str">
        <v>Above 100k</v>
      </c>
      <c r="J275" s="9">
        <v>43902</v>
      </c>
      <c r="K275">
        <v>0.9</v>
      </c>
      <c r="L275" t="str">
        <v>Permanent</v>
      </c>
      <c r="M275" t="str">
        <v>Part time</v>
      </c>
      <c r="N275" t="str">
        <v>Remote</v>
      </c>
      <c r="O275">
        <v>2206</v>
      </c>
      <c r="P275">
        <v>6</v>
      </c>
    </row>
    <row r="276" spans="3:16" x14ac:dyDescent="0.3">
      <c r="C276" t="str">
        <v>SQ00144</v>
      </c>
      <c r="D276" t="str">
        <v>Collen</v>
      </c>
      <c r="E276" t="str">
        <v>Dunbleton</v>
      </c>
      <c r="F276" t="str">
        <v>Male</v>
      </c>
      <c r="G276" t="str">
        <v>Engineering</v>
      </c>
      <c r="H276">
        <v>118976.16</v>
      </c>
      <c r="I276" t="str">
        <v>Above 100k</v>
      </c>
      <c r="J276" s="9">
        <v>44120</v>
      </c>
      <c r="K276">
        <v>1</v>
      </c>
      <c r="L276" t="str">
        <v>Permanent</v>
      </c>
      <c r="M276" t="str">
        <v>Full time</v>
      </c>
      <c r="N276" t="str">
        <v>Wellington, New Zealand</v>
      </c>
      <c r="O276">
        <v>1988</v>
      </c>
      <c r="P276">
        <v>5</v>
      </c>
    </row>
    <row r="277" spans="3:16" x14ac:dyDescent="0.3">
      <c r="C277" t="str">
        <v>PR04601</v>
      </c>
      <c r="D277" t="str">
        <v>Yedukondalu</v>
      </c>
      <c r="E277" t="str">
        <v>Panditula</v>
      </c>
      <c r="F277" t="str">
        <v>Missing</v>
      </c>
      <c r="G277" t="str">
        <v>Support</v>
      </c>
      <c r="H277">
        <v>104802.63</v>
      </c>
      <c r="I277" t="str">
        <v>Above 100k</v>
      </c>
      <c r="J277" s="9">
        <v>44502</v>
      </c>
      <c r="K277">
        <v>1</v>
      </c>
      <c r="L277" t="str">
        <v>Permanent</v>
      </c>
      <c r="M277" t="str">
        <v>Full time</v>
      </c>
      <c r="N277" t="str">
        <v>Hyderabad, India</v>
      </c>
      <c r="O277">
        <v>1606</v>
      </c>
      <c r="P277">
        <v>4</v>
      </c>
    </row>
    <row r="278" spans="3:16" x14ac:dyDescent="0.3">
      <c r="C278" t="str">
        <v>VT00578</v>
      </c>
      <c r="D278" t="str">
        <v>Magnum</v>
      </c>
      <c r="E278" t="str">
        <v>Locksley</v>
      </c>
      <c r="F278" t="str">
        <v>Female</v>
      </c>
      <c r="G278" t="str">
        <v>Services</v>
      </c>
      <c r="H278">
        <v>42314.39</v>
      </c>
      <c r="I278" t="str">
        <v>under 50k</v>
      </c>
      <c r="J278" s="9">
        <v>44487</v>
      </c>
      <c r="K278">
        <v>1</v>
      </c>
      <c r="L278" t="str">
        <v>Fixed Term</v>
      </c>
      <c r="M278" t="str">
        <v>Full time</v>
      </c>
      <c r="N278" t="str">
        <v>Remote</v>
      </c>
      <c r="O278">
        <v>1621</v>
      </c>
      <c r="P278">
        <v>4</v>
      </c>
    </row>
    <row r="279" spans="3:16" x14ac:dyDescent="0.3">
      <c r="C279" t="str">
        <v>TN01281</v>
      </c>
      <c r="D279" t="str">
        <v>Cletus</v>
      </c>
      <c r="E279" t="str">
        <v>McGarahan</v>
      </c>
      <c r="F279" t="str">
        <v>Female</v>
      </c>
      <c r="G279" t="str">
        <v>Engineering</v>
      </c>
      <c r="H279">
        <v>114425.19</v>
      </c>
      <c r="I279" t="str">
        <v>Above 100k</v>
      </c>
      <c r="J279" s="9">
        <v>43857</v>
      </c>
      <c r="K279">
        <v>1</v>
      </c>
      <c r="L279" t="str">
        <v>Permanent</v>
      </c>
      <c r="M279" t="str">
        <v>Full time</v>
      </c>
      <c r="N279" t="str">
        <v>Wellington, New Zealand</v>
      </c>
      <c r="O279">
        <v>2251</v>
      </c>
      <c r="P279">
        <v>6</v>
      </c>
    </row>
    <row r="280" spans="3:16" x14ac:dyDescent="0.3">
      <c r="C280" t="str">
        <v>PR04473</v>
      </c>
      <c r="D280" t="str">
        <v>Wyn</v>
      </c>
      <c r="E280" t="str">
        <v>Treadger</v>
      </c>
      <c r="F280" t="str">
        <v>Female</v>
      </c>
      <c r="G280" t="str">
        <v>Business Development</v>
      </c>
      <c r="H280">
        <v>69192.850000000006</v>
      </c>
      <c r="I280" t="str">
        <v>50k to 100k</v>
      </c>
      <c r="J280" s="9">
        <v>44305</v>
      </c>
      <c r="K280">
        <v>1</v>
      </c>
      <c r="L280" t="str">
        <v>Permanent</v>
      </c>
      <c r="M280" t="str">
        <v>Full time</v>
      </c>
      <c r="N280" t="str">
        <v>Columbus, USA</v>
      </c>
      <c r="O280">
        <v>1803</v>
      </c>
      <c r="P280">
        <v>5</v>
      </c>
    </row>
    <row r="281" spans="3:16" x14ac:dyDescent="0.3">
      <c r="C281" t="str">
        <v>TN00464</v>
      </c>
      <c r="D281" t="str">
        <v>Gopal</v>
      </c>
      <c r="E281" t="str">
        <v>Venkata</v>
      </c>
      <c r="F281" t="str">
        <v>Male</v>
      </c>
      <c r="G281" t="str">
        <v>Research and Development</v>
      </c>
      <c r="H281">
        <v>52748.63</v>
      </c>
      <c r="I281" t="str">
        <v>50k to 100k</v>
      </c>
      <c r="J281" s="9">
        <v>43857</v>
      </c>
      <c r="K281">
        <v>1</v>
      </c>
      <c r="L281" t="str">
        <v>Permanent</v>
      </c>
      <c r="M281" t="str">
        <v>Full time</v>
      </c>
      <c r="N281" t="str">
        <v>Chennai, India</v>
      </c>
      <c r="O281">
        <v>2251</v>
      </c>
      <c r="P281">
        <v>6</v>
      </c>
    </row>
    <row r="282" spans="3:16" x14ac:dyDescent="0.3">
      <c r="C282" t="str">
        <v>PR00893</v>
      </c>
      <c r="D282" t="str">
        <v>Vasavi</v>
      </c>
      <c r="E282" t="str">
        <v>Veeravasarapu</v>
      </c>
      <c r="F282" t="str">
        <v>Male</v>
      </c>
      <c r="G282" t="str">
        <v>Human Resources</v>
      </c>
      <c r="H282">
        <v>50310.09</v>
      </c>
      <c r="I282" t="str">
        <v>50k to 100k</v>
      </c>
      <c r="J282" s="9">
        <v>44285</v>
      </c>
      <c r="K282">
        <v>0.4</v>
      </c>
      <c r="L282" t="str">
        <v>Permanent</v>
      </c>
      <c r="M282" t="str">
        <v>Part time</v>
      </c>
      <c r="N282" t="str">
        <v>Hyderabad, India</v>
      </c>
      <c r="O282">
        <v>1823</v>
      </c>
      <c r="P282">
        <v>5</v>
      </c>
    </row>
    <row r="283" spans="3:16" x14ac:dyDescent="0.3">
      <c r="C283" t="str">
        <v>PR00882</v>
      </c>
      <c r="D283" t="str">
        <v>Jill</v>
      </c>
      <c r="E283" t="str">
        <v>Shipsey</v>
      </c>
      <c r="F283" t="str">
        <v>Male</v>
      </c>
      <c r="G283" t="str">
        <v>Accounting</v>
      </c>
      <c r="H283">
        <v>52963.65</v>
      </c>
      <c r="I283" t="str">
        <v>50k to 100k</v>
      </c>
      <c r="J283" s="9">
        <v>44288</v>
      </c>
      <c r="K283">
        <v>0.3</v>
      </c>
      <c r="L283" t="str">
        <v>Permanent</v>
      </c>
      <c r="M283" t="str">
        <v>Part time</v>
      </c>
      <c r="N283" t="str">
        <v>Columbus, USA</v>
      </c>
      <c r="O283">
        <v>1820</v>
      </c>
      <c r="P283">
        <v>5</v>
      </c>
    </row>
    <row r="284" spans="3:16" x14ac:dyDescent="0.3">
      <c r="C284" t="str">
        <v>PR03445</v>
      </c>
      <c r="D284" t="str">
        <v>Myrle</v>
      </c>
      <c r="E284" t="str">
        <v>Prandoni</v>
      </c>
      <c r="F284" t="str">
        <v>Male</v>
      </c>
      <c r="G284" t="str">
        <v>Sales</v>
      </c>
      <c r="H284">
        <v>62195.47</v>
      </c>
      <c r="I284" t="str">
        <v>50k to 100k</v>
      </c>
      <c r="J284" s="9">
        <v>44434</v>
      </c>
      <c r="K284">
        <v>1</v>
      </c>
      <c r="L284" t="str">
        <v>Permanent</v>
      </c>
      <c r="M284" t="str">
        <v>Full time</v>
      </c>
      <c r="N284" t="str">
        <v>Remote</v>
      </c>
      <c r="O284">
        <v>1674</v>
      </c>
      <c r="P284">
        <v>5</v>
      </c>
    </row>
    <row r="285" spans="3:16" x14ac:dyDescent="0.3">
      <c r="C285" t="str">
        <v>TN00890</v>
      </c>
      <c r="D285" t="str">
        <v>Mayur</v>
      </c>
      <c r="E285" t="str">
        <v>Kousika</v>
      </c>
      <c r="F285" t="str">
        <v>Female</v>
      </c>
      <c r="G285" t="str">
        <v>Training</v>
      </c>
      <c r="H285">
        <v>71570.990000000005</v>
      </c>
      <c r="I285" t="str">
        <v>50k to 100k</v>
      </c>
      <c r="J285" s="9">
        <v>44249</v>
      </c>
      <c r="K285">
        <v>0.5</v>
      </c>
      <c r="L285" t="str">
        <v>Permanent</v>
      </c>
      <c r="M285" t="str">
        <v>Part time</v>
      </c>
      <c r="N285" t="str">
        <v>Hyderabad, India</v>
      </c>
      <c r="O285">
        <v>1859</v>
      </c>
      <c r="P285">
        <v>5</v>
      </c>
    </row>
    <row r="286" spans="3:16" x14ac:dyDescent="0.3">
      <c r="C286" t="str">
        <v>PR02288</v>
      </c>
      <c r="D286" t="str">
        <v>Althea</v>
      </c>
      <c r="E286" t="str">
        <v>Bronger</v>
      </c>
      <c r="F286" t="str">
        <v>Male</v>
      </c>
      <c r="G286" t="str">
        <v>Product Management</v>
      </c>
      <c r="H286">
        <v>104335.03999999999</v>
      </c>
      <c r="I286" t="str">
        <v>Above 100k</v>
      </c>
      <c r="J286" s="9">
        <v>43874</v>
      </c>
      <c r="K286">
        <v>1</v>
      </c>
      <c r="L286" t="str">
        <v>Permanent</v>
      </c>
      <c r="M286" t="str">
        <v>Full time</v>
      </c>
      <c r="N286" t="str">
        <v>Columbus, USA</v>
      </c>
      <c r="O286">
        <v>2234</v>
      </c>
      <c r="P286">
        <v>6</v>
      </c>
    </row>
    <row r="287" spans="3:16" x14ac:dyDescent="0.3">
      <c r="C287" t="str">
        <v>SQ01395</v>
      </c>
      <c r="D287" t="str">
        <v>Dennison</v>
      </c>
      <c r="E287" t="str">
        <v>Crosswaite</v>
      </c>
      <c r="F287" t="str">
        <v>Male</v>
      </c>
      <c r="G287" t="str">
        <v>Legal</v>
      </c>
      <c r="H287">
        <v>90697.67</v>
      </c>
      <c r="I287" t="str">
        <v>50k to 100k</v>
      </c>
      <c r="J287" s="9">
        <v>44221</v>
      </c>
      <c r="K287">
        <v>0.8</v>
      </c>
      <c r="L287" t="str">
        <v>Permanent</v>
      </c>
      <c r="M287" t="str">
        <v>Part time</v>
      </c>
      <c r="N287" t="str">
        <v>Seattle, USA</v>
      </c>
      <c r="O287">
        <v>1887</v>
      </c>
      <c r="P287">
        <v>5</v>
      </c>
    </row>
    <row r="288" spans="3:16" x14ac:dyDescent="0.3">
      <c r="C288" t="str">
        <v>VT04627</v>
      </c>
      <c r="D288" t="str">
        <v>Yvette</v>
      </c>
      <c r="E288" t="str">
        <v>Bett</v>
      </c>
      <c r="F288" t="str">
        <v>Male</v>
      </c>
      <c r="G288" t="str">
        <v>Human Resources</v>
      </c>
      <c r="H288">
        <v>76320.44</v>
      </c>
      <c r="I288" t="str">
        <v>50k to 100k</v>
      </c>
      <c r="J288" s="9">
        <v>44383</v>
      </c>
      <c r="K288">
        <v>0.8</v>
      </c>
      <c r="L288" t="str">
        <v>Temporary</v>
      </c>
      <c r="M288" t="str">
        <v>Part time</v>
      </c>
      <c r="N288" t="str">
        <v>Remote</v>
      </c>
      <c r="O288">
        <v>1725</v>
      </c>
      <c r="P288">
        <v>5</v>
      </c>
    </row>
    <row r="289" spans="3:16" x14ac:dyDescent="0.3">
      <c r="C289" t="str">
        <v>VT03537</v>
      </c>
      <c r="D289" t="str">
        <v>Renaldo</v>
      </c>
      <c r="E289" t="str">
        <v>Thomassin</v>
      </c>
      <c r="F289" t="str">
        <v>Male</v>
      </c>
      <c r="G289" t="str">
        <v>Business Development</v>
      </c>
      <c r="H289">
        <v>73360.38</v>
      </c>
      <c r="I289" t="str">
        <v>50k to 100k</v>
      </c>
      <c r="J289" s="9">
        <v>43972</v>
      </c>
      <c r="K289">
        <v>1</v>
      </c>
      <c r="L289" t="str">
        <v>Temporary</v>
      </c>
      <c r="M289" t="str">
        <v>Full time</v>
      </c>
      <c r="N289" t="str">
        <v>Remote</v>
      </c>
      <c r="O289">
        <v>2136</v>
      </c>
      <c r="P289">
        <v>6</v>
      </c>
    </row>
    <row r="290" spans="3:16" x14ac:dyDescent="0.3">
      <c r="C290" t="str">
        <v>TN04246</v>
      </c>
      <c r="D290" t="str">
        <v>Shaylyn</v>
      </c>
      <c r="E290" t="str">
        <v>Ransbury</v>
      </c>
      <c r="F290" t="str">
        <v>Female</v>
      </c>
      <c r="G290" t="str">
        <v>Support</v>
      </c>
      <c r="H290">
        <v>100371.31</v>
      </c>
      <c r="I290" t="str">
        <v>Above 100k</v>
      </c>
      <c r="J290" s="9">
        <v>44067</v>
      </c>
      <c r="K290">
        <v>0.8</v>
      </c>
      <c r="L290" t="str">
        <v>Fixed Term</v>
      </c>
      <c r="M290" t="str">
        <v>Part time</v>
      </c>
      <c r="N290" t="str">
        <v>Auckland, New Zealand</v>
      </c>
      <c r="O290">
        <v>2041</v>
      </c>
      <c r="P290">
        <v>6</v>
      </c>
    </row>
    <row r="291" spans="3:16" x14ac:dyDescent="0.3">
      <c r="C291" t="str">
        <v>VT02801</v>
      </c>
      <c r="D291" t="str">
        <v>Shellysheldon</v>
      </c>
      <c r="E291" t="str">
        <v>Mahady</v>
      </c>
      <c r="F291" t="str">
        <v>Male</v>
      </c>
      <c r="G291" t="str">
        <v>Training</v>
      </c>
      <c r="H291">
        <v>114691.03</v>
      </c>
      <c r="I291" t="str">
        <v>Above 100k</v>
      </c>
      <c r="J291" s="9">
        <v>44039</v>
      </c>
      <c r="K291">
        <v>1</v>
      </c>
      <c r="L291" t="str">
        <v>Temporary</v>
      </c>
      <c r="M291" t="str">
        <v>Full time</v>
      </c>
      <c r="N291" t="str">
        <v>Wellington, New Zealand</v>
      </c>
      <c r="O291">
        <v>2069</v>
      </c>
      <c r="P291">
        <v>6</v>
      </c>
    </row>
    <row r="292" spans="3:16" x14ac:dyDescent="0.3">
      <c r="C292" t="str">
        <v>SQ01177</v>
      </c>
      <c r="D292" t="str">
        <v>Nazeer</v>
      </c>
      <c r="E292" t="str">
        <v>Basha</v>
      </c>
      <c r="F292" t="str">
        <v>Male</v>
      </c>
      <c r="G292" t="str">
        <v>Human Resources</v>
      </c>
      <c r="H292">
        <v>86556.96</v>
      </c>
      <c r="I292" t="str">
        <v>50k to 100k</v>
      </c>
      <c r="J292" s="9">
        <v>44104</v>
      </c>
      <c r="K292">
        <v>1</v>
      </c>
      <c r="L292" t="str">
        <v>Permanent</v>
      </c>
      <c r="M292" t="str">
        <v>Full time</v>
      </c>
      <c r="N292" t="str">
        <v>Hyderabad, India</v>
      </c>
      <c r="O292">
        <v>2004</v>
      </c>
      <c r="P292">
        <v>5</v>
      </c>
    </row>
    <row r="293" spans="3:16" x14ac:dyDescent="0.3">
      <c r="C293" t="str">
        <v>TN01876</v>
      </c>
      <c r="D293" t="str">
        <v>Aileen</v>
      </c>
      <c r="E293" t="str">
        <v>McCritchie</v>
      </c>
      <c r="F293" t="str">
        <v>Male</v>
      </c>
      <c r="G293" t="str">
        <v>Business Development</v>
      </c>
      <c r="H293">
        <v>80169.42</v>
      </c>
      <c r="I293" t="str">
        <v>50k to 100k</v>
      </c>
      <c r="J293" s="9">
        <v>44053</v>
      </c>
      <c r="K293">
        <v>1</v>
      </c>
      <c r="L293" t="str">
        <v>Permanent</v>
      </c>
      <c r="M293" t="str">
        <v>Full time</v>
      </c>
      <c r="N293" t="str">
        <v>Auckland, New Zealand</v>
      </c>
      <c r="O293">
        <v>2055</v>
      </c>
      <c r="P293">
        <v>6</v>
      </c>
    </row>
    <row r="294" spans="3:16" x14ac:dyDescent="0.3">
      <c r="C294" t="str">
        <v>TN00227</v>
      </c>
      <c r="D294" t="str">
        <v>Raghuveer</v>
      </c>
      <c r="E294" t="str">
        <v>Yettugunna</v>
      </c>
      <c r="F294" t="str">
        <v>Female</v>
      </c>
      <c r="G294" t="str">
        <v>Support</v>
      </c>
      <c r="H294">
        <v>63555.73</v>
      </c>
      <c r="I294" t="str">
        <v>50k to 100k</v>
      </c>
      <c r="J294" s="9">
        <v>44159</v>
      </c>
      <c r="K294">
        <v>1</v>
      </c>
      <c r="L294" t="str">
        <v>Permanent</v>
      </c>
      <c r="M294" t="str">
        <v>Full time</v>
      </c>
      <c r="N294" t="str">
        <v>Chennai, India</v>
      </c>
      <c r="O294">
        <v>1949</v>
      </c>
      <c r="P294">
        <v>5</v>
      </c>
    </row>
    <row r="295" spans="3:16" x14ac:dyDescent="0.3">
      <c r="C295" t="str">
        <v>PR02208</v>
      </c>
      <c r="D295" t="str">
        <v>Gowri</v>
      </c>
      <c r="E295" t="str">
        <v>Sankar</v>
      </c>
      <c r="F295" t="str">
        <v>Female</v>
      </c>
      <c r="G295" t="str">
        <v>Training</v>
      </c>
      <c r="H295">
        <v>102934.09</v>
      </c>
      <c r="I295" t="str">
        <v>Above 100k</v>
      </c>
      <c r="J295" s="9">
        <v>44315</v>
      </c>
      <c r="K295">
        <v>1</v>
      </c>
      <c r="L295" t="str">
        <v>Permanent</v>
      </c>
      <c r="M295" t="str">
        <v>Full time</v>
      </c>
      <c r="N295" t="str">
        <v>Hyderabad, India</v>
      </c>
      <c r="O295">
        <v>1793</v>
      </c>
      <c r="P295">
        <v>5</v>
      </c>
    </row>
    <row r="296" spans="3:16" x14ac:dyDescent="0.3">
      <c r="C296" t="str">
        <v>PR03844</v>
      </c>
      <c r="D296" t="str">
        <v>Brose</v>
      </c>
      <c r="E296" t="str">
        <v>MacCorkell</v>
      </c>
      <c r="F296" t="str">
        <v>Female</v>
      </c>
      <c r="G296" t="str">
        <v>Human Resources</v>
      </c>
      <c r="H296">
        <v>35943.620000000003</v>
      </c>
      <c r="I296" t="str">
        <v>under 50k</v>
      </c>
      <c r="J296" s="9">
        <v>44078</v>
      </c>
      <c r="K296">
        <v>1</v>
      </c>
      <c r="L296" t="str">
        <v>Permanent</v>
      </c>
      <c r="M296" t="str">
        <v>Full time</v>
      </c>
      <c r="N296" t="str">
        <v>Columbus, USA</v>
      </c>
      <c r="O296">
        <v>2030</v>
      </c>
      <c r="P296">
        <v>6</v>
      </c>
    </row>
    <row r="297" spans="3:16" x14ac:dyDescent="0.3">
      <c r="C297" t="str">
        <v>VT04093</v>
      </c>
      <c r="D297" t="str">
        <v>Prasanna</v>
      </c>
      <c r="E297" t="str">
        <v>Lakshmi</v>
      </c>
      <c r="F297" t="str">
        <v>Female</v>
      </c>
      <c r="G297" t="str">
        <v>Training</v>
      </c>
      <c r="H297">
        <v>116767.63</v>
      </c>
      <c r="I297" t="str">
        <v>Above 100k</v>
      </c>
      <c r="J297" s="9">
        <v>43949</v>
      </c>
      <c r="K297">
        <v>0.4</v>
      </c>
      <c r="L297" t="str">
        <v>Temporary</v>
      </c>
      <c r="M297" t="str">
        <v>Part time</v>
      </c>
      <c r="N297" t="str">
        <v>Chennai, India</v>
      </c>
      <c r="O297">
        <v>2159</v>
      </c>
      <c r="P297">
        <v>6</v>
      </c>
    </row>
    <row r="298" spans="3:16" x14ac:dyDescent="0.3">
      <c r="C298" t="str">
        <v>SQ02246</v>
      </c>
      <c r="D298" t="str">
        <v>Matias</v>
      </c>
      <c r="E298" t="str">
        <v>Cormack</v>
      </c>
      <c r="F298" t="str">
        <v>Male</v>
      </c>
      <c r="G298" t="str">
        <v>Research and Development</v>
      </c>
      <c r="H298">
        <v>85455.53</v>
      </c>
      <c r="I298" t="str">
        <v>50k to 100k</v>
      </c>
      <c r="J298" s="9">
        <v>43839</v>
      </c>
      <c r="K298">
        <v>1</v>
      </c>
      <c r="L298" t="str">
        <v>Permanent</v>
      </c>
      <c r="M298" t="str">
        <v>Full time</v>
      </c>
      <c r="N298" t="str">
        <v>Wellington, New Zealand</v>
      </c>
      <c r="O298">
        <v>2269</v>
      </c>
      <c r="P298">
        <v>6</v>
      </c>
    </row>
    <row r="299" spans="3:16" x14ac:dyDescent="0.3">
      <c r="C299" t="str">
        <v>TN03032</v>
      </c>
      <c r="D299" t="str">
        <v>Jaipal</v>
      </c>
      <c r="E299" t="str">
        <v>Potanapudi</v>
      </c>
      <c r="F299" t="str">
        <v>Female</v>
      </c>
      <c r="G299" t="str">
        <v>Research and Development</v>
      </c>
      <c r="H299">
        <v>39700.82</v>
      </c>
      <c r="I299" t="str">
        <v>under 50k</v>
      </c>
      <c r="J299" s="9">
        <v>44203</v>
      </c>
      <c r="K299">
        <v>0.8</v>
      </c>
      <c r="L299" t="str">
        <v>Permanent</v>
      </c>
      <c r="M299" t="str">
        <v>Part time</v>
      </c>
      <c r="N299" t="str">
        <v>Chennai, India</v>
      </c>
      <c r="O299">
        <v>1905</v>
      </c>
      <c r="P299">
        <v>5</v>
      </c>
    </row>
    <row r="300" spans="3:16" x14ac:dyDescent="0.3">
      <c r="C300" t="str">
        <v>SQ00914</v>
      </c>
      <c r="D300" t="str">
        <v>Duran</v>
      </c>
      <c r="E300" t="str">
        <v>Appala</v>
      </c>
      <c r="F300" t="str">
        <v>Female</v>
      </c>
      <c r="G300" t="str">
        <v>Product Management</v>
      </c>
      <c r="H300">
        <v>38438.239999999998</v>
      </c>
      <c r="I300" t="str">
        <v>under 50k</v>
      </c>
      <c r="J300" s="9">
        <v>43962</v>
      </c>
      <c r="K300">
        <v>1</v>
      </c>
      <c r="L300" t="str">
        <v>Permanent</v>
      </c>
      <c r="M300" t="str">
        <v>Full time</v>
      </c>
      <c r="N300" t="str">
        <v>Chennai, India</v>
      </c>
      <c r="O300">
        <v>2146</v>
      </c>
      <c r="P300">
        <v>6</v>
      </c>
    </row>
    <row r="301" spans="3:16" x14ac:dyDescent="0.3">
      <c r="C301" t="str">
        <v>SQ02525</v>
      </c>
      <c r="D301" t="str">
        <v>Mickie</v>
      </c>
      <c r="E301" t="str">
        <v>Dagwell</v>
      </c>
      <c r="F301" t="str">
        <v>Male</v>
      </c>
      <c r="G301" t="str">
        <v>Engineering</v>
      </c>
      <c r="H301">
        <v>50855.53</v>
      </c>
      <c r="I301" t="str">
        <v>50k to 100k</v>
      </c>
      <c r="J301" s="9">
        <v>44221</v>
      </c>
      <c r="K301">
        <v>1</v>
      </c>
      <c r="L301" t="str">
        <v>Permanent</v>
      </c>
      <c r="M301" t="str">
        <v>Full time</v>
      </c>
      <c r="N301" t="str">
        <v>Wellington, New Zealand</v>
      </c>
      <c r="O301">
        <v>1887</v>
      </c>
      <c r="P301">
        <v>5</v>
      </c>
    </row>
    <row r="302" spans="3:16" x14ac:dyDescent="0.3">
      <c r="C302" t="str">
        <v>VT01249</v>
      </c>
      <c r="D302" t="str">
        <v>Brendan</v>
      </c>
      <c r="E302" t="str">
        <v>Edgeller</v>
      </c>
      <c r="F302" t="str">
        <v>Female</v>
      </c>
      <c r="G302" t="str">
        <v>Legal</v>
      </c>
      <c r="H302">
        <v>31042.51</v>
      </c>
      <c r="I302" t="str">
        <v>under 50k</v>
      </c>
      <c r="J302" s="9">
        <v>44473</v>
      </c>
      <c r="K302">
        <v>0.3</v>
      </c>
      <c r="L302" t="str">
        <v>Fixed Term</v>
      </c>
      <c r="M302" t="str">
        <v>Part time</v>
      </c>
      <c r="N302" t="str">
        <v>Remote</v>
      </c>
      <c r="O302">
        <v>1635</v>
      </c>
      <c r="P302">
        <v>4</v>
      </c>
    </row>
    <row r="303" spans="3:16" x14ac:dyDescent="0.3">
      <c r="C303" t="str">
        <v>VT02260</v>
      </c>
      <c r="D303" t="str">
        <v>Rhiamon</v>
      </c>
      <c r="E303" t="str">
        <v>Mollison</v>
      </c>
      <c r="F303" t="str">
        <v>Female</v>
      </c>
      <c r="G303" t="str">
        <v>Research and Development</v>
      </c>
      <c r="H303">
        <v>59434.18</v>
      </c>
      <c r="I303" t="str">
        <v>50k to 100k</v>
      </c>
      <c r="J303" s="9">
        <v>43931</v>
      </c>
      <c r="K303">
        <v>1</v>
      </c>
      <c r="L303" t="str">
        <v>Temporary</v>
      </c>
      <c r="M303" t="str">
        <v>Full time</v>
      </c>
      <c r="N303" t="str">
        <v>Seattle, USA</v>
      </c>
      <c r="O303">
        <v>2177</v>
      </c>
      <c r="P303">
        <v>6</v>
      </c>
    </row>
    <row r="304" spans="3:16" x14ac:dyDescent="0.3">
      <c r="C304" t="str">
        <v>VT03421</v>
      </c>
      <c r="D304" t="str">
        <v>Alic</v>
      </c>
      <c r="E304" t="str">
        <v>Bagg</v>
      </c>
      <c r="F304" t="str">
        <v>Male</v>
      </c>
      <c r="G304" t="str">
        <v>Legal</v>
      </c>
      <c r="H304">
        <v>113747.56</v>
      </c>
      <c r="I304" t="str">
        <v>Above 100k</v>
      </c>
      <c r="J304" s="9">
        <v>44270</v>
      </c>
      <c r="K304">
        <v>0.7</v>
      </c>
      <c r="L304" t="str">
        <v>Temporary</v>
      </c>
      <c r="M304" t="str">
        <v>Part time</v>
      </c>
      <c r="N304" t="str">
        <v>Columbus, USA</v>
      </c>
      <c r="O304">
        <v>1838</v>
      </c>
      <c r="P304">
        <v>5</v>
      </c>
    </row>
    <row r="305" spans="3:16" x14ac:dyDescent="0.3">
      <c r="C305" t="str">
        <v>VT02118</v>
      </c>
      <c r="D305" t="str">
        <v>Oorjit</v>
      </c>
      <c r="E305" t="str">
        <v>Nandanavanam</v>
      </c>
      <c r="F305" t="str">
        <v>Female</v>
      </c>
      <c r="G305" t="str">
        <v>Engineering</v>
      </c>
      <c r="H305">
        <v>51165.37</v>
      </c>
      <c r="I305" t="str">
        <v>50k to 100k</v>
      </c>
      <c r="J305" s="9">
        <v>44237</v>
      </c>
      <c r="K305">
        <v>1</v>
      </c>
      <c r="L305" t="str">
        <v>Fixed Term</v>
      </c>
      <c r="M305" t="str">
        <v>Full time</v>
      </c>
      <c r="N305" t="str">
        <v>Hyderabad, India</v>
      </c>
      <c r="O305">
        <v>1871</v>
      </c>
      <c r="P305">
        <v>5</v>
      </c>
    </row>
    <row r="306" spans="3:16" x14ac:dyDescent="0.3">
      <c r="C306" t="str">
        <v>PR03980</v>
      </c>
      <c r="D306" t="str">
        <v>Kath</v>
      </c>
      <c r="E306" t="str">
        <v>Bletsoe</v>
      </c>
      <c r="F306" t="str">
        <v>Male</v>
      </c>
      <c r="G306" t="str">
        <v>Marketing</v>
      </c>
      <c r="H306">
        <v>65699.02</v>
      </c>
      <c r="I306" t="str">
        <v>50k to 100k</v>
      </c>
      <c r="J306" s="9">
        <v>43951</v>
      </c>
      <c r="K306">
        <v>1</v>
      </c>
      <c r="L306" t="str">
        <v>Permanent</v>
      </c>
      <c r="M306" t="str">
        <v>Full time</v>
      </c>
      <c r="N306" t="str">
        <v>Columbus, USA</v>
      </c>
      <c r="O306">
        <v>2157</v>
      </c>
      <c r="P306">
        <v>6</v>
      </c>
    </row>
    <row r="307" spans="3:16" x14ac:dyDescent="0.3">
      <c r="C307" t="str">
        <v>VT03993</v>
      </c>
      <c r="D307" t="str">
        <v>Dulce</v>
      </c>
      <c r="E307" t="str">
        <v>Colbeck</v>
      </c>
      <c r="F307" t="str">
        <v>Male</v>
      </c>
      <c r="G307" t="str">
        <v>Human Resources</v>
      </c>
      <c r="H307">
        <v>83396.5</v>
      </c>
      <c r="I307" t="str">
        <v>50k to 100k</v>
      </c>
      <c r="J307" s="9">
        <v>44285</v>
      </c>
      <c r="K307">
        <v>1</v>
      </c>
      <c r="L307" t="str">
        <v>Temporary</v>
      </c>
      <c r="M307" t="str">
        <v>Full time</v>
      </c>
      <c r="N307" t="str">
        <v>Auckland, New Zealand</v>
      </c>
      <c r="O307">
        <v>1823</v>
      </c>
      <c r="P307">
        <v>5</v>
      </c>
    </row>
    <row r="308" spans="3:16" x14ac:dyDescent="0.3">
      <c r="C308" t="str">
        <v>VT02663</v>
      </c>
      <c r="D308" t="str">
        <v>Sravanthi</v>
      </c>
      <c r="E308" t="str">
        <v>Chalaki</v>
      </c>
      <c r="F308" t="str">
        <v>Male</v>
      </c>
      <c r="G308" t="str">
        <v>Legal</v>
      </c>
      <c r="H308">
        <v>28481.16</v>
      </c>
      <c r="I308" t="str">
        <v>under 50k</v>
      </c>
      <c r="J308" s="9">
        <v>44228</v>
      </c>
      <c r="K308">
        <v>1</v>
      </c>
      <c r="L308" t="str">
        <v>Temporary</v>
      </c>
      <c r="M308" t="str">
        <v>Full time</v>
      </c>
      <c r="N308" t="str">
        <v>Chennai, India</v>
      </c>
      <c r="O308">
        <v>1880</v>
      </c>
      <c r="P308">
        <v>5</v>
      </c>
    </row>
    <row r="309" spans="3:16" x14ac:dyDescent="0.3">
      <c r="C309" t="str">
        <v>PR03034</v>
      </c>
      <c r="D309" t="str">
        <v>Sreenivasa</v>
      </c>
      <c r="E309" t="str">
        <v>Naik</v>
      </c>
      <c r="F309" t="str">
        <v>Male</v>
      </c>
      <c r="G309" t="str">
        <v>Sales</v>
      </c>
      <c r="H309">
        <v>32192.15</v>
      </c>
      <c r="I309" t="str">
        <v>under 50k</v>
      </c>
      <c r="J309" s="9">
        <v>44473</v>
      </c>
      <c r="K309">
        <v>1</v>
      </c>
      <c r="L309" t="str">
        <v>Permanent</v>
      </c>
      <c r="M309" t="str">
        <v>Full time</v>
      </c>
      <c r="N309" t="str">
        <v>Hyderabad, India</v>
      </c>
      <c r="O309">
        <v>1635</v>
      </c>
      <c r="P309">
        <v>4</v>
      </c>
    </row>
    <row r="310" spans="3:16" x14ac:dyDescent="0.3">
      <c r="C310" t="str">
        <v>VT01523</v>
      </c>
      <c r="D310" t="str">
        <v>Charmane</v>
      </c>
      <c r="E310" t="str">
        <v>Heistermann</v>
      </c>
      <c r="F310" t="str">
        <v>Female</v>
      </c>
      <c r="G310" t="str">
        <v>Business Development</v>
      </c>
      <c r="H310">
        <v>86558.58</v>
      </c>
      <c r="I310" t="str">
        <v>50k to 100k</v>
      </c>
      <c r="J310" s="9">
        <v>43887</v>
      </c>
      <c r="K310">
        <v>1</v>
      </c>
      <c r="L310" t="str">
        <v>Fixed Term</v>
      </c>
      <c r="M310" t="str">
        <v>Full time</v>
      </c>
      <c r="N310" t="str">
        <v>Remote</v>
      </c>
      <c r="O310">
        <v>2221</v>
      </c>
      <c r="P310">
        <v>6</v>
      </c>
    </row>
    <row r="311" spans="3:16" x14ac:dyDescent="0.3">
      <c r="C311" t="str">
        <v>PR00916</v>
      </c>
      <c r="D311" t="str">
        <v>Inger</v>
      </c>
      <c r="E311" t="str">
        <v>Chapelhow</v>
      </c>
      <c r="F311" t="str">
        <v>Female</v>
      </c>
      <c r="G311" t="str">
        <v>Research and Development</v>
      </c>
      <c r="H311">
        <v>84309.95</v>
      </c>
      <c r="I311" t="str">
        <v>50k to 100k</v>
      </c>
      <c r="J311" s="9">
        <v>44501</v>
      </c>
      <c r="K311">
        <v>1</v>
      </c>
      <c r="L311" t="str">
        <v>Permanent</v>
      </c>
      <c r="M311" t="str">
        <v>Full time</v>
      </c>
      <c r="N311" t="str">
        <v>Remote</v>
      </c>
      <c r="O311">
        <v>1607</v>
      </c>
      <c r="P311">
        <v>4</v>
      </c>
    </row>
    <row r="312" spans="3:16" x14ac:dyDescent="0.3">
      <c r="C312" t="str">
        <v>PR01211</v>
      </c>
      <c r="D312" t="str">
        <v>Enoch</v>
      </c>
      <c r="E312" t="str">
        <v>Dowrey</v>
      </c>
      <c r="F312" t="str">
        <v>Male</v>
      </c>
      <c r="G312" t="str">
        <v>Accounting</v>
      </c>
      <c r="H312">
        <v>91645.04</v>
      </c>
      <c r="I312" t="str">
        <v>50k to 100k</v>
      </c>
      <c r="J312" s="9">
        <v>44223</v>
      </c>
      <c r="K312">
        <v>1</v>
      </c>
      <c r="L312" t="str">
        <v>Permanent</v>
      </c>
      <c r="M312" t="str">
        <v>Full time</v>
      </c>
      <c r="N312" t="str">
        <v>Auckland, New Zealand</v>
      </c>
      <c r="O312">
        <v>1885</v>
      </c>
      <c r="P312">
        <v>5</v>
      </c>
    </row>
    <row r="313" spans="3:16" x14ac:dyDescent="0.3">
      <c r="C313" t="str">
        <v>TN01876</v>
      </c>
      <c r="D313" t="str">
        <v>Aileen</v>
      </c>
      <c r="E313" t="str">
        <v>McCritchie</v>
      </c>
      <c r="F313" t="str">
        <v>Male</v>
      </c>
      <c r="G313" t="str">
        <v>Business Development</v>
      </c>
      <c r="H313">
        <v>80169.42</v>
      </c>
      <c r="I313" t="str">
        <v>50k to 100k</v>
      </c>
      <c r="J313" s="9">
        <v>44053</v>
      </c>
      <c r="K313">
        <v>1</v>
      </c>
      <c r="L313" t="str">
        <v>Permanent</v>
      </c>
      <c r="M313" t="str">
        <v>Full time</v>
      </c>
      <c r="N313" t="str">
        <v>Auckland, New Zealand</v>
      </c>
      <c r="O313">
        <v>2055</v>
      </c>
      <c r="P313">
        <v>6</v>
      </c>
    </row>
    <row r="314" spans="3:16" x14ac:dyDescent="0.3">
      <c r="C314" t="str">
        <v>VT04984</v>
      </c>
      <c r="D314" t="str">
        <v>Dell</v>
      </c>
      <c r="E314" t="str">
        <v>Molloy</v>
      </c>
      <c r="F314" t="str">
        <v>Male</v>
      </c>
      <c r="G314" t="str">
        <v>Engineering</v>
      </c>
      <c r="H314">
        <v>47362.62</v>
      </c>
      <c r="I314" t="str">
        <v>under 50k</v>
      </c>
      <c r="J314" s="9">
        <v>43973</v>
      </c>
      <c r="K314">
        <v>1</v>
      </c>
      <c r="L314" t="str">
        <v>Temporary</v>
      </c>
      <c r="M314" t="str">
        <v>Full time</v>
      </c>
      <c r="N314" t="str">
        <v>Remote</v>
      </c>
      <c r="O314">
        <v>2135</v>
      </c>
      <c r="P314">
        <v>6</v>
      </c>
    </row>
    <row r="315" spans="3:16" x14ac:dyDescent="0.3">
      <c r="C315" t="str">
        <v>PR00095</v>
      </c>
      <c r="D315" t="str">
        <v>Devrat</v>
      </c>
      <c r="E315" t="str">
        <v>Damarsingh</v>
      </c>
      <c r="F315" t="str">
        <v>Female</v>
      </c>
      <c r="G315" t="str">
        <v>Business Development</v>
      </c>
      <c r="H315">
        <v>70649.460000000006</v>
      </c>
      <c r="I315" t="str">
        <v>50k to 100k</v>
      </c>
      <c r="J315" s="9">
        <v>43843</v>
      </c>
      <c r="K315">
        <v>1</v>
      </c>
      <c r="L315" t="str">
        <v>Permanent</v>
      </c>
      <c r="M315" t="str">
        <v>Full time</v>
      </c>
      <c r="N315" t="str">
        <v>Hyderabad, India</v>
      </c>
      <c r="O315">
        <v>2265</v>
      </c>
      <c r="P315">
        <v>6</v>
      </c>
    </row>
    <row r="316" spans="3:16" x14ac:dyDescent="0.3">
      <c r="C316" t="str">
        <v>SQ03546</v>
      </c>
      <c r="D316" t="str">
        <v>Amlankusum</v>
      </c>
      <c r="E316" t="str">
        <v>Rajabhushan</v>
      </c>
      <c r="F316" t="str">
        <v>Female</v>
      </c>
      <c r="G316" t="str">
        <v>Legal</v>
      </c>
      <c r="H316">
        <v>75733.740000000005</v>
      </c>
      <c r="I316" t="str">
        <v>50k to 100k</v>
      </c>
      <c r="J316" s="9">
        <v>44382</v>
      </c>
      <c r="K316">
        <v>1</v>
      </c>
      <c r="L316" t="str">
        <v>Permanent</v>
      </c>
      <c r="M316" t="str">
        <v>Full time</v>
      </c>
      <c r="N316" t="str">
        <v>Hyderabad, India</v>
      </c>
      <c r="O316">
        <v>1726</v>
      </c>
      <c r="P316">
        <v>5</v>
      </c>
    </row>
    <row r="317" spans="3:16" x14ac:dyDescent="0.3">
      <c r="C317" t="str">
        <v>SQ00450</v>
      </c>
      <c r="D317" t="str">
        <v>Louise</v>
      </c>
      <c r="E317" t="str">
        <v>Lamming</v>
      </c>
      <c r="F317" t="str">
        <v>Female</v>
      </c>
      <c r="G317" t="str">
        <v>Sales</v>
      </c>
      <c r="H317">
        <v>41934.71</v>
      </c>
      <c r="I317" t="str">
        <v>under 50k</v>
      </c>
      <c r="J317" s="9">
        <v>43943</v>
      </c>
      <c r="K317">
        <v>1</v>
      </c>
      <c r="L317" t="str">
        <v>Permanent</v>
      </c>
      <c r="M317" t="str">
        <v>Full time</v>
      </c>
      <c r="N317" t="str">
        <v>Remote</v>
      </c>
      <c r="O317">
        <v>2165</v>
      </c>
      <c r="P317">
        <v>6</v>
      </c>
    </row>
    <row r="318" spans="3:16" x14ac:dyDescent="0.3">
      <c r="C318" t="str">
        <v>PR03804</v>
      </c>
      <c r="D318" t="str">
        <v>Pratigya</v>
      </c>
      <c r="E318" t="str">
        <v>Rema</v>
      </c>
      <c r="F318" t="str">
        <v>Male</v>
      </c>
      <c r="G318" t="str">
        <v>Legal</v>
      </c>
      <c r="H318">
        <v>66572.58</v>
      </c>
      <c r="I318" t="str">
        <v>50k to 100k</v>
      </c>
      <c r="J318" s="9">
        <v>44193</v>
      </c>
      <c r="K318">
        <v>1</v>
      </c>
      <c r="L318" t="str">
        <v>Permanent</v>
      </c>
      <c r="M318" t="str">
        <v>Full time</v>
      </c>
      <c r="N318" t="str">
        <v>Chennai, India</v>
      </c>
      <c r="O318">
        <v>1915</v>
      </c>
      <c r="P318">
        <v>5</v>
      </c>
    </row>
    <row r="319" spans="3:16" x14ac:dyDescent="0.3">
      <c r="C319" t="str">
        <v>PR02010</v>
      </c>
      <c r="D319" t="str">
        <v>Prerana</v>
      </c>
      <c r="E319" t="str">
        <v>Nishita</v>
      </c>
      <c r="F319" t="str">
        <v>Male</v>
      </c>
      <c r="G319" t="str">
        <v>Product Management</v>
      </c>
      <c r="H319">
        <v>115191.38</v>
      </c>
      <c r="I319" t="str">
        <v>Above 100k</v>
      </c>
      <c r="J319" s="9">
        <v>44004</v>
      </c>
      <c r="K319">
        <v>1</v>
      </c>
      <c r="L319" t="str">
        <v>Permanent</v>
      </c>
      <c r="M319" t="str">
        <v>Full time</v>
      </c>
      <c r="N319" t="str">
        <v>Hyderabad, India</v>
      </c>
      <c r="O319">
        <v>2104</v>
      </c>
      <c r="P319">
        <v>6</v>
      </c>
    </row>
    <row r="320" spans="3:16" x14ac:dyDescent="0.3">
      <c r="C320" t="str">
        <v>SQ00498</v>
      </c>
      <c r="D320" t="str">
        <v>Amery</v>
      </c>
      <c r="E320" t="str">
        <v>Ofer</v>
      </c>
      <c r="F320" t="str">
        <v>Female</v>
      </c>
      <c r="G320" t="str">
        <v>Legal</v>
      </c>
      <c r="H320">
        <v>111049.84</v>
      </c>
      <c r="I320" t="str">
        <v>Above 100k</v>
      </c>
      <c r="J320" s="9">
        <v>44393</v>
      </c>
      <c r="K320">
        <v>1</v>
      </c>
      <c r="L320" t="str">
        <v>Permanent</v>
      </c>
      <c r="M320" t="str">
        <v>Full time</v>
      </c>
      <c r="N320" t="str">
        <v>Wellington, New Zealand</v>
      </c>
      <c r="O320">
        <v>1715</v>
      </c>
      <c r="P320">
        <v>5</v>
      </c>
    </row>
    <row r="321" spans="3:16" x14ac:dyDescent="0.3">
      <c r="C321" t="str">
        <v>PR02113</v>
      </c>
      <c r="D321" t="str">
        <v>Beverie</v>
      </c>
      <c r="E321" t="str">
        <v>Moffet</v>
      </c>
      <c r="F321" t="str">
        <v>Female</v>
      </c>
      <c r="G321" t="str">
        <v>Support</v>
      </c>
      <c r="H321">
        <v>75974.990000000005</v>
      </c>
      <c r="I321" t="str">
        <v>50k to 100k</v>
      </c>
      <c r="J321" s="9">
        <v>44172</v>
      </c>
      <c r="K321">
        <v>1</v>
      </c>
      <c r="L321" t="str">
        <v>Permanent</v>
      </c>
      <c r="M321" t="str">
        <v>Full time</v>
      </c>
      <c r="N321" t="str">
        <v>Remote</v>
      </c>
      <c r="O321">
        <v>1936</v>
      </c>
      <c r="P321">
        <v>5</v>
      </c>
    </row>
    <row r="322" spans="3:16" x14ac:dyDescent="0.3">
      <c r="C322" t="str">
        <v>VT03500</v>
      </c>
      <c r="D322" t="str">
        <v>Shiuli</v>
      </c>
      <c r="E322" t="str">
        <v>Sapna</v>
      </c>
      <c r="F322" t="str">
        <v>Male</v>
      </c>
      <c r="G322" t="str">
        <v>Support</v>
      </c>
      <c r="H322">
        <v>37062.1</v>
      </c>
      <c r="I322" t="str">
        <v>under 50k</v>
      </c>
      <c r="J322" s="9">
        <v>44357</v>
      </c>
      <c r="K322">
        <v>1</v>
      </c>
      <c r="L322" t="str">
        <v>Temporary</v>
      </c>
      <c r="M322" t="str">
        <v>Full time</v>
      </c>
      <c r="N322" t="str">
        <v>Chennai, India</v>
      </c>
      <c r="O322">
        <v>1751</v>
      </c>
      <c r="P322">
        <v>5</v>
      </c>
    </row>
    <row r="323" spans="3:16" x14ac:dyDescent="0.3">
      <c r="C323" t="str">
        <v>VT04028</v>
      </c>
      <c r="D323" t="str">
        <v>Michale</v>
      </c>
      <c r="E323" t="str">
        <v>Rolf</v>
      </c>
      <c r="F323" t="str">
        <v>Male</v>
      </c>
      <c r="G323" t="str">
        <v>Services</v>
      </c>
      <c r="H323">
        <v>111815.49</v>
      </c>
      <c r="I323" t="str">
        <v>Above 100k</v>
      </c>
      <c r="J323" s="9">
        <v>43895</v>
      </c>
      <c r="K323">
        <v>0.7</v>
      </c>
      <c r="L323" t="str">
        <v>Temporary</v>
      </c>
      <c r="M323" t="str">
        <v>Part time</v>
      </c>
      <c r="N323" t="str">
        <v>Remote</v>
      </c>
      <c r="O323">
        <v>2213</v>
      </c>
      <c r="P323">
        <v>6</v>
      </c>
    </row>
    <row r="324" spans="3:16" x14ac:dyDescent="0.3">
      <c r="C324" t="str">
        <v>VT04028</v>
      </c>
      <c r="D324" t="str">
        <v>Michale</v>
      </c>
      <c r="E324" t="str">
        <v>Rolf</v>
      </c>
      <c r="F324" t="str">
        <v>Male</v>
      </c>
      <c r="G324" t="str">
        <v>Services</v>
      </c>
      <c r="H324">
        <v>111815.49</v>
      </c>
      <c r="I324" t="str">
        <v>Above 100k</v>
      </c>
      <c r="J324" s="9">
        <v>43895</v>
      </c>
      <c r="K324">
        <v>0.7</v>
      </c>
      <c r="L324" t="str">
        <v>Temporary</v>
      </c>
      <c r="M324" t="str">
        <v>Part time</v>
      </c>
      <c r="N324" t="str">
        <v>Remote</v>
      </c>
      <c r="O324">
        <v>2213</v>
      </c>
      <c r="P324">
        <v>6</v>
      </c>
    </row>
    <row r="325" spans="3:16" x14ac:dyDescent="0.3">
      <c r="C325" t="str">
        <v>TN01632</v>
      </c>
      <c r="D325" t="str">
        <v>Katya</v>
      </c>
      <c r="E325" t="str">
        <v>Hundy</v>
      </c>
      <c r="F325" t="str">
        <v>Male</v>
      </c>
      <c r="G325" t="str">
        <v>Business Development</v>
      </c>
      <c r="H325">
        <v>88511.17</v>
      </c>
      <c r="I325" t="str">
        <v>50k to 100k</v>
      </c>
      <c r="J325" s="9">
        <v>43950</v>
      </c>
      <c r="K325">
        <v>1</v>
      </c>
      <c r="L325" t="str">
        <v>Permanent</v>
      </c>
      <c r="M325" t="str">
        <v>Full time</v>
      </c>
      <c r="N325" t="str">
        <v>Columbus, USA</v>
      </c>
      <c r="O325">
        <v>2158</v>
      </c>
      <c r="P325">
        <v>6</v>
      </c>
    </row>
    <row r="326" spans="3:16" x14ac:dyDescent="0.3">
      <c r="C326" t="str">
        <v>SQ03626</v>
      </c>
      <c r="D326" t="str">
        <v>Krishnakanta</v>
      </c>
      <c r="E326" t="str">
        <v>Vellanki</v>
      </c>
      <c r="F326" t="str">
        <v>Female</v>
      </c>
      <c r="G326" t="str">
        <v>Training</v>
      </c>
      <c r="H326">
        <v>95677.9</v>
      </c>
      <c r="I326" t="str">
        <v>50k to 100k</v>
      </c>
      <c r="J326" s="9">
        <v>44396</v>
      </c>
      <c r="K326">
        <v>0.3</v>
      </c>
      <c r="L326" t="str">
        <v>Permanent</v>
      </c>
      <c r="M326" t="str">
        <v>Part time</v>
      </c>
      <c r="N326" t="str">
        <v>Chennai, India</v>
      </c>
      <c r="O326">
        <v>1712</v>
      </c>
      <c r="P326">
        <v>5</v>
      </c>
    </row>
    <row r="327" spans="3:16" x14ac:dyDescent="0.3">
      <c r="C327" t="str">
        <v>TN01340</v>
      </c>
      <c r="D327" t="str">
        <v>Granny</v>
      </c>
      <c r="E327" t="str">
        <v>Spencelayh</v>
      </c>
      <c r="F327" t="str">
        <v>Male</v>
      </c>
      <c r="G327" t="str">
        <v>Legal</v>
      </c>
      <c r="H327">
        <v>99460.78</v>
      </c>
      <c r="I327" t="str">
        <v>50k to 100k</v>
      </c>
      <c r="J327" s="9">
        <v>43956</v>
      </c>
      <c r="K327">
        <v>1</v>
      </c>
      <c r="L327" t="str">
        <v>Permanent</v>
      </c>
      <c r="M327" t="str">
        <v>Full time</v>
      </c>
      <c r="N327" t="str">
        <v>Remote</v>
      </c>
      <c r="O327">
        <v>2152</v>
      </c>
      <c r="P327">
        <v>6</v>
      </c>
    </row>
    <row r="328" spans="3:16" x14ac:dyDescent="0.3">
      <c r="C328" t="str">
        <v>SQ00960</v>
      </c>
      <c r="D328" t="str">
        <v>Calvin</v>
      </c>
      <c r="E328" t="str">
        <v>O'Carroll</v>
      </c>
      <c r="F328" t="str">
        <v>Female</v>
      </c>
      <c r="G328" t="str">
        <v>Research and Development</v>
      </c>
      <c r="H328">
        <v>44447.26</v>
      </c>
      <c r="I328" t="str">
        <v>under 50k</v>
      </c>
      <c r="J328" s="9">
        <v>43846</v>
      </c>
      <c r="K328">
        <v>0.4</v>
      </c>
      <c r="L328" t="str">
        <v>Permanent</v>
      </c>
      <c r="M328" t="str">
        <v>Part time</v>
      </c>
      <c r="N328" t="str">
        <v>Seattle, USA</v>
      </c>
      <c r="O328">
        <v>2262</v>
      </c>
      <c r="P328">
        <v>6</v>
      </c>
    </row>
    <row r="329" spans="3:16" x14ac:dyDescent="0.3">
      <c r="C329" t="str">
        <v>SQ01998</v>
      </c>
      <c r="D329" t="str">
        <v>Vanmala</v>
      </c>
      <c r="E329" t="str">
        <v>Shriharsha</v>
      </c>
      <c r="F329" t="str">
        <v>Male</v>
      </c>
      <c r="G329" t="str">
        <v>Product Management</v>
      </c>
      <c r="H329">
        <v>40445.29</v>
      </c>
      <c r="I329" t="str">
        <v>under 50k</v>
      </c>
      <c r="J329" s="9">
        <v>44393</v>
      </c>
      <c r="K329">
        <v>1</v>
      </c>
      <c r="L329" t="str">
        <v>Permanent</v>
      </c>
      <c r="M329" t="str">
        <v>Full time</v>
      </c>
      <c r="N329" t="str">
        <v>Chennai, India</v>
      </c>
      <c r="O329">
        <v>1715</v>
      </c>
      <c r="P329">
        <v>5</v>
      </c>
    </row>
    <row r="330" spans="3:16" x14ac:dyDescent="0.3">
      <c r="C330" t="str">
        <v>PR04446</v>
      </c>
      <c r="D330" t="str">
        <v>Sameer</v>
      </c>
      <c r="E330" t="str">
        <v>Shashank</v>
      </c>
      <c r="F330" t="str">
        <v>Female</v>
      </c>
      <c r="G330" t="str">
        <v>Research and Development</v>
      </c>
      <c r="H330">
        <v>92336.08</v>
      </c>
      <c r="I330" t="str">
        <v>50k to 100k</v>
      </c>
      <c r="J330" s="9">
        <v>44431</v>
      </c>
      <c r="K330">
        <v>1</v>
      </c>
      <c r="L330" t="str">
        <v>Permanent</v>
      </c>
      <c r="M330" t="str">
        <v>Full time</v>
      </c>
      <c r="N330" t="str">
        <v>Hyderabad, India</v>
      </c>
      <c r="O330">
        <v>1677</v>
      </c>
      <c r="P330">
        <v>5</v>
      </c>
    </row>
    <row r="331" spans="3:16" x14ac:dyDescent="0.3">
      <c r="C331" t="str">
        <v>SQ01283</v>
      </c>
      <c r="D331" t="str">
        <v>Barr</v>
      </c>
      <c r="E331" t="str">
        <v>Faughny</v>
      </c>
      <c r="F331" t="str">
        <v>Female</v>
      </c>
      <c r="G331" t="str">
        <v>Marketing</v>
      </c>
      <c r="H331">
        <v>68008.55</v>
      </c>
      <c r="I331" t="str">
        <v>50k to 100k</v>
      </c>
      <c r="J331" s="9">
        <v>44062</v>
      </c>
      <c r="K331">
        <v>1</v>
      </c>
      <c r="L331" t="str">
        <v>Permanent</v>
      </c>
      <c r="M331" t="str">
        <v>Full time</v>
      </c>
      <c r="N331" t="str">
        <v>Auckland, New Zealand</v>
      </c>
      <c r="O331">
        <v>2046</v>
      </c>
      <c r="P331">
        <v>6</v>
      </c>
    </row>
    <row r="332" spans="3:16" x14ac:dyDescent="0.3">
      <c r="C332" t="str">
        <v>SQ01026</v>
      </c>
      <c r="D332" t="str">
        <v>Anumati</v>
      </c>
      <c r="E332" t="str">
        <v>Shyamari</v>
      </c>
      <c r="F332" t="str">
        <v>Male</v>
      </c>
      <c r="G332" t="str">
        <v>Product Management</v>
      </c>
      <c r="H332">
        <v>74924.649999999994</v>
      </c>
      <c r="I332" t="str">
        <v>50k to 100k</v>
      </c>
      <c r="J332" s="9">
        <v>44239</v>
      </c>
      <c r="K332">
        <v>1</v>
      </c>
      <c r="L332" t="str">
        <v>Permanent</v>
      </c>
      <c r="M332" t="str">
        <v>Full time</v>
      </c>
      <c r="N332" t="str">
        <v>Hyderabad, India</v>
      </c>
      <c r="O332">
        <v>1869</v>
      </c>
      <c r="P332">
        <v>5</v>
      </c>
    </row>
    <row r="333" spans="3:16" x14ac:dyDescent="0.3">
      <c r="C333" t="str">
        <v>SQ00022</v>
      </c>
      <c r="D333" t="str">
        <v>Carlin</v>
      </c>
      <c r="E333" t="str">
        <v>Demke</v>
      </c>
      <c r="F333" t="str">
        <v>Male</v>
      </c>
      <c r="G333" t="str">
        <v>Business Development</v>
      </c>
      <c r="H333">
        <v>110042.37</v>
      </c>
      <c r="I333" t="str">
        <v>Above 100k</v>
      </c>
      <c r="J333" s="9">
        <v>43914</v>
      </c>
      <c r="K333">
        <v>1</v>
      </c>
      <c r="L333" t="str">
        <v>Permanent</v>
      </c>
      <c r="M333" t="str">
        <v>Full time</v>
      </c>
      <c r="N333" t="str">
        <v>Columbus, USA</v>
      </c>
      <c r="O333">
        <v>2194</v>
      </c>
      <c r="P333">
        <v>6</v>
      </c>
    </row>
    <row r="334" spans="3:16" x14ac:dyDescent="0.3">
      <c r="C334" t="str">
        <v>VT03704</v>
      </c>
      <c r="D334" t="str">
        <v>Egor</v>
      </c>
      <c r="E334" t="str">
        <v>Minto</v>
      </c>
      <c r="F334" t="str">
        <v>Missing</v>
      </c>
      <c r="G334" t="str">
        <v>Legal</v>
      </c>
      <c r="H334">
        <v>63447.07</v>
      </c>
      <c r="I334" t="str">
        <v>50k to 100k</v>
      </c>
      <c r="J334" s="9">
        <v>44148</v>
      </c>
      <c r="K334">
        <v>1</v>
      </c>
      <c r="L334" t="str">
        <v>Temporary</v>
      </c>
      <c r="M334" t="str">
        <v>Full time</v>
      </c>
      <c r="N334" t="str">
        <v>Wellington, New Zealand</v>
      </c>
      <c r="O334">
        <v>1960</v>
      </c>
      <c r="P334">
        <v>5</v>
      </c>
    </row>
    <row r="335" spans="3:16" x14ac:dyDescent="0.3">
      <c r="C335" t="str">
        <v>TN01256</v>
      </c>
      <c r="D335" t="str">
        <v>Shattesh</v>
      </c>
      <c r="E335" t="str">
        <v>Utpat</v>
      </c>
      <c r="F335" t="str">
        <v>Male</v>
      </c>
      <c r="G335" t="str">
        <v>Legal</v>
      </c>
      <c r="H335">
        <v>28481.16</v>
      </c>
      <c r="I335" t="str">
        <v>under 50k</v>
      </c>
      <c r="J335" s="9">
        <v>43916</v>
      </c>
      <c r="K335">
        <v>1</v>
      </c>
      <c r="L335" t="str">
        <v>Permanent</v>
      </c>
      <c r="M335" t="str">
        <v>Full time</v>
      </c>
      <c r="N335" t="str">
        <v>Hyderabad, India</v>
      </c>
      <c r="O335">
        <v>2192</v>
      </c>
      <c r="P335">
        <v>6</v>
      </c>
    </row>
    <row r="336" spans="3:16" x14ac:dyDescent="0.3">
      <c r="C336" t="str">
        <v>TN04660</v>
      </c>
      <c r="D336" t="str">
        <v>Thedrick</v>
      </c>
      <c r="E336" t="str">
        <v>Bothwell</v>
      </c>
      <c r="F336" t="str">
        <v>Male</v>
      </c>
      <c r="G336" t="str">
        <v>Business Development</v>
      </c>
      <c r="H336">
        <v>69764.100000000006</v>
      </c>
      <c r="I336" t="str">
        <v>50k to 100k</v>
      </c>
      <c r="J336" s="9">
        <v>44195</v>
      </c>
      <c r="K336">
        <v>1</v>
      </c>
      <c r="L336" t="str">
        <v>Fixed Term</v>
      </c>
      <c r="M336" t="str">
        <v>Full time</v>
      </c>
      <c r="N336" t="str">
        <v>Seattle, USA</v>
      </c>
      <c r="O336">
        <v>1913</v>
      </c>
      <c r="P336">
        <v>5</v>
      </c>
    </row>
    <row r="337" spans="3:16" x14ac:dyDescent="0.3">
      <c r="C337" t="str">
        <v>VT00596</v>
      </c>
      <c r="D337" t="str">
        <v>Letisha</v>
      </c>
      <c r="E337" t="str">
        <v>Carrett</v>
      </c>
      <c r="F337" t="str">
        <v>Female</v>
      </c>
      <c r="G337" t="str">
        <v>Sales</v>
      </c>
      <c r="H337">
        <v>84598.88</v>
      </c>
      <c r="I337" t="str">
        <v>50k to 100k</v>
      </c>
      <c r="J337" s="9">
        <v>44116</v>
      </c>
      <c r="K337">
        <v>1</v>
      </c>
      <c r="L337" t="str">
        <v>Fixed Term</v>
      </c>
      <c r="M337" t="str">
        <v>Full time</v>
      </c>
      <c r="N337" t="str">
        <v>Seattle, USA</v>
      </c>
      <c r="O337">
        <v>1992</v>
      </c>
      <c r="P337">
        <v>5</v>
      </c>
    </row>
    <row r="338" spans="3:16" x14ac:dyDescent="0.3">
      <c r="C338" t="str">
        <v>VT03552</v>
      </c>
      <c r="D338" t="str">
        <v>Kamalakshi</v>
      </c>
      <c r="E338" t="str">
        <v>Mukundan</v>
      </c>
      <c r="F338" t="str">
        <v>Male</v>
      </c>
      <c r="G338" t="str">
        <v>Engineering</v>
      </c>
      <c r="H338">
        <v>36536.26</v>
      </c>
      <c r="I338" t="str">
        <v>under 50k</v>
      </c>
      <c r="J338" s="9">
        <v>44358</v>
      </c>
      <c r="K338">
        <v>1</v>
      </c>
      <c r="L338" t="str">
        <v>Temporary</v>
      </c>
      <c r="M338" t="str">
        <v>Full time</v>
      </c>
      <c r="N338" t="str">
        <v>Hyderabad, India</v>
      </c>
      <c r="O338">
        <v>1750</v>
      </c>
      <c r="P338">
        <v>5</v>
      </c>
    </row>
    <row r="339" spans="3:16" x14ac:dyDescent="0.3">
      <c r="C339" t="str">
        <v>SQ00914</v>
      </c>
      <c r="D339" t="str">
        <v>Karuna</v>
      </c>
      <c r="E339" t="str">
        <v>Pashupathy</v>
      </c>
      <c r="F339" t="str">
        <v>Female</v>
      </c>
      <c r="G339" t="str">
        <v>Product Management</v>
      </c>
      <c r="H339">
        <v>38438.239999999998</v>
      </c>
      <c r="I339" t="str">
        <v>under 50k</v>
      </c>
      <c r="J339" s="9">
        <v>43962</v>
      </c>
      <c r="K339">
        <v>1</v>
      </c>
      <c r="L339" t="str">
        <v>Permanent</v>
      </c>
      <c r="M339" t="str">
        <v>Full time</v>
      </c>
      <c r="N339" t="str">
        <v>Chennai, India</v>
      </c>
      <c r="O339">
        <v>2146</v>
      </c>
      <c r="P339">
        <v>6</v>
      </c>
    </row>
    <row r="340" spans="3:16" x14ac:dyDescent="0.3">
      <c r="C340" t="str">
        <v>TN02674</v>
      </c>
      <c r="D340" t="str">
        <v>Antonetta</v>
      </c>
      <c r="E340" t="str">
        <v>Coggeshall</v>
      </c>
      <c r="F340" t="str">
        <v>Male</v>
      </c>
      <c r="G340" t="str">
        <v>Sales</v>
      </c>
      <c r="H340">
        <v>96753.78</v>
      </c>
      <c r="I340" t="str">
        <v>50k to 100k</v>
      </c>
      <c r="J340" s="9">
        <v>44494</v>
      </c>
      <c r="K340">
        <v>1</v>
      </c>
      <c r="L340" t="str">
        <v>Permanent</v>
      </c>
      <c r="M340" t="str">
        <v>Full time</v>
      </c>
      <c r="N340" t="str">
        <v>Auckland, New Zealand</v>
      </c>
      <c r="O340">
        <v>1614</v>
      </c>
      <c r="P340">
        <v>4</v>
      </c>
    </row>
    <row r="341" spans="3:16" x14ac:dyDescent="0.3">
      <c r="C341" t="str">
        <v>PR03886</v>
      </c>
      <c r="D341" t="str">
        <v>Edd</v>
      </c>
      <c r="E341" t="str">
        <v>MacKnockiter</v>
      </c>
      <c r="F341" t="str">
        <v>Male</v>
      </c>
      <c r="G341" t="str">
        <v>Accounting</v>
      </c>
      <c r="H341">
        <v>119022.49</v>
      </c>
      <c r="I341" t="str">
        <v>Above 100k</v>
      </c>
      <c r="J341" s="9">
        <v>44431</v>
      </c>
      <c r="K341">
        <v>1</v>
      </c>
      <c r="L341" t="str">
        <v>Permanent</v>
      </c>
      <c r="M341" t="str">
        <v>Full time</v>
      </c>
      <c r="N341" t="str">
        <v>Auckland, New Zealand</v>
      </c>
      <c r="O341">
        <v>1677</v>
      </c>
      <c r="P341">
        <v>5</v>
      </c>
    </row>
    <row r="342" spans="3:16" x14ac:dyDescent="0.3">
      <c r="C342" t="str">
        <v>PR00746</v>
      </c>
      <c r="D342" t="str">
        <v>Hogan</v>
      </c>
      <c r="E342" t="str">
        <v>Iles</v>
      </c>
      <c r="F342" t="str">
        <v>Female</v>
      </c>
      <c r="G342" t="str">
        <v>Accounting</v>
      </c>
      <c r="H342">
        <v>114177.23</v>
      </c>
      <c r="I342" t="str">
        <v>Above 100k</v>
      </c>
      <c r="J342" s="9">
        <v>43908</v>
      </c>
      <c r="K342">
        <v>1</v>
      </c>
      <c r="L342" t="str">
        <v>Permanent</v>
      </c>
      <c r="M342" t="str">
        <v>Full time</v>
      </c>
      <c r="N342" t="str">
        <v>Wellington, New Zealand</v>
      </c>
      <c r="O342">
        <v>2200</v>
      </c>
      <c r="P342">
        <v>6</v>
      </c>
    </row>
    <row r="343" spans="3:16" x14ac:dyDescent="0.3">
      <c r="C343" t="str">
        <v>SQ03387</v>
      </c>
      <c r="D343" t="str">
        <v>Robinia</v>
      </c>
      <c r="E343" t="str">
        <v>Scholling</v>
      </c>
      <c r="F343" t="str">
        <v>Female</v>
      </c>
      <c r="G343" t="str">
        <v>Human Resources</v>
      </c>
      <c r="H343">
        <v>100731.95</v>
      </c>
      <c r="I343" t="str">
        <v>Above 100k</v>
      </c>
      <c r="J343" s="9">
        <v>43936</v>
      </c>
      <c r="K343">
        <v>1</v>
      </c>
      <c r="L343" t="str">
        <v>Permanent</v>
      </c>
      <c r="M343" t="str">
        <v>Full time</v>
      </c>
      <c r="N343" t="str">
        <v>Auckland, New Zealand</v>
      </c>
      <c r="O343">
        <v>2172</v>
      </c>
      <c r="P343">
        <v>6</v>
      </c>
    </row>
    <row r="344" spans="3:16" x14ac:dyDescent="0.3">
      <c r="C344" t="str">
        <v>SQ03733</v>
      </c>
      <c r="D344" t="str">
        <v>Revkah</v>
      </c>
      <c r="E344" t="str">
        <v>Antonacci</v>
      </c>
      <c r="F344" t="str">
        <v>Male</v>
      </c>
      <c r="G344" t="str">
        <v>Engineering</v>
      </c>
      <c r="H344">
        <v>109143.17</v>
      </c>
      <c r="I344" t="str">
        <v>Above 100k</v>
      </c>
      <c r="J344" s="9">
        <v>43945</v>
      </c>
      <c r="K344">
        <v>1</v>
      </c>
      <c r="L344" t="str">
        <v>Permanent</v>
      </c>
      <c r="M344" t="str">
        <v>Full time</v>
      </c>
      <c r="N344" t="str">
        <v>Wellington, New Zealand</v>
      </c>
      <c r="O344">
        <v>2163</v>
      </c>
      <c r="P344">
        <v>6</v>
      </c>
    </row>
    <row r="345" spans="3:16" x14ac:dyDescent="0.3">
      <c r="C345" t="str">
        <v>VT04467</v>
      </c>
      <c r="D345" t="str">
        <v>Amal</v>
      </c>
      <c r="E345" t="str">
        <v>Nimesh</v>
      </c>
      <c r="F345" t="str">
        <v>Female</v>
      </c>
      <c r="G345" t="str">
        <v>Marketing</v>
      </c>
      <c r="H345">
        <v>70755.5</v>
      </c>
      <c r="I345" t="str">
        <v>50k to 100k</v>
      </c>
      <c r="J345" s="9">
        <v>44090</v>
      </c>
      <c r="K345">
        <v>0.8</v>
      </c>
      <c r="L345" t="str">
        <v>Temporary</v>
      </c>
      <c r="M345" t="str">
        <v>Part time</v>
      </c>
      <c r="N345" t="str">
        <v>Hyderabad, India</v>
      </c>
      <c r="O345">
        <v>2018</v>
      </c>
      <c r="P345">
        <v>6</v>
      </c>
    </row>
    <row r="346" spans="3:16" x14ac:dyDescent="0.3">
      <c r="C346" t="str">
        <v>VT03537</v>
      </c>
      <c r="D346" t="str">
        <v>Renaldo</v>
      </c>
      <c r="E346" t="str">
        <v>Thomassin</v>
      </c>
      <c r="F346" t="str">
        <v>Male</v>
      </c>
      <c r="G346" t="str">
        <v>Business Development</v>
      </c>
      <c r="H346">
        <v>73360.38</v>
      </c>
      <c r="I346" t="str">
        <v>50k to 100k</v>
      </c>
      <c r="J346" s="9">
        <v>43972</v>
      </c>
      <c r="K346">
        <v>1</v>
      </c>
      <c r="L346" t="str">
        <v>Temporary</v>
      </c>
      <c r="M346" t="str">
        <v>Full time</v>
      </c>
      <c r="N346" t="str">
        <v>Remote</v>
      </c>
      <c r="O346">
        <v>2136</v>
      </c>
      <c r="P346">
        <v>6</v>
      </c>
    </row>
    <row r="347" spans="3:16" x14ac:dyDescent="0.3">
      <c r="C347" t="str">
        <v>PR01269</v>
      </c>
      <c r="D347" t="str">
        <v>Eleonore</v>
      </c>
      <c r="E347" t="str">
        <v>Airdrie</v>
      </c>
      <c r="F347" t="str">
        <v>Female</v>
      </c>
      <c r="G347" t="str">
        <v>Engineering</v>
      </c>
      <c r="H347">
        <v>97105.19</v>
      </c>
      <c r="I347" t="str">
        <v>50k to 100k</v>
      </c>
      <c r="J347" s="9">
        <v>44425</v>
      </c>
      <c r="K347">
        <v>1</v>
      </c>
      <c r="L347" t="str">
        <v>Permanent</v>
      </c>
      <c r="M347" t="str">
        <v>Full time</v>
      </c>
      <c r="N347" t="str">
        <v>Columbus, USA</v>
      </c>
      <c r="O347">
        <v>1683</v>
      </c>
      <c r="P347">
        <v>5</v>
      </c>
    </row>
    <row r="348" spans="3:16" x14ac:dyDescent="0.3">
      <c r="C348" t="str">
        <v>TN00579</v>
      </c>
      <c r="D348" t="str">
        <v>Rafaelita</v>
      </c>
      <c r="E348" t="str">
        <v>Blaksland</v>
      </c>
      <c r="F348" t="str">
        <v>Female</v>
      </c>
      <c r="G348" t="str">
        <v>Services</v>
      </c>
      <c r="H348">
        <v>109163.39</v>
      </c>
      <c r="I348" t="str">
        <v>Above 100k</v>
      </c>
      <c r="J348" s="9">
        <v>44019</v>
      </c>
      <c r="K348">
        <v>0.8</v>
      </c>
      <c r="L348" t="str">
        <v>Permanent</v>
      </c>
      <c r="M348" t="str">
        <v>Part time</v>
      </c>
      <c r="N348" t="str">
        <v>Seattle, USA</v>
      </c>
      <c r="O348">
        <v>2089</v>
      </c>
      <c r="P348">
        <v>6</v>
      </c>
    </row>
    <row r="349" spans="3:16" x14ac:dyDescent="0.3">
      <c r="C349" t="str">
        <v>SQ02174</v>
      </c>
      <c r="D349" t="str">
        <v>Sidoney</v>
      </c>
      <c r="E349" t="str">
        <v>Yitzhok</v>
      </c>
      <c r="F349" t="str">
        <v>Female</v>
      </c>
      <c r="G349" t="str">
        <v>Engineering</v>
      </c>
      <c r="H349">
        <v>118442.54</v>
      </c>
      <c r="I349" t="str">
        <v>Above 100k</v>
      </c>
      <c r="J349" s="9">
        <v>44193</v>
      </c>
      <c r="K349">
        <v>1</v>
      </c>
      <c r="L349" t="str">
        <v>Permanent</v>
      </c>
      <c r="M349" t="str">
        <v>Full time</v>
      </c>
      <c r="N349" t="str">
        <v>Auckland, New Zealand</v>
      </c>
      <c r="O349">
        <v>1915</v>
      </c>
      <c r="P349">
        <v>5</v>
      </c>
    </row>
    <row r="350" spans="3:16" x14ac:dyDescent="0.3">
      <c r="C350" t="str">
        <v>VT00596</v>
      </c>
      <c r="D350" t="str">
        <v>Letisha</v>
      </c>
      <c r="E350" t="str">
        <v>Carrett</v>
      </c>
      <c r="F350" t="str">
        <v>Female</v>
      </c>
      <c r="G350" t="str">
        <v>Sales</v>
      </c>
      <c r="H350">
        <v>84598.88</v>
      </c>
      <c r="I350" t="str">
        <v>50k to 100k</v>
      </c>
      <c r="J350" s="9">
        <v>44116</v>
      </c>
      <c r="K350">
        <v>1</v>
      </c>
      <c r="L350" t="str">
        <v>Fixed Term</v>
      </c>
      <c r="M350" t="str">
        <v>Full time</v>
      </c>
      <c r="N350" t="str">
        <v>Seattle, USA</v>
      </c>
      <c r="O350">
        <v>1992</v>
      </c>
      <c r="P350">
        <v>5</v>
      </c>
    </row>
    <row r="351" spans="3:16" x14ac:dyDescent="0.3">
      <c r="C351" t="str">
        <v>TN01601</v>
      </c>
      <c r="D351" t="str">
        <v>Melva</v>
      </c>
      <c r="E351" t="str">
        <v>Jickells</v>
      </c>
      <c r="F351" t="str">
        <v>Female</v>
      </c>
      <c r="G351" t="str">
        <v>Product Management</v>
      </c>
      <c r="H351">
        <v>68795.48</v>
      </c>
      <c r="I351" t="str">
        <v>50k to 100k</v>
      </c>
      <c r="J351" s="9">
        <v>44277</v>
      </c>
      <c r="K351">
        <v>0.2</v>
      </c>
      <c r="L351" t="str">
        <v>Permanent</v>
      </c>
      <c r="M351" t="str">
        <v>Part time</v>
      </c>
      <c r="N351" t="str">
        <v>Remote</v>
      </c>
      <c r="O351">
        <v>1831</v>
      </c>
      <c r="P351">
        <v>5</v>
      </c>
    </row>
    <row r="352" spans="3:16" x14ac:dyDescent="0.3">
      <c r="C352" t="str">
        <v>VT01246</v>
      </c>
      <c r="D352" t="str">
        <v>Zach</v>
      </c>
      <c r="E352" t="str">
        <v>Polon</v>
      </c>
      <c r="F352" t="str">
        <v>Male</v>
      </c>
      <c r="G352" t="str">
        <v>Marketing</v>
      </c>
      <c r="H352">
        <v>53535.62</v>
      </c>
      <c r="I352" t="str">
        <v>50k to 100k</v>
      </c>
      <c r="J352" s="9">
        <v>44110</v>
      </c>
      <c r="K352">
        <v>0.5</v>
      </c>
      <c r="L352" t="str">
        <v>Fixed Term</v>
      </c>
      <c r="M352" t="str">
        <v>Part time</v>
      </c>
      <c r="N352" t="str">
        <v>Seattle, USA</v>
      </c>
      <c r="O352">
        <v>1998</v>
      </c>
      <c r="P352">
        <v>5</v>
      </c>
    </row>
    <row r="353" spans="3:16" x14ac:dyDescent="0.3">
      <c r="C353" t="str">
        <v>TN04166</v>
      </c>
      <c r="D353" t="str">
        <v>Tadio</v>
      </c>
      <c r="E353" t="str">
        <v>Dowdle</v>
      </c>
      <c r="F353" t="str">
        <v>Female</v>
      </c>
      <c r="G353" t="str">
        <v>Product Management</v>
      </c>
      <c r="H353">
        <v>91929.69</v>
      </c>
      <c r="I353" t="str">
        <v>50k to 100k</v>
      </c>
      <c r="J353" s="9">
        <v>44085</v>
      </c>
      <c r="K353">
        <v>1</v>
      </c>
      <c r="L353" t="str">
        <v>Fixed Term</v>
      </c>
      <c r="M353" t="str">
        <v>Full time</v>
      </c>
      <c r="N353" t="str">
        <v>Remote</v>
      </c>
      <c r="O353">
        <v>2023</v>
      </c>
      <c r="P353">
        <v>6</v>
      </c>
    </row>
    <row r="354" spans="3:16" x14ac:dyDescent="0.3">
      <c r="C354" t="str">
        <v>VT03298</v>
      </c>
      <c r="D354" t="str">
        <v>Nonah</v>
      </c>
      <c r="E354" t="str">
        <v>Bissell</v>
      </c>
      <c r="F354" t="str">
        <v>Male</v>
      </c>
      <c r="G354" t="str">
        <v>Engineering</v>
      </c>
      <c r="H354">
        <v>82239.53</v>
      </c>
      <c r="I354" t="str">
        <v>50k to 100k</v>
      </c>
      <c r="J354" s="9">
        <v>43846</v>
      </c>
      <c r="K354">
        <v>1</v>
      </c>
      <c r="L354" t="str">
        <v>Temporary</v>
      </c>
      <c r="M354" t="str">
        <v>Full time</v>
      </c>
      <c r="N354" t="str">
        <v>Columbus, USA</v>
      </c>
      <c r="O354">
        <v>2262</v>
      </c>
      <c r="P354">
        <v>6</v>
      </c>
    </row>
    <row r="355" spans="3:16" x14ac:dyDescent="0.3">
      <c r="C355" t="str">
        <v>PR00770</v>
      </c>
      <c r="D355" t="str">
        <v>Beryl</v>
      </c>
      <c r="E355" t="str">
        <v>Burnsyde</v>
      </c>
      <c r="F355" t="str">
        <v>Male</v>
      </c>
      <c r="G355" t="str">
        <v>Legal</v>
      </c>
      <c r="H355">
        <v>29774.76</v>
      </c>
      <c r="I355" t="str">
        <v>under 50k</v>
      </c>
      <c r="J355" s="9">
        <v>44105</v>
      </c>
      <c r="K355">
        <v>1</v>
      </c>
      <c r="L355" t="str">
        <v>Permanent</v>
      </c>
      <c r="M355" t="str">
        <v>Full time</v>
      </c>
      <c r="N355" t="str">
        <v>Wellington, New Zealand</v>
      </c>
      <c r="O355">
        <v>2003</v>
      </c>
      <c r="P355">
        <v>5</v>
      </c>
    </row>
    <row r="356" spans="3:16" x14ac:dyDescent="0.3">
      <c r="C356" t="str">
        <v>VT01762</v>
      </c>
      <c r="D356" t="str">
        <v>Geena</v>
      </c>
      <c r="E356" t="str">
        <v>Raghavanpillai</v>
      </c>
      <c r="F356" t="str">
        <v>Male</v>
      </c>
      <c r="G356" t="str">
        <v>Accounting</v>
      </c>
      <c r="H356">
        <v>102515.81</v>
      </c>
      <c r="I356" t="str">
        <v>Above 100k</v>
      </c>
      <c r="J356" s="9">
        <v>43902</v>
      </c>
      <c r="K356">
        <v>1</v>
      </c>
      <c r="L356" t="str">
        <v>Fixed Term</v>
      </c>
      <c r="M356" t="str">
        <v>Full time</v>
      </c>
      <c r="N356" t="str">
        <v>Chennai, India</v>
      </c>
      <c r="O356">
        <v>2206</v>
      </c>
      <c r="P356">
        <v>6</v>
      </c>
    </row>
    <row r="357" spans="3:16" x14ac:dyDescent="0.3">
      <c r="C357" t="str">
        <v>TN01601</v>
      </c>
      <c r="D357" t="str">
        <v>Melva</v>
      </c>
      <c r="E357" t="str">
        <v>Jickells</v>
      </c>
      <c r="F357" t="str">
        <v>Female</v>
      </c>
      <c r="G357" t="str">
        <v>Product Management</v>
      </c>
      <c r="H357">
        <v>68795.48</v>
      </c>
      <c r="I357" t="str">
        <v>50k to 100k</v>
      </c>
      <c r="J357" s="9">
        <v>44277</v>
      </c>
      <c r="K357">
        <v>0.2</v>
      </c>
      <c r="L357" t="str">
        <v>Permanent</v>
      </c>
      <c r="M357" t="str">
        <v>Part time</v>
      </c>
      <c r="N357" t="str">
        <v>Remote</v>
      </c>
      <c r="O357">
        <v>1831</v>
      </c>
      <c r="P357">
        <v>5</v>
      </c>
    </row>
    <row r="358" spans="3:16" x14ac:dyDescent="0.3">
      <c r="C358" t="str">
        <v>SQ00187</v>
      </c>
      <c r="D358" t="str">
        <v>Rupak</v>
      </c>
      <c r="E358" t="str">
        <v>Mehra</v>
      </c>
      <c r="F358" t="str">
        <v>Female</v>
      </c>
      <c r="G358" t="str">
        <v>Services</v>
      </c>
      <c r="H358">
        <v>71229.42</v>
      </c>
      <c r="I358" t="str">
        <v>50k to 100k</v>
      </c>
      <c r="J358" s="9">
        <v>44166</v>
      </c>
      <c r="K358">
        <v>1</v>
      </c>
      <c r="L358" t="str">
        <v>Permanent</v>
      </c>
      <c r="M358" t="str">
        <v>Full time</v>
      </c>
      <c r="N358" t="str">
        <v>Hyderabad, India</v>
      </c>
      <c r="O358">
        <v>1942</v>
      </c>
      <c r="P358">
        <v>5</v>
      </c>
    </row>
    <row r="359" spans="3:16" x14ac:dyDescent="0.3">
      <c r="C359" t="str">
        <v>PR01383</v>
      </c>
      <c r="D359" t="str">
        <v>Addi</v>
      </c>
      <c r="E359" t="str">
        <v>Studdeard</v>
      </c>
      <c r="F359" t="str">
        <v>Female</v>
      </c>
      <c r="G359" t="str">
        <v>Product Management</v>
      </c>
      <c r="H359">
        <v>72502.61</v>
      </c>
      <c r="I359" t="str">
        <v>50k to 100k</v>
      </c>
      <c r="J359" s="9">
        <v>44235</v>
      </c>
      <c r="K359">
        <v>1</v>
      </c>
      <c r="L359" t="str">
        <v>Permanent</v>
      </c>
      <c r="M359" t="str">
        <v>Full time</v>
      </c>
      <c r="N359" t="str">
        <v>Wellington, New Zealand</v>
      </c>
      <c r="O359">
        <v>1873</v>
      </c>
      <c r="P359">
        <v>5</v>
      </c>
    </row>
    <row r="360" spans="3:16" x14ac:dyDescent="0.3">
      <c r="C360" t="str">
        <v>TN00258</v>
      </c>
      <c r="D360" t="str">
        <v>Joyce</v>
      </c>
      <c r="E360" t="str">
        <v>Leyband</v>
      </c>
      <c r="F360" t="str">
        <v>Female</v>
      </c>
      <c r="G360" t="str">
        <v>Product Management</v>
      </c>
      <c r="H360">
        <v>68197.899999999994</v>
      </c>
      <c r="I360" t="str">
        <v>50k to 100k</v>
      </c>
      <c r="J360" s="9">
        <v>44119</v>
      </c>
      <c r="K360">
        <v>1</v>
      </c>
      <c r="L360" t="str">
        <v>Permanent</v>
      </c>
      <c r="M360" t="str">
        <v>Full time</v>
      </c>
      <c r="N360" t="str">
        <v>Auckland, New Zealand</v>
      </c>
      <c r="O360">
        <v>1989</v>
      </c>
      <c r="P360">
        <v>5</v>
      </c>
    </row>
    <row r="361" spans="3:16" x14ac:dyDescent="0.3">
      <c r="C361" t="str">
        <v>TN01256</v>
      </c>
      <c r="D361" t="str">
        <v>Sawini</v>
      </c>
      <c r="E361" t="str">
        <v>Chandan</v>
      </c>
      <c r="F361" t="str">
        <v>Male</v>
      </c>
      <c r="G361" t="str">
        <v>Legal</v>
      </c>
      <c r="H361">
        <v>28481.16</v>
      </c>
      <c r="I361" t="str">
        <v>under 50k</v>
      </c>
      <c r="J361" s="9">
        <v>43916</v>
      </c>
      <c r="K361">
        <v>1</v>
      </c>
      <c r="L361" t="str">
        <v>Permanent</v>
      </c>
      <c r="M361" t="str">
        <v>Full time</v>
      </c>
      <c r="N361" t="str">
        <v>Hyderabad, India</v>
      </c>
      <c r="O361">
        <v>2192</v>
      </c>
      <c r="P361">
        <v>6</v>
      </c>
    </row>
    <row r="362" spans="3:16" x14ac:dyDescent="0.3">
      <c r="C362" t="str">
        <v>VT04093</v>
      </c>
      <c r="D362" t="str">
        <v>Baruna</v>
      </c>
      <c r="E362" t="str">
        <v>Ogale</v>
      </c>
      <c r="F362" t="str">
        <v>Female</v>
      </c>
      <c r="G362" t="str">
        <v>Training</v>
      </c>
      <c r="H362">
        <v>116767.63</v>
      </c>
      <c r="I362" t="str">
        <v>Above 100k</v>
      </c>
      <c r="J362" s="9">
        <v>43949</v>
      </c>
      <c r="K362">
        <v>0.4</v>
      </c>
      <c r="L362" t="str">
        <v>Temporary</v>
      </c>
      <c r="M362" t="str">
        <v>Part time</v>
      </c>
      <c r="N362" t="str">
        <v>Chennai, India</v>
      </c>
      <c r="O362">
        <v>2159</v>
      </c>
      <c r="P362">
        <v>6</v>
      </c>
    </row>
    <row r="363" spans="3:16" x14ac:dyDescent="0.3">
      <c r="C363" t="str">
        <v>TN01566</v>
      </c>
      <c r="D363" t="str">
        <v>Fonzie</v>
      </c>
      <c r="E363" t="str">
        <v>O'Shea</v>
      </c>
      <c r="F363" t="str">
        <v>Male</v>
      </c>
      <c r="G363" t="str">
        <v>Product Management</v>
      </c>
      <c r="H363">
        <v>80360.41</v>
      </c>
      <c r="I363" t="str">
        <v>50k to 100k</v>
      </c>
      <c r="J363" s="9">
        <v>44167</v>
      </c>
      <c r="K363">
        <v>1</v>
      </c>
      <c r="L363" t="str">
        <v>Permanent</v>
      </c>
      <c r="M363" t="str">
        <v>Full time</v>
      </c>
      <c r="N363" t="str">
        <v>Remote</v>
      </c>
      <c r="O363">
        <v>1941</v>
      </c>
      <c r="P363">
        <v>5</v>
      </c>
    </row>
    <row r="364" spans="3:16" x14ac:dyDescent="0.3">
      <c r="C364" t="str">
        <v>PR00007</v>
      </c>
      <c r="D364" t="str">
        <v>Torrance</v>
      </c>
      <c r="E364" t="str">
        <v>Collier</v>
      </c>
      <c r="F364" t="str">
        <v>Female</v>
      </c>
      <c r="G364" t="str">
        <v>Training</v>
      </c>
      <c r="H364">
        <v>96135.75</v>
      </c>
      <c r="I364" t="str">
        <v>50k to 100k</v>
      </c>
      <c r="J364" s="9">
        <v>44025</v>
      </c>
      <c r="K364">
        <v>0.3</v>
      </c>
      <c r="L364" t="str">
        <v>Permanent</v>
      </c>
      <c r="M364" t="str">
        <v>Part time</v>
      </c>
      <c r="N364" t="str">
        <v>Wellington, New Zealand</v>
      </c>
      <c r="O364">
        <v>2083</v>
      </c>
      <c r="P364">
        <v>6</v>
      </c>
    </row>
    <row r="365" spans="3:16" x14ac:dyDescent="0.3">
      <c r="C365" t="str">
        <v>SQ03491</v>
      </c>
      <c r="D365" t="str">
        <v>Freda</v>
      </c>
      <c r="E365" t="str">
        <v>Legan</v>
      </c>
      <c r="F365" t="str">
        <v>Female</v>
      </c>
      <c r="G365" t="str">
        <v>Sales</v>
      </c>
      <c r="H365">
        <v>102129.37</v>
      </c>
      <c r="I365" t="str">
        <v>Above 100k</v>
      </c>
      <c r="J365" s="9">
        <v>44396</v>
      </c>
      <c r="K365">
        <v>1</v>
      </c>
      <c r="L365" t="str">
        <v>Permanent</v>
      </c>
      <c r="M365" t="str">
        <v>Full time</v>
      </c>
      <c r="N365" t="str">
        <v>Columbus, USA</v>
      </c>
      <c r="O365">
        <v>1712</v>
      </c>
      <c r="P365">
        <v>5</v>
      </c>
    </row>
    <row r="366" spans="3:16" x14ac:dyDescent="0.3">
      <c r="C366" t="str">
        <v>VT00194</v>
      </c>
      <c r="D366" t="str">
        <v>Violante</v>
      </c>
      <c r="E366" t="str">
        <v>Courtonne</v>
      </c>
      <c r="F366" t="str">
        <v>Female</v>
      </c>
      <c r="G366" t="str">
        <v>Product Management</v>
      </c>
      <c r="H366">
        <v>49625.64</v>
      </c>
      <c r="I366" t="str">
        <v>under 50k</v>
      </c>
      <c r="J366" s="9">
        <v>44384</v>
      </c>
      <c r="K366">
        <v>0.5</v>
      </c>
      <c r="L366" t="str">
        <v>Fixed Term</v>
      </c>
      <c r="M366" t="str">
        <v>Part time</v>
      </c>
      <c r="N366" t="str">
        <v>Remote</v>
      </c>
      <c r="O366">
        <v>1724</v>
      </c>
      <c r="P366">
        <v>5</v>
      </c>
    </row>
    <row r="367" spans="3:16" x14ac:dyDescent="0.3">
      <c r="C367" t="str">
        <v>PR03137</v>
      </c>
      <c r="D367" t="str">
        <v>Jagajeet</v>
      </c>
      <c r="E367" t="str">
        <v>Viraj</v>
      </c>
      <c r="F367" t="str">
        <v>Male</v>
      </c>
      <c r="G367" t="str">
        <v>Support</v>
      </c>
      <c r="H367">
        <v>36714.379999999997</v>
      </c>
      <c r="I367" t="str">
        <v>under 50k</v>
      </c>
      <c r="J367" s="9">
        <v>44175</v>
      </c>
      <c r="K367">
        <v>1</v>
      </c>
      <c r="L367" t="str">
        <v>Permanent</v>
      </c>
      <c r="M367" t="str">
        <v>Full time</v>
      </c>
      <c r="N367" t="str">
        <v>Chennai, India</v>
      </c>
      <c r="O367">
        <v>1933</v>
      </c>
      <c r="P367">
        <v>5</v>
      </c>
    </row>
    <row r="368" spans="3:16" x14ac:dyDescent="0.3">
      <c r="C368" t="str">
        <v>PR00246</v>
      </c>
      <c r="D368" t="str">
        <v>Husein</v>
      </c>
      <c r="E368" t="str">
        <v>Augar</v>
      </c>
      <c r="F368" t="str">
        <v>Female</v>
      </c>
      <c r="G368" t="str">
        <v>Marketing</v>
      </c>
      <c r="H368">
        <v>67905.8</v>
      </c>
      <c r="I368" t="str">
        <v>50k to 100k</v>
      </c>
      <c r="J368" s="9">
        <v>44194</v>
      </c>
      <c r="K368">
        <v>1</v>
      </c>
      <c r="L368" t="str">
        <v>Permanent</v>
      </c>
      <c r="M368" t="str">
        <v>Full time</v>
      </c>
      <c r="N368" t="str">
        <v>Remote</v>
      </c>
      <c r="O368">
        <v>1914</v>
      </c>
      <c r="P368">
        <v>5</v>
      </c>
    </row>
    <row r="369" spans="3:16" x14ac:dyDescent="0.3">
      <c r="C369" t="str">
        <v>VT04350</v>
      </c>
      <c r="D369" t="str">
        <v>Kulbhushan</v>
      </c>
      <c r="E369" t="str">
        <v>Moorthy</v>
      </c>
      <c r="F369" t="str">
        <v>Male</v>
      </c>
      <c r="G369" t="str">
        <v>Business Development</v>
      </c>
      <c r="H369">
        <v>106400.02</v>
      </c>
      <c r="I369" t="str">
        <v>Above 100k</v>
      </c>
      <c r="J369" s="9">
        <v>44021</v>
      </c>
      <c r="K369">
        <v>1</v>
      </c>
      <c r="L369" t="str">
        <v>Temporary</v>
      </c>
      <c r="M369" t="str">
        <v>Full time</v>
      </c>
      <c r="N369" t="str">
        <v>Chennai, India</v>
      </c>
      <c r="O369">
        <v>2087</v>
      </c>
      <c r="P369">
        <v>6</v>
      </c>
    </row>
    <row r="370" spans="3:16" x14ac:dyDescent="0.3">
      <c r="C370" t="str">
        <v>TN02674</v>
      </c>
      <c r="D370" t="str">
        <v>Antonetta</v>
      </c>
      <c r="E370" t="str">
        <v>Coggeshall</v>
      </c>
      <c r="F370" t="str">
        <v>Male</v>
      </c>
      <c r="G370" t="str">
        <v>Sales</v>
      </c>
      <c r="H370">
        <v>96753.78</v>
      </c>
      <c r="I370" t="str">
        <v>50k to 100k</v>
      </c>
      <c r="J370" s="9">
        <v>44494</v>
      </c>
      <c r="K370">
        <v>1</v>
      </c>
      <c r="L370" t="str">
        <v>Permanent</v>
      </c>
      <c r="M370" t="str">
        <v>Full time</v>
      </c>
      <c r="N370" t="str">
        <v>Auckland, New Zealand</v>
      </c>
      <c r="O370">
        <v>1614</v>
      </c>
      <c r="P370">
        <v>4</v>
      </c>
    </row>
    <row r="371" spans="3:16" x14ac:dyDescent="0.3">
      <c r="C371" t="str">
        <v>SQ00286</v>
      </c>
      <c r="D371" t="str">
        <v>Ilesh</v>
      </c>
      <c r="E371" t="str">
        <v>Dasgupta</v>
      </c>
      <c r="F371" t="str">
        <v>Female</v>
      </c>
      <c r="G371" t="str">
        <v>Legal</v>
      </c>
      <c r="H371">
        <v>61213.01</v>
      </c>
      <c r="I371" t="str">
        <v>50k to 100k</v>
      </c>
      <c r="J371" s="9">
        <v>44365</v>
      </c>
      <c r="K371">
        <v>1</v>
      </c>
      <c r="L371" t="str">
        <v>Permanent</v>
      </c>
      <c r="M371" t="str">
        <v>Full time</v>
      </c>
      <c r="N371" t="str">
        <v>Chennai, India</v>
      </c>
      <c r="O371">
        <v>1743</v>
      </c>
      <c r="P371">
        <v>5</v>
      </c>
    </row>
    <row r="372" spans="3:16" x14ac:dyDescent="0.3">
      <c r="C372" t="str">
        <v>VT00740</v>
      </c>
      <c r="D372" t="str">
        <v>Chitrasen</v>
      </c>
      <c r="E372" t="str">
        <v>Laul</v>
      </c>
      <c r="F372" t="str">
        <v>Female</v>
      </c>
      <c r="G372" t="str">
        <v>Research and Development</v>
      </c>
      <c r="H372">
        <v>46751.7</v>
      </c>
      <c r="I372" t="str">
        <v>under 50k</v>
      </c>
      <c r="J372" s="9">
        <v>43843</v>
      </c>
      <c r="K372">
        <v>1</v>
      </c>
      <c r="L372" t="str">
        <v>Fixed Term</v>
      </c>
      <c r="M372" t="str">
        <v>Full time</v>
      </c>
      <c r="N372" t="str">
        <v>Hyderabad, India</v>
      </c>
      <c r="O372">
        <v>2265</v>
      </c>
      <c r="P372">
        <v>6</v>
      </c>
    </row>
    <row r="373" spans="3:16" x14ac:dyDescent="0.3">
      <c r="C373" t="str">
        <v>SQ03112</v>
      </c>
      <c r="D373" t="str">
        <v>Kantimoy</v>
      </c>
      <c r="E373" t="str">
        <v>Pritish</v>
      </c>
      <c r="F373" t="str">
        <v>Male</v>
      </c>
      <c r="G373" t="str">
        <v>Product Management</v>
      </c>
      <c r="H373">
        <v>77743.149999999994</v>
      </c>
      <c r="I373" t="str">
        <v>50k to 100k</v>
      </c>
      <c r="J373" s="9">
        <v>43920</v>
      </c>
      <c r="K373">
        <v>1</v>
      </c>
      <c r="L373" t="str">
        <v>Permanent</v>
      </c>
      <c r="M373" t="str">
        <v>Full time</v>
      </c>
      <c r="N373" t="str">
        <v>Chennai, India</v>
      </c>
      <c r="O373">
        <v>2188</v>
      </c>
      <c r="P373">
        <v>6</v>
      </c>
    </row>
    <row r="374" spans="3:16" x14ac:dyDescent="0.3">
      <c r="C374" t="str">
        <v>VT04350</v>
      </c>
      <c r="D374" t="str">
        <v>Lalit</v>
      </c>
      <c r="E374" t="str">
        <v>Kothari</v>
      </c>
      <c r="F374" t="str">
        <v>Male</v>
      </c>
      <c r="G374" t="str">
        <v>Business Development</v>
      </c>
      <c r="H374">
        <v>106400.02</v>
      </c>
      <c r="I374" t="str">
        <v>Above 100k</v>
      </c>
      <c r="J374" s="9">
        <v>44021</v>
      </c>
      <c r="K374">
        <v>1</v>
      </c>
      <c r="L374" t="str">
        <v>Temporary</v>
      </c>
      <c r="M374" t="str">
        <v>Full time</v>
      </c>
      <c r="N374" t="str">
        <v>Chennai, India</v>
      </c>
      <c r="O374">
        <v>2087</v>
      </c>
      <c r="P374">
        <v>6</v>
      </c>
    </row>
    <row r="375" spans="3:16" x14ac:dyDescent="0.3">
      <c r="C375" t="str">
        <v>SQ01998</v>
      </c>
      <c r="D375" t="str">
        <v>Sahas</v>
      </c>
      <c r="E375" t="str">
        <v>Sanabhi</v>
      </c>
      <c r="F375" t="str">
        <v>Male</v>
      </c>
      <c r="G375" t="str">
        <v>Product Management</v>
      </c>
      <c r="H375">
        <v>40445.29</v>
      </c>
      <c r="I375" t="str">
        <v>under 50k</v>
      </c>
      <c r="J375" s="9">
        <v>44393</v>
      </c>
      <c r="K375">
        <v>1</v>
      </c>
      <c r="L375" t="str">
        <v>Permanent</v>
      </c>
      <c r="M375" t="str">
        <v>Full time</v>
      </c>
      <c r="N375" t="str">
        <v>Chennai, India</v>
      </c>
      <c r="O375">
        <v>1715</v>
      </c>
      <c r="P375">
        <v>5</v>
      </c>
    </row>
    <row r="376" spans="3:16" x14ac:dyDescent="0.3">
      <c r="C376" t="str">
        <v>SQ02624</v>
      </c>
      <c r="D376" t="str">
        <v>Gwenneth</v>
      </c>
      <c r="E376" t="str">
        <v>Fealey</v>
      </c>
      <c r="F376" t="str">
        <v>Female</v>
      </c>
      <c r="G376" t="str">
        <v>Engineering</v>
      </c>
      <c r="H376">
        <v>114772.32</v>
      </c>
      <c r="I376" t="str">
        <v>Above 100k</v>
      </c>
      <c r="J376" s="9">
        <v>44251</v>
      </c>
      <c r="K376">
        <v>1</v>
      </c>
      <c r="L376" t="str">
        <v>Permanent</v>
      </c>
      <c r="M376" t="str">
        <v>Full time</v>
      </c>
      <c r="N376" t="str">
        <v>Columbus, USA</v>
      </c>
      <c r="O376">
        <v>1857</v>
      </c>
      <c r="P376">
        <v>5</v>
      </c>
    </row>
    <row r="377" spans="3:16" x14ac:dyDescent="0.3">
      <c r="C377" t="str">
        <v>SQ02565</v>
      </c>
      <c r="D377" t="str">
        <v>Konstantin</v>
      </c>
      <c r="E377" t="str">
        <v>Timblett</v>
      </c>
      <c r="F377" t="str">
        <v>Female</v>
      </c>
      <c r="G377" t="str">
        <v>Training</v>
      </c>
      <c r="H377">
        <v>56253.81</v>
      </c>
      <c r="I377" t="str">
        <v>50k to 100k</v>
      </c>
      <c r="J377" s="9">
        <v>44421</v>
      </c>
      <c r="K377">
        <v>1</v>
      </c>
      <c r="L377" t="str">
        <v>Permanent</v>
      </c>
      <c r="M377" t="str">
        <v>Full time</v>
      </c>
      <c r="N377" t="str">
        <v>Auckland, New Zealand</v>
      </c>
      <c r="O377">
        <v>1687</v>
      </c>
      <c r="P377">
        <v>5</v>
      </c>
    </row>
    <row r="378" spans="3:16" x14ac:dyDescent="0.3">
      <c r="C378" t="str">
        <v>TN04265</v>
      </c>
      <c r="D378" t="str">
        <v>Rushil</v>
      </c>
      <c r="E378" t="str">
        <v>Kripa</v>
      </c>
      <c r="F378" t="str">
        <v>Female</v>
      </c>
      <c r="G378" t="str">
        <v>Training</v>
      </c>
      <c r="H378">
        <v>93964.3</v>
      </c>
      <c r="I378" t="str">
        <v>50k to 100k</v>
      </c>
      <c r="J378" s="9">
        <v>44454</v>
      </c>
      <c r="K378">
        <v>0.4</v>
      </c>
      <c r="L378" t="str">
        <v>Fixed Term</v>
      </c>
      <c r="M378" t="str">
        <v>Part time</v>
      </c>
      <c r="N378" t="str">
        <v>Hyderabad, India</v>
      </c>
      <c r="O378">
        <v>1654</v>
      </c>
      <c r="P378">
        <v>5</v>
      </c>
    </row>
    <row r="379" spans="3:16" x14ac:dyDescent="0.3">
      <c r="C379" t="str">
        <v>TN02204</v>
      </c>
      <c r="D379" t="str">
        <v>Aldrich</v>
      </c>
      <c r="E379" t="str">
        <v>Glenny</v>
      </c>
      <c r="F379" t="str">
        <v>Male</v>
      </c>
      <c r="G379" t="str">
        <v>Business Development</v>
      </c>
      <c r="H379">
        <v>90884.32</v>
      </c>
      <c r="I379" t="str">
        <v>50k to 100k</v>
      </c>
      <c r="J379" s="9">
        <v>44039</v>
      </c>
      <c r="K379">
        <v>0.5</v>
      </c>
      <c r="L379" t="str">
        <v>Permanent</v>
      </c>
      <c r="M379" t="str">
        <v>Part time</v>
      </c>
      <c r="N379" t="str">
        <v>Columbus, USA</v>
      </c>
      <c r="O379">
        <v>2069</v>
      </c>
      <c r="P379">
        <v>6</v>
      </c>
    </row>
    <row r="380" spans="3:16" x14ac:dyDescent="0.3">
      <c r="C380" t="str">
        <v>PR01306</v>
      </c>
      <c r="D380" t="str">
        <v>Patti</v>
      </c>
      <c r="E380" t="str">
        <v>Dradey</v>
      </c>
      <c r="F380" t="str">
        <v>Male</v>
      </c>
      <c r="G380" t="str">
        <v>Services</v>
      </c>
      <c r="H380">
        <v>84742.86</v>
      </c>
      <c r="I380" t="str">
        <v>50k to 100k</v>
      </c>
      <c r="J380" s="9">
        <v>44098</v>
      </c>
      <c r="K380">
        <v>1</v>
      </c>
      <c r="L380" t="str">
        <v>Permanent</v>
      </c>
      <c r="M380" t="str">
        <v>Full time</v>
      </c>
      <c r="N380" t="str">
        <v>Auckland, New Zealand</v>
      </c>
      <c r="O380">
        <v>2010</v>
      </c>
      <c r="P380">
        <v>6</v>
      </c>
    </row>
    <row r="381" spans="3:16" x14ac:dyDescent="0.3">
      <c r="C381" t="str">
        <v>VT03771</v>
      </c>
      <c r="D381" t="str">
        <v>Marjie</v>
      </c>
      <c r="E381" t="str">
        <v>Bamford</v>
      </c>
      <c r="F381" t="str">
        <v>Male</v>
      </c>
      <c r="G381" t="str">
        <v>Sales</v>
      </c>
      <c r="H381">
        <v>80772.92</v>
      </c>
      <c r="I381" t="str">
        <v>50k to 100k</v>
      </c>
      <c r="J381" s="9">
        <v>44137</v>
      </c>
      <c r="K381">
        <v>1</v>
      </c>
      <c r="L381" t="str">
        <v>Temporary</v>
      </c>
      <c r="M381" t="str">
        <v>Full time</v>
      </c>
      <c r="N381" t="str">
        <v>Remote</v>
      </c>
      <c r="O381">
        <v>1971</v>
      </c>
      <c r="P381">
        <v>5</v>
      </c>
    </row>
    <row r="382" spans="3:16" x14ac:dyDescent="0.3">
      <c r="C382" t="str">
        <v>VT03421</v>
      </c>
      <c r="D382" t="str">
        <v>Alic</v>
      </c>
      <c r="E382" t="str">
        <v>Bagg</v>
      </c>
      <c r="F382" t="str">
        <v>Male</v>
      </c>
      <c r="G382" t="str">
        <v>Legal</v>
      </c>
      <c r="H382">
        <v>113747.56</v>
      </c>
      <c r="I382" t="str">
        <v>Above 100k</v>
      </c>
      <c r="J382" s="9">
        <v>44270</v>
      </c>
      <c r="K382">
        <v>0.7</v>
      </c>
      <c r="L382" t="str">
        <v>Temporary</v>
      </c>
      <c r="M382" t="str">
        <v>Part time</v>
      </c>
      <c r="N382" t="str">
        <v>Columbus, USA</v>
      </c>
      <c r="O382">
        <v>1838</v>
      </c>
      <c r="P382">
        <v>5</v>
      </c>
    </row>
    <row r="383" spans="3:16" x14ac:dyDescent="0.3">
      <c r="C383" t="str">
        <v>VT00534</v>
      </c>
      <c r="D383" t="str">
        <v>Roselle</v>
      </c>
      <c r="E383" t="str">
        <v>Wandrach</v>
      </c>
      <c r="F383" t="str">
        <v>Male</v>
      </c>
      <c r="G383" t="str">
        <v>Sales</v>
      </c>
      <c r="H383">
        <v>91314.75</v>
      </c>
      <c r="I383" t="str">
        <v>50k to 100k</v>
      </c>
      <c r="J383" s="9">
        <v>43931</v>
      </c>
      <c r="K383">
        <v>1</v>
      </c>
      <c r="L383" t="str">
        <v>Fixed Term</v>
      </c>
      <c r="M383" t="str">
        <v>Full time</v>
      </c>
      <c r="N383" t="str">
        <v>Seattle, USA</v>
      </c>
      <c r="O383">
        <v>2177</v>
      </c>
      <c r="P383">
        <v>6</v>
      </c>
    </row>
    <row r="384" spans="3:16" x14ac:dyDescent="0.3">
      <c r="C384" t="str">
        <v>PR03804</v>
      </c>
      <c r="D384" t="str">
        <v>Sartaj</v>
      </c>
      <c r="E384" t="str">
        <v>Probal</v>
      </c>
      <c r="F384" t="str">
        <v>Male</v>
      </c>
      <c r="G384" t="str">
        <v>Legal</v>
      </c>
      <c r="H384">
        <v>66572.58</v>
      </c>
      <c r="I384" t="str">
        <v>50k to 100k</v>
      </c>
      <c r="J384" s="9">
        <v>44193</v>
      </c>
      <c r="K384">
        <v>1</v>
      </c>
      <c r="L384" t="str">
        <v>Permanent</v>
      </c>
      <c r="M384" t="str">
        <v>Full time</v>
      </c>
      <c r="N384" t="str">
        <v>Chennai, India</v>
      </c>
      <c r="O384">
        <v>1915</v>
      </c>
      <c r="P384">
        <v>5</v>
      </c>
    </row>
    <row r="385" spans="2:16" x14ac:dyDescent="0.3">
      <c r="C385" t="str">
        <v>PR03532</v>
      </c>
      <c r="D385" t="str">
        <v>Crawford</v>
      </c>
      <c r="E385" t="str">
        <v>Scad</v>
      </c>
      <c r="F385" t="str">
        <v>Male</v>
      </c>
      <c r="G385" t="str">
        <v>Human Resources</v>
      </c>
      <c r="H385">
        <v>72876.91</v>
      </c>
      <c r="I385" t="str">
        <v>50k to 100k</v>
      </c>
      <c r="J385" s="9">
        <v>43837</v>
      </c>
      <c r="K385">
        <v>1</v>
      </c>
      <c r="L385" t="str">
        <v>Permanent</v>
      </c>
      <c r="M385" t="str">
        <v>Full time</v>
      </c>
      <c r="N385" t="str">
        <v>Remote</v>
      </c>
      <c r="O385">
        <v>2271</v>
      </c>
      <c r="P385">
        <v>6</v>
      </c>
    </row>
    <row r="386" spans="2:16" x14ac:dyDescent="0.3">
      <c r="C386" t="str">
        <v>TN02988</v>
      </c>
      <c r="D386" t="str">
        <v>Mahindra</v>
      </c>
      <c r="E386" t="str">
        <v>Sreedharan</v>
      </c>
      <c r="F386" t="str">
        <v>Male</v>
      </c>
      <c r="G386" t="str">
        <v>Engineering</v>
      </c>
      <c r="H386">
        <v>92943.89</v>
      </c>
      <c r="I386" t="str">
        <v>50k to 100k</v>
      </c>
      <c r="J386" s="9">
        <v>44510</v>
      </c>
      <c r="K386">
        <v>1</v>
      </c>
      <c r="L386" t="str">
        <v>Permanent</v>
      </c>
      <c r="M386" t="str">
        <v>Full time</v>
      </c>
      <c r="N386" t="str">
        <v>Hyderabad, India</v>
      </c>
      <c r="O386">
        <v>1598</v>
      </c>
      <c r="P386">
        <v>4</v>
      </c>
    </row>
    <row r="387" spans="2:16" x14ac:dyDescent="0.3">
      <c r="C387" t="str">
        <v>TN03032</v>
      </c>
      <c r="D387" t="str">
        <v>Fullara</v>
      </c>
      <c r="E387" t="str">
        <v>Sushanti</v>
      </c>
      <c r="F387" t="str">
        <v>Female</v>
      </c>
      <c r="G387" t="str">
        <v>Research and Development</v>
      </c>
      <c r="H387">
        <v>39700.82</v>
      </c>
      <c r="I387" t="str">
        <v>under 50k</v>
      </c>
      <c r="J387" s="9">
        <v>44203</v>
      </c>
      <c r="K387">
        <v>0.8</v>
      </c>
      <c r="L387" t="str">
        <v>Permanent</v>
      </c>
      <c r="M387" t="str">
        <v>Part time</v>
      </c>
      <c r="N387" t="str">
        <v>Chennai, India</v>
      </c>
      <c r="O387">
        <v>1905</v>
      </c>
      <c r="P387">
        <v>5</v>
      </c>
    </row>
    <row r="388" spans="2:16" x14ac:dyDescent="0.3">
      <c r="C388" t="str">
        <v>SQ03625</v>
      </c>
      <c r="D388" t="str">
        <v>Fidela</v>
      </c>
      <c r="E388" t="str">
        <v>Artis</v>
      </c>
      <c r="F388" t="str">
        <v>Female</v>
      </c>
      <c r="G388" t="str">
        <v>Sales</v>
      </c>
      <c r="H388">
        <v>78020.39</v>
      </c>
      <c r="I388" t="str">
        <v>50k to 100k</v>
      </c>
      <c r="J388" s="9">
        <v>43899</v>
      </c>
      <c r="K388">
        <v>1</v>
      </c>
      <c r="L388" t="str">
        <v>Permanent</v>
      </c>
      <c r="M388" t="str">
        <v>Full time</v>
      </c>
      <c r="N388" t="str">
        <v>Remote</v>
      </c>
      <c r="O388">
        <v>2209</v>
      </c>
      <c r="P388">
        <v>6</v>
      </c>
    </row>
    <row r="391" spans="2:16" x14ac:dyDescent="0.3">
      <c r="B391" s="78" t="s">
        <v>994</v>
      </c>
      <c r="C391" s="78"/>
      <c r="D391" s="78"/>
    </row>
    <row r="394" spans="2:16" x14ac:dyDescent="0.3">
      <c r="C394" t="str" cm="1">
        <f t="array" ref="C394:P415">_xlfn._xlws.FILTER(Staff[],MONTH(Staff[Start Date])=3)</f>
        <v>SQ04612</v>
      </c>
      <c r="D394" t="str">
        <v>Mick</v>
      </c>
      <c r="E394" t="str">
        <v>Spraberry</v>
      </c>
      <c r="F394" t="str">
        <v>Female</v>
      </c>
      <c r="G394" t="str">
        <v>Services</v>
      </c>
      <c r="H394">
        <v>120000</v>
      </c>
      <c r="I394" t="str">
        <v>Above 100k</v>
      </c>
      <c r="J394" s="9">
        <v>43902</v>
      </c>
      <c r="K394">
        <v>0.9</v>
      </c>
      <c r="L394" t="str">
        <v>Permanent</v>
      </c>
      <c r="M394" t="str">
        <v>Part time</v>
      </c>
      <c r="N394" t="str">
        <v>Remote</v>
      </c>
      <c r="O394">
        <v>2206</v>
      </c>
      <c r="P394">
        <v>6</v>
      </c>
    </row>
    <row r="395" spans="2:16" x14ac:dyDescent="0.3">
      <c r="C395" t="str">
        <v>VT01803</v>
      </c>
      <c r="D395" t="str">
        <v>Freddy</v>
      </c>
      <c r="E395" t="str">
        <v>Linford</v>
      </c>
      <c r="F395" t="str">
        <v>Female</v>
      </c>
      <c r="G395" t="str">
        <v>Training</v>
      </c>
      <c r="H395">
        <v>93128.34</v>
      </c>
      <c r="I395" t="str">
        <v>50k to 100k</v>
      </c>
      <c r="J395" s="9">
        <v>43164</v>
      </c>
      <c r="K395">
        <v>1</v>
      </c>
      <c r="L395" t="str">
        <v>Fixed Term</v>
      </c>
      <c r="M395" t="str">
        <v>Full time</v>
      </c>
      <c r="N395" t="str">
        <v>Seattle, USA</v>
      </c>
      <c r="O395">
        <v>2944</v>
      </c>
      <c r="P395">
        <v>8</v>
      </c>
    </row>
    <row r="396" spans="2:16" x14ac:dyDescent="0.3">
      <c r="C396" t="str">
        <v>VT02417</v>
      </c>
      <c r="D396" t="str">
        <v>Evangelina</v>
      </c>
      <c r="E396" t="str">
        <v>Lergan</v>
      </c>
      <c r="F396" t="str">
        <v>Male</v>
      </c>
      <c r="G396" t="str">
        <v>Support</v>
      </c>
      <c r="H396">
        <v>61214.26</v>
      </c>
      <c r="I396" t="str">
        <v>50k to 100k</v>
      </c>
      <c r="J396" s="9">
        <v>43171</v>
      </c>
      <c r="K396">
        <v>1</v>
      </c>
      <c r="L396" t="str">
        <v>Temporary</v>
      </c>
      <c r="M396" t="str">
        <v>Full time</v>
      </c>
      <c r="N396" t="str">
        <v>Auckland, New Zealand</v>
      </c>
      <c r="O396">
        <v>2937</v>
      </c>
      <c r="P396">
        <v>8</v>
      </c>
    </row>
    <row r="397" spans="2:16" x14ac:dyDescent="0.3">
      <c r="C397" t="str">
        <v>PR00893</v>
      </c>
      <c r="D397" t="str">
        <v>Vasavi</v>
      </c>
      <c r="E397" t="str">
        <v>Veeravasarapu</v>
      </c>
      <c r="F397" t="str">
        <v>Male</v>
      </c>
      <c r="G397" t="str">
        <v>Human Resources</v>
      </c>
      <c r="H397">
        <v>50310.09</v>
      </c>
      <c r="I397" t="str">
        <v>50k to 100k</v>
      </c>
      <c r="J397" s="9">
        <v>44285</v>
      </c>
      <c r="K397">
        <v>0.4</v>
      </c>
      <c r="L397" t="str">
        <v>Permanent</v>
      </c>
      <c r="M397" t="str">
        <v>Part time</v>
      </c>
      <c r="N397" t="str">
        <v>Hyderabad, India</v>
      </c>
      <c r="O397">
        <v>1823</v>
      </c>
      <c r="P397">
        <v>5</v>
      </c>
    </row>
    <row r="398" spans="2:16" x14ac:dyDescent="0.3">
      <c r="C398" t="str">
        <v>VT03421</v>
      </c>
      <c r="D398" t="str">
        <v>Alic</v>
      </c>
      <c r="E398" t="str">
        <v>Bagg</v>
      </c>
      <c r="F398" t="str">
        <v>Male</v>
      </c>
      <c r="G398" t="str">
        <v>Legal</v>
      </c>
      <c r="H398">
        <v>113747.56</v>
      </c>
      <c r="I398" t="str">
        <v>Above 100k</v>
      </c>
      <c r="J398" s="9">
        <v>44270</v>
      </c>
      <c r="K398">
        <v>0.7</v>
      </c>
      <c r="L398" t="str">
        <v>Temporary</v>
      </c>
      <c r="M398" t="str">
        <v>Part time</v>
      </c>
      <c r="N398" t="str">
        <v>Columbus, USA</v>
      </c>
      <c r="O398">
        <v>1838</v>
      </c>
      <c r="P398">
        <v>5</v>
      </c>
    </row>
    <row r="399" spans="2:16" x14ac:dyDescent="0.3">
      <c r="C399" t="str">
        <v>VT03993</v>
      </c>
      <c r="D399" t="str">
        <v>Dulce</v>
      </c>
      <c r="E399" t="str">
        <v>Colbeck</v>
      </c>
      <c r="F399" t="str">
        <v>Male</v>
      </c>
      <c r="G399" t="str">
        <v>Human Resources</v>
      </c>
      <c r="H399">
        <v>83396.5</v>
      </c>
      <c r="I399" t="str">
        <v>50k to 100k</v>
      </c>
      <c r="J399" s="9">
        <v>44285</v>
      </c>
      <c r="K399">
        <v>1</v>
      </c>
      <c r="L399" t="str">
        <v>Temporary</v>
      </c>
      <c r="M399" t="str">
        <v>Full time</v>
      </c>
      <c r="N399" t="str">
        <v>Auckland, New Zealand</v>
      </c>
      <c r="O399">
        <v>1823</v>
      </c>
      <c r="P399">
        <v>5</v>
      </c>
    </row>
    <row r="400" spans="2:16" x14ac:dyDescent="0.3">
      <c r="C400" t="str">
        <v>SQ01519</v>
      </c>
      <c r="D400" t="str">
        <v>Caron</v>
      </c>
      <c r="E400" t="str">
        <v>Kolakovic</v>
      </c>
      <c r="F400" t="str">
        <v>Male</v>
      </c>
      <c r="G400" t="str">
        <v>Accounting</v>
      </c>
      <c r="H400">
        <v>49915.14</v>
      </c>
      <c r="I400" t="str">
        <v>under 50k</v>
      </c>
      <c r="J400" s="9">
        <v>43550</v>
      </c>
      <c r="K400">
        <v>1</v>
      </c>
      <c r="L400" t="str">
        <v>Permanent</v>
      </c>
      <c r="M400" t="str">
        <v>Full time</v>
      </c>
      <c r="N400" t="str">
        <v>Remote</v>
      </c>
      <c r="O400">
        <v>2558</v>
      </c>
      <c r="P400">
        <v>7</v>
      </c>
    </row>
    <row r="401" spans="3:16" x14ac:dyDescent="0.3">
      <c r="C401" t="str">
        <v>VT04028</v>
      </c>
      <c r="D401" t="str">
        <v>Michale</v>
      </c>
      <c r="E401" t="str">
        <v>Rolf</v>
      </c>
      <c r="F401" t="str">
        <v>Male</v>
      </c>
      <c r="G401" t="str">
        <v>Services</v>
      </c>
      <c r="H401">
        <v>111815.49</v>
      </c>
      <c r="I401" t="str">
        <v>Above 100k</v>
      </c>
      <c r="J401" s="9">
        <v>43895</v>
      </c>
      <c r="K401">
        <v>0.7</v>
      </c>
      <c r="L401" t="str">
        <v>Temporary</v>
      </c>
      <c r="M401" t="str">
        <v>Part time</v>
      </c>
      <c r="N401" t="str">
        <v>Remote</v>
      </c>
      <c r="O401">
        <v>2213</v>
      </c>
      <c r="P401">
        <v>6</v>
      </c>
    </row>
    <row r="402" spans="3:16" x14ac:dyDescent="0.3">
      <c r="C402" t="str">
        <v>VT04028</v>
      </c>
      <c r="D402" t="str">
        <v>Michale</v>
      </c>
      <c r="E402" t="str">
        <v>Rolf</v>
      </c>
      <c r="F402" t="str">
        <v>Male</v>
      </c>
      <c r="G402" t="str">
        <v>Services</v>
      </c>
      <c r="H402">
        <v>111815.49</v>
      </c>
      <c r="I402" t="str">
        <v>Above 100k</v>
      </c>
      <c r="J402" s="9">
        <v>43895</v>
      </c>
      <c r="K402">
        <v>0.7</v>
      </c>
      <c r="L402" t="str">
        <v>Temporary</v>
      </c>
      <c r="M402" t="str">
        <v>Part time</v>
      </c>
      <c r="N402" t="str">
        <v>Remote</v>
      </c>
      <c r="O402">
        <v>2213</v>
      </c>
      <c r="P402">
        <v>6</v>
      </c>
    </row>
    <row r="403" spans="3:16" x14ac:dyDescent="0.3">
      <c r="C403" t="str">
        <v>SQ00022</v>
      </c>
      <c r="D403" t="str">
        <v>Carlin</v>
      </c>
      <c r="E403" t="str">
        <v>Demke</v>
      </c>
      <c r="F403" t="str">
        <v>Male</v>
      </c>
      <c r="G403" t="str">
        <v>Business Development</v>
      </c>
      <c r="H403">
        <v>110042.37</v>
      </c>
      <c r="I403" t="str">
        <v>Above 100k</v>
      </c>
      <c r="J403" s="9">
        <v>43914</v>
      </c>
      <c r="K403">
        <v>1</v>
      </c>
      <c r="L403" t="str">
        <v>Permanent</v>
      </c>
      <c r="M403" t="str">
        <v>Full time</v>
      </c>
      <c r="N403" t="str">
        <v>Columbus, USA</v>
      </c>
      <c r="O403">
        <v>2194</v>
      </c>
      <c r="P403">
        <v>6</v>
      </c>
    </row>
    <row r="404" spans="3:16" x14ac:dyDescent="0.3">
      <c r="C404" t="str">
        <v>TN01256</v>
      </c>
      <c r="D404" t="str">
        <v>Shattesh</v>
      </c>
      <c r="E404" t="str">
        <v>Utpat</v>
      </c>
      <c r="F404" t="str">
        <v>Male</v>
      </c>
      <c r="G404" t="str">
        <v>Legal</v>
      </c>
      <c r="H404">
        <v>28481.16</v>
      </c>
      <c r="I404" t="str">
        <v>under 50k</v>
      </c>
      <c r="J404" s="9">
        <v>43916</v>
      </c>
      <c r="K404">
        <v>1</v>
      </c>
      <c r="L404" t="str">
        <v>Permanent</v>
      </c>
      <c r="M404" t="str">
        <v>Full time</v>
      </c>
      <c r="N404" t="str">
        <v>Hyderabad, India</v>
      </c>
      <c r="O404">
        <v>2192</v>
      </c>
      <c r="P404">
        <v>6</v>
      </c>
    </row>
    <row r="405" spans="3:16" x14ac:dyDescent="0.3">
      <c r="C405" t="str">
        <v>PR00746</v>
      </c>
      <c r="D405" t="str">
        <v>Hogan</v>
      </c>
      <c r="E405" t="str">
        <v>Iles</v>
      </c>
      <c r="F405" t="str">
        <v>Female</v>
      </c>
      <c r="G405" t="str">
        <v>Accounting</v>
      </c>
      <c r="H405">
        <v>114177.23</v>
      </c>
      <c r="I405" t="str">
        <v>Above 100k</v>
      </c>
      <c r="J405" s="9">
        <v>43908</v>
      </c>
      <c r="K405">
        <v>1</v>
      </c>
      <c r="L405" t="str">
        <v>Permanent</v>
      </c>
      <c r="M405" t="str">
        <v>Full time</v>
      </c>
      <c r="N405" t="str">
        <v>Wellington, New Zealand</v>
      </c>
      <c r="O405">
        <v>2200</v>
      </c>
      <c r="P405">
        <v>6</v>
      </c>
    </row>
    <row r="406" spans="3:16" x14ac:dyDescent="0.3">
      <c r="C406" t="str">
        <v>SQ00105</v>
      </c>
      <c r="D406" t="str">
        <v>Sarayu</v>
      </c>
      <c r="E406" t="str">
        <v>Ragunathan</v>
      </c>
      <c r="F406" t="str">
        <v>Female</v>
      </c>
      <c r="G406" t="str">
        <v>Training</v>
      </c>
      <c r="H406">
        <v>86010.54</v>
      </c>
      <c r="I406" t="str">
        <v>50k to 100k</v>
      </c>
      <c r="J406" s="9">
        <v>43164</v>
      </c>
      <c r="K406">
        <v>1</v>
      </c>
      <c r="L406" t="str">
        <v>Permanent</v>
      </c>
      <c r="M406" t="str">
        <v>Full time</v>
      </c>
      <c r="N406" t="str">
        <v>Chennai, India</v>
      </c>
      <c r="O406">
        <v>2944</v>
      </c>
      <c r="P406">
        <v>8</v>
      </c>
    </row>
    <row r="407" spans="3:16" x14ac:dyDescent="0.3">
      <c r="C407" t="str">
        <v>VT04415</v>
      </c>
      <c r="D407" t="str">
        <v>Malory</v>
      </c>
      <c r="E407" t="str">
        <v>Biles</v>
      </c>
      <c r="F407" t="str">
        <v>Female</v>
      </c>
      <c r="G407" t="str">
        <v>Training</v>
      </c>
      <c r="H407">
        <v>58744.17</v>
      </c>
      <c r="I407" t="str">
        <v>50k to 100k</v>
      </c>
      <c r="J407" s="9">
        <v>43171</v>
      </c>
      <c r="K407">
        <v>1</v>
      </c>
      <c r="L407" t="str">
        <v>Temporary</v>
      </c>
      <c r="M407" t="str">
        <v>Full time</v>
      </c>
      <c r="N407" t="str">
        <v>Columbus, USA</v>
      </c>
      <c r="O407">
        <v>2937</v>
      </c>
      <c r="P407">
        <v>8</v>
      </c>
    </row>
    <row r="408" spans="3:16" x14ac:dyDescent="0.3">
      <c r="C408" t="str">
        <v>TN01601</v>
      </c>
      <c r="D408" t="str">
        <v>Melva</v>
      </c>
      <c r="E408" t="str">
        <v>Jickells</v>
      </c>
      <c r="F408" t="str">
        <v>Female</v>
      </c>
      <c r="G408" t="str">
        <v>Product Management</v>
      </c>
      <c r="H408">
        <v>68795.48</v>
      </c>
      <c r="I408" t="str">
        <v>50k to 100k</v>
      </c>
      <c r="J408" s="9">
        <v>44277</v>
      </c>
      <c r="K408">
        <v>0.2</v>
      </c>
      <c r="L408" t="str">
        <v>Permanent</v>
      </c>
      <c r="M408" t="str">
        <v>Part time</v>
      </c>
      <c r="N408" t="str">
        <v>Remote</v>
      </c>
      <c r="O408">
        <v>1831</v>
      </c>
      <c r="P408">
        <v>5</v>
      </c>
    </row>
    <row r="409" spans="3:16" x14ac:dyDescent="0.3">
      <c r="C409" t="str">
        <v>TN04892</v>
      </c>
      <c r="D409" t="str">
        <v>Luca</v>
      </c>
      <c r="E409" t="str">
        <v>Wolstenholme</v>
      </c>
      <c r="F409" t="str">
        <v>Male</v>
      </c>
      <c r="G409" t="str">
        <v>Engineering</v>
      </c>
      <c r="H409">
        <v>53184.02</v>
      </c>
      <c r="I409" t="str">
        <v>50k to 100k</v>
      </c>
      <c r="J409" s="9">
        <v>43180</v>
      </c>
      <c r="K409">
        <v>1</v>
      </c>
      <c r="L409" t="str">
        <v>Fixed Term</v>
      </c>
      <c r="M409" t="str">
        <v>Full time</v>
      </c>
      <c r="N409" t="str">
        <v>Remote</v>
      </c>
      <c r="O409">
        <v>2928</v>
      </c>
      <c r="P409">
        <v>8</v>
      </c>
    </row>
    <row r="410" spans="3:16" x14ac:dyDescent="0.3">
      <c r="C410" t="str">
        <v>VT01762</v>
      </c>
      <c r="D410" t="str">
        <v>Geena</v>
      </c>
      <c r="E410" t="str">
        <v>Raghavanpillai</v>
      </c>
      <c r="F410" t="str">
        <v>Male</v>
      </c>
      <c r="G410" t="str">
        <v>Accounting</v>
      </c>
      <c r="H410">
        <v>102515.81</v>
      </c>
      <c r="I410" t="str">
        <v>Above 100k</v>
      </c>
      <c r="J410" s="9">
        <v>43902</v>
      </c>
      <c r="K410">
        <v>1</v>
      </c>
      <c r="L410" t="str">
        <v>Fixed Term</v>
      </c>
      <c r="M410" t="str">
        <v>Full time</v>
      </c>
      <c r="N410" t="str">
        <v>Chennai, India</v>
      </c>
      <c r="O410">
        <v>2206</v>
      </c>
      <c r="P410">
        <v>6</v>
      </c>
    </row>
    <row r="411" spans="3:16" x14ac:dyDescent="0.3">
      <c r="C411" t="str">
        <v>TN01601</v>
      </c>
      <c r="D411" t="str">
        <v>Melva</v>
      </c>
      <c r="E411" t="str">
        <v>Jickells</v>
      </c>
      <c r="F411" t="str">
        <v>Female</v>
      </c>
      <c r="G411" t="str">
        <v>Product Management</v>
      </c>
      <c r="H411">
        <v>68795.48</v>
      </c>
      <c r="I411" t="str">
        <v>50k to 100k</v>
      </c>
      <c r="J411" s="9">
        <v>44277</v>
      </c>
      <c r="K411">
        <v>0.2</v>
      </c>
      <c r="L411" t="str">
        <v>Permanent</v>
      </c>
      <c r="M411" t="str">
        <v>Part time</v>
      </c>
      <c r="N411" t="str">
        <v>Remote</v>
      </c>
      <c r="O411">
        <v>1831</v>
      </c>
      <c r="P411">
        <v>5</v>
      </c>
    </row>
    <row r="412" spans="3:16" x14ac:dyDescent="0.3">
      <c r="C412" t="str">
        <v>TN01256</v>
      </c>
      <c r="D412" t="str">
        <v>Sawini</v>
      </c>
      <c r="E412" t="str">
        <v>Chandan</v>
      </c>
      <c r="F412" t="str">
        <v>Male</v>
      </c>
      <c r="G412" t="str">
        <v>Legal</v>
      </c>
      <c r="H412">
        <v>28481.16</v>
      </c>
      <c r="I412" t="str">
        <v>under 50k</v>
      </c>
      <c r="J412" s="9">
        <v>43916</v>
      </c>
      <c r="K412">
        <v>1</v>
      </c>
      <c r="L412" t="str">
        <v>Permanent</v>
      </c>
      <c r="M412" t="str">
        <v>Full time</v>
      </c>
      <c r="N412" t="str">
        <v>Hyderabad, India</v>
      </c>
      <c r="O412">
        <v>2192</v>
      </c>
      <c r="P412">
        <v>6</v>
      </c>
    </row>
    <row r="413" spans="3:16" x14ac:dyDescent="0.3">
      <c r="C413" t="str">
        <v>SQ03112</v>
      </c>
      <c r="D413" t="str">
        <v>Kantimoy</v>
      </c>
      <c r="E413" t="str">
        <v>Pritish</v>
      </c>
      <c r="F413" t="str">
        <v>Male</v>
      </c>
      <c r="G413" t="str">
        <v>Product Management</v>
      </c>
      <c r="H413">
        <v>77743.149999999994</v>
      </c>
      <c r="I413" t="str">
        <v>50k to 100k</v>
      </c>
      <c r="J413" s="9">
        <v>43920</v>
      </c>
      <c r="K413">
        <v>1</v>
      </c>
      <c r="L413" t="str">
        <v>Permanent</v>
      </c>
      <c r="M413" t="str">
        <v>Full time</v>
      </c>
      <c r="N413" t="str">
        <v>Chennai, India</v>
      </c>
      <c r="O413">
        <v>2188</v>
      </c>
      <c r="P413">
        <v>6</v>
      </c>
    </row>
    <row r="414" spans="3:16" x14ac:dyDescent="0.3">
      <c r="C414" t="str">
        <v>VT03421</v>
      </c>
      <c r="D414" t="str">
        <v>Alic</v>
      </c>
      <c r="E414" t="str">
        <v>Bagg</v>
      </c>
      <c r="F414" t="str">
        <v>Male</v>
      </c>
      <c r="G414" t="str">
        <v>Legal</v>
      </c>
      <c r="H414">
        <v>113747.56</v>
      </c>
      <c r="I414" t="str">
        <v>Above 100k</v>
      </c>
      <c r="J414" s="9">
        <v>44270</v>
      </c>
      <c r="K414">
        <v>0.7</v>
      </c>
      <c r="L414" t="str">
        <v>Temporary</v>
      </c>
      <c r="M414" t="str">
        <v>Part time</v>
      </c>
      <c r="N414" t="str">
        <v>Columbus, USA</v>
      </c>
      <c r="O414">
        <v>1838</v>
      </c>
      <c r="P414">
        <v>5</v>
      </c>
    </row>
    <row r="415" spans="3:16" x14ac:dyDescent="0.3">
      <c r="C415" t="str">
        <v>SQ03625</v>
      </c>
      <c r="D415" t="str">
        <v>Fidela</v>
      </c>
      <c r="E415" t="str">
        <v>Artis</v>
      </c>
      <c r="F415" t="str">
        <v>Female</v>
      </c>
      <c r="G415" t="str">
        <v>Sales</v>
      </c>
      <c r="H415">
        <v>78020.39</v>
      </c>
      <c r="I415" t="str">
        <v>50k to 100k</v>
      </c>
      <c r="J415" s="9">
        <v>43899</v>
      </c>
      <c r="K415">
        <v>1</v>
      </c>
      <c r="L415" t="str">
        <v>Permanent</v>
      </c>
      <c r="M415" t="str">
        <v>Full time</v>
      </c>
      <c r="N415" t="str">
        <v>Remote</v>
      </c>
      <c r="O415">
        <v>2209</v>
      </c>
      <c r="P415">
        <v>6</v>
      </c>
    </row>
    <row r="420" spans="3:5" x14ac:dyDescent="0.3">
      <c r="C420" s="78" t="s">
        <v>995</v>
      </c>
      <c r="D420" s="78"/>
      <c r="E420" s="78"/>
    </row>
    <row r="422" spans="3:5" ht="12.6" customHeight="1" x14ac:dyDescent="0.3"/>
    <row r="423" spans="3:5" x14ac:dyDescent="0.3">
      <c r="C423" t="str" cm="1">
        <f t="array" ref="C423:E444">_xlfn._xlws.FILTER(Staff[Emp ID]:Staff[Last name],MONTH(Staff[Start Date])=3)</f>
        <v>SQ04612</v>
      </c>
      <c r="D423" t="str">
        <v>Mick</v>
      </c>
      <c r="E423" t="str">
        <v>Spraberry</v>
      </c>
    </row>
    <row r="424" spans="3:5" x14ac:dyDescent="0.3">
      <c r="C424" t="str">
        <v>VT01803</v>
      </c>
      <c r="D424" t="str">
        <v>Freddy</v>
      </c>
      <c r="E424" t="str">
        <v>Linford</v>
      </c>
    </row>
    <row r="425" spans="3:5" x14ac:dyDescent="0.3">
      <c r="C425" t="str">
        <v>VT02417</v>
      </c>
      <c r="D425" t="str">
        <v>Evangelina</v>
      </c>
      <c r="E425" t="str">
        <v>Lergan</v>
      </c>
    </row>
    <row r="426" spans="3:5" x14ac:dyDescent="0.3">
      <c r="C426" t="str">
        <v>PR00893</v>
      </c>
      <c r="D426" t="str">
        <v>Vasavi</v>
      </c>
      <c r="E426" t="str">
        <v>Veeravasarapu</v>
      </c>
    </row>
    <row r="427" spans="3:5" x14ac:dyDescent="0.3">
      <c r="C427" t="str">
        <v>VT03421</v>
      </c>
      <c r="D427" t="str">
        <v>Alic</v>
      </c>
      <c r="E427" t="str">
        <v>Bagg</v>
      </c>
    </row>
    <row r="428" spans="3:5" x14ac:dyDescent="0.3">
      <c r="C428" t="str">
        <v>VT03993</v>
      </c>
      <c r="D428" t="str">
        <v>Dulce</v>
      </c>
      <c r="E428" t="str">
        <v>Colbeck</v>
      </c>
    </row>
    <row r="429" spans="3:5" x14ac:dyDescent="0.3">
      <c r="C429" t="str">
        <v>SQ01519</v>
      </c>
      <c r="D429" t="str">
        <v>Caron</v>
      </c>
      <c r="E429" t="str">
        <v>Kolakovic</v>
      </c>
    </row>
    <row r="430" spans="3:5" x14ac:dyDescent="0.3">
      <c r="C430" t="str">
        <v>VT04028</v>
      </c>
      <c r="D430" t="str">
        <v>Michale</v>
      </c>
      <c r="E430" t="str">
        <v>Rolf</v>
      </c>
    </row>
    <row r="431" spans="3:5" x14ac:dyDescent="0.3">
      <c r="C431" t="str">
        <v>VT04028</v>
      </c>
      <c r="D431" t="str">
        <v>Michale</v>
      </c>
      <c r="E431" t="str">
        <v>Rolf</v>
      </c>
    </row>
    <row r="432" spans="3:5" x14ac:dyDescent="0.3">
      <c r="C432" t="str">
        <v>SQ00022</v>
      </c>
      <c r="D432" t="str">
        <v>Carlin</v>
      </c>
      <c r="E432" t="str">
        <v>Demke</v>
      </c>
    </row>
    <row r="433" spans="3:16" x14ac:dyDescent="0.3">
      <c r="C433" t="str">
        <v>TN01256</v>
      </c>
      <c r="D433" t="str">
        <v>Shattesh</v>
      </c>
      <c r="E433" t="str">
        <v>Utpat</v>
      </c>
    </row>
    <row r="434" spans="3:16" x14ac:dyDescent="0.3">
      <c r="C434" t="str">
        <v>PR00746</v>
      </c>
      <c r="D434" t="str">
        <v>Hogan</v>
      </c>
      <c r="E434" t="str">
        <v>Iles</v>
      </c>
    </row>
    <row r="435" spans="3:16" x14ac:dyDescent="0.3">
      <c r="C435" t="str">
        <v>SQ00105</v>
      </c>
      <c r="D435" t="str">
        <v>Sarayu</v>
      </c>
      <c r="E435" t="str">
        <v>Ragunathan</v>
      </c>
    </row>
    <row r="436" spans="3:16" x14ac:dyDescent="0.3">
      <c r="C436" t="str">
        <v>VT04415</v>
      </c>
      <c r="D436" t="str">
        <v>Malory</v>
      </c>
      <c r="E436" t="str">
        <v>Biles</v>
      </c>
    </row>
    <row r="437" spans="3:16" x14ac:dyDescent="0.3">
      <c r="C437" t="str">
        <v>TN01601</v>
      </c>
      <c r="D437" t="str">
        <v>Melva</v>
      </c>
      <c r="E437" t="str">
        <v>Jickells</v>
      </c>
    </row>
    <row r="438" spans="3:16" x14ac:dyDescent="0.3">
      <c r="C438" t="str">
        <v>TN04892</v>
      </c>
      <c r="D438" t="str">
        <v>Luca</v>
      </c>
      <c r="E438" t="str">
        <v>Wolstenholme</v>
      </c>
    </row>
    <row r="439" spans="3:16" x14ac:dyDescent="0.3">
      <c r="C439" t="str">
        <v>VT01762</v>
      </c>
      <c r="D439" t="str">
        <v>Geena</v>
      </c>
      <c r="E439" t="str">
        <v>Raghavanpillai</v>
      </c>
    </row>
    <row r="440" spans="3:16" x14ac:dyDescent="0.3">
      <c r="C440" t="str">
        <v>TN01601</v>
      </c>
      <c r="D440" t="str">
        <v>Melva</v>
      </c>
      <c r="E440" t="str">
        <v>Jickells</v>
      </c>
    </row>
    <row r="441" spans="3:16" x14ac:dyDescent="0.3">
      <c r="C441" t="str">
        <v>TN01256</v>
      </c>
      <c r="D441" t="str">
        <v>Sawini</v>
      </c>
      <c r="E441" t="str">
        <v>Chandan</v>
      </c>
    </row>
    <row r="442" spans="3:16" x14ac:dyDescent="0.3">
      <c r="C442" t="str">
        <v>SQ03112</v>
      </c>
      <c r="D442" t="str">
        <v>Kantimoy</v>
      </c>
      <c r="E442" t="str">
        <v>Pritish</v>
      </c>
    </row>
    <row r="443" spans="3:16" x14ac:dyDescent="0.3">
      <c r="C443" t="str">
        <v>VT03421</v>
      </c>
      <c r="D443" t="str">
        <v>Alic</v>
      </c>
      <c r="E443" t="str">
        <v>Bagg</v>
      </c>
    </row>
    <row r="444" spans="3:16" x14ac:dyDescent="0.3">
      <c r="C444" t="str">
        <v>SQ03625</v>
      </c>
      <c r="D444" t="str">
        <v>Fidela</v>
      </c>
      <c r="E444" t="str">
        <v>Artis</v>
      </c>
    </row>
    <row r="447" spans="3:16" x14ac:dyDescent="0.3">
      <c r="C447" t="str" cm="1">
        <f t="array" ref="C447:P571">_xlfn._xlws.FILTER(Staff[],Staff[Gender]="female",DAY(Staff[Start Date])=monday)</f>
        <v>PR04686</v>
      </c>
      <c r="D447" t="str">
        <v>Oona</v>
      </c>
      <c r="E447" t="str">
        <v>Donan</v>
      </c>
      <c r="F447" t="str">
        <v>Female</v>
      </c>
      <c r="G447" t="str">
        <v>Business Development</v>
      </c>
      <c r="H447">
        <v>98000</v>
      </c>
      <c r="I447" t="str">
        <v>50k to 100k</v>
      </c>
      <c r="J447" s="9">
        <v>43710</v>
      </c>
      <c r="K447">
        <v>0.9</v>
      </c>
      <c r="L447" t="str">
        <v>Permanent</v>
      </c>
      <c r="M447" t="str">
        <v>Part time</v>
      </c>
      <c r="N447" t="str">
        <v>Seattle, USA</v>
      </c>
      <c r="O447">
        <v>2398</v>
      </c>
      <c r="P447">
        <v>7</v>
      </c>
    </row>
    <row r="448" spans="3:16" x14ac:dyDescent="0.3">
      <c r="C448" t="str">
        <v>SQ04612</v>
      </c>
      <c r="D448" t="str">
        <v>Mick</v>
      </c>
      <c r="E448" t="str">
        <v>Spraberry</v>
      </c>
      <c r="F448" t="str">
        <v>Female</v>
      </c>
      <c r="G448" t="str">
        <v>Services</v>
      </c>
      <c r="H448">
        <v>120000</v>
      </c>
      <c r="I448" t="str">
        <v>Above 100k</v>
      </c>
      <c r="J448" s="9">
        <v>43902</v>
      </c>
      <c r="K448">
        <v>0.9</v>
      </c>
      <c r="L448" t="str">
        <v>Permanent</v>
      </c>
      <c r="M448" t="str">
        <v>Part time</v>
      </c>
      <c r="N448" t="str">
        <v>Remote</v>
      </c>
      <c r="O448">
        <v>2206</v>
      </c>
      <c r="P448">
        <v>6</v>
      </c>
    </row>
    <row r="449" spans="3:16" x14ac:dyDescent="0.3">
      <c r="C449" t="str">
        <v>VT01803</v>
      </c>
      <c r="D449" t="str">
        <v>Freddy</v>
      </c>
      <c r="E449" t="str">
        <v>Linford</v>
      </c>
      <c r="F449" t="str">
        <v>Female</v>
      </c>
      <c r="G449" t="str">
        <v>Training</v>
      </c>
      <c r="H449">
        <v>93128.34</v>
      </c>
      <c r="I449" t="str">
        <v>50k to 100k</v>
      </c>
      <c r="J449" s="9">
        <v>43164</v>
      </c>
      <c r="K449">
        <v>1</v>
      </c>
      <c r="L449" t="str">
        <v>Fixed Term</v>
      </c>
      <c r="M449" t="str">
        <v>Full time</v>
      </c>
      <c r="N449" t="str">
        <v>Seattle, USA</v>
      </c>
      <c r="O449">
        <v>2944</v>
      </c>
      <c r="P449">
        <v>8</v>
      </c>
    </row>
    <row r="450" spans="3:16" x14ac:dyDescent="0.3">
      <c r="C450" t="str">
        <v>TN02749</v>
      </c>
      <c r="D450" t="str">
        <v>Parasuramudu</v>
      </c>
      <c r="E450" t="str">
        <v>Jamakayala</v>
      </c>
      <c r="F450" t="str">
        <v>Female</v>
      </c>
      <c r="G450" t="str">
        <v>Training</v>
      </c>
      <c r="H450">
        <v>57002.02</v>
      </c>
      <c r="I450" t="str">
        <v>50k to 100k</v>
      </c>
      <c r="J450" s="9">
        <v>43192</v>
      </c>
      <c r="K450">
        <v>0.7</v>
      </c>
      <c r="L450" t="str">
        <v>Permanent</v>
      </c>
      <c r="M450" t="str">
        <v>Part time</v>
      </c>
      <c r="N450" t="str">
        <v>Hyderabad, India</v>
      </c>
      <c r="O450">
        <v>2916</v>
      </c>
      <c r="P450">
        <v>8</v>
      </c>
    </row>
    <row r="451" spans="3:16" x14ac:dyDescent="0.3">
      <c r="C451" t="str">
        <v>SQ01854</v>
      </c>
      <c r="D451" t="str">
        <v>Jessica</v>
      </c>
      <c r="E451" t="str">
        <v>Callcott</v>
      </c>
      <c r="F451" t="str">
        <v>Female</v>
      </c>
      <c r="G451" t="str">
        <v>Marketing</v>
      </c>
      <c r="H451">
        <v>66017.179999999993</v>
      </c>
      <c r="I451" t="str">
        <v>50k to 100k</v>
      </c>
      <c r="J451" s="9">
        <v>43643</v>
      </c>
      <c r="K451">
        <v>0.9</v>
      </c>
      <c r="L451" t="str">
        <v>Permanent</v>
      </c>
      <c r="M451" t="str">
        <v>Part time</v>
      </c>
      <c r="N451" t="str">
        <v>Remote</v>
      </c>
      <c r="O451">
        <v>2465</v>
      </c>
      <c r="P451">
        <v>7</v>
      </c>
    </row>
    <row r="452" spans="3:16" x14ac:dyDescent="0.3">
      <c r="C452" t="str">
        <v>PR00419</v>
      </c>
      <c r="D452" t="str">
        <v>Billi</v>
      </c>
      <c r="E452" t="str">
        <v>Fellgate</v>
      </c>
      <c r="F452" t="str">
        <v>Female</v>
      </c>
      <c r="G452" t="str">
        <v>Business Development</v>
      </c>
      <c r="H452">
        <v>68980.52</v>
      </c>
      <c r="I452" t="str">
        <v>50k to 100k</v>
      </c>
      <c r="J452" s="9">
        <v>43494</v>
      </c>
      <c r="K452">
        <v>0.8</v>
      </c>
      <c r="L452" t="str">
        <v>Permanent</v>
      </c>
      <c r="M452" t="str">
        <v>Part time</v>
      </c>
      <c r="N452" t="str">
        <v>Remote</v>
      </c>
      <c r="O452">
        <v>2614</v>
      </c>
      <c r="P452">
        <v>7</v>
      </c>
    </row>
    <row r="453" spans="3:16" x14ac:dyDescent="0.3">
      <c r="C453" t="str">
        <v>VT00578</v>
      </c>
      <c r="D453" t="str">
        <v>Magnum</v>
      </c>
      <c r="E453" t="str">
        <v>Locksley</v>
      </c>
      <c r="F453" t="str">
        <v>Female</v>
      </c>
      <c r="G453" t="str">
        <v>Services</v>
      </c>
      <c r="H453">
        <v>42314.39</v>
      </c>
      <c r="I453" t="str">
        <v>under 50k</v>
      </c>
      <c r="J453" s="9">
        <v>44487</v>
      </c>
      <c r="K453">
        <v>1</v>
      </c>
      <c r="L453" t="str">
        <v>Fixed Term</v>
      </c>
      <c r="M453" t="str">
        <v>Full time</v>
      </c>
      <c r="N453" t="str">
        <v>Remote</v>
      </c>
      <c r="O453">
        <v>1621</v>
      </c>
      <c r="P453">
        <v>4</v>
      </c>
    </row>
    <row r="454" spans="3:16" x14ac:dyDescent="0.3">
      <c r="C454" t="str">
        <v>TN01281</v>
      </c>
      <c r="D454" t="str">
        <v>Cletus</v>
      </c>
      <c r="E454" t="str">
        <v>McGarahan</v>
      </c>
      <c r="F454" t="str">
        <v>Female</v>
      </c>
      <c r="G454" t="str">
        <v>Engineering</v>
      </c>
      <c r="H454">
        <v>114425.19</v>
      </c>
      <c r="I454" t="str">
        <v>Above 100k</v>
      </c>
      <c r="J454" s="9">
        <v>43857</v>
      </c>
      <c r="K454">
        <v>1</v>
      </c>
      <c r="L454" t="str">
        <v>Permanent</v>
      </c>
      <c r="M454" t="str">
        <v>Full time</v>
      </c>
      <c r="N454" t="str">
        <v>Wellington, New Zealand</v>
      </c>
      <c r="O454">
        <v>2251</v>
      </c>
      <c r="P454">
        <v>6</v>
      </c>
    </row>
    <row r="455" spans="3:16" x14ac:dyDescent="0.3">
      <c r="C455" t="str">
        <v>PR04473</v>
      </c>
      <c r="D455" t="str">
        <v>Wyn</v>
      </c>
      <c r="E455" t="str">
        <v>Treadger</v>
      </c>
      <c r="F455" t="str">
        <v>Female</v>
      </c>
      <c r="G455" t="str">
        <v>Business Development</v>
      </c>
      <c r="H455">
        <v>69192.850000000006</v>
      </c>
      <c r="I455" t="str">
        <v>50k to 100k</v>
      </c>
      <c r="J455" s="9">
        <v>44305</v>
      </c>
      <c r="K455">
        <v>1</v>
      </c>
      <c r="L455" t="str">
        <v>Permanent</v>
      </c>
      <c r="M455" t="str">
        <v>Full time</v>
      </c>
      <c r="N455" t="str">
        <v>Columbus, USA</v>
      </c>
      <c r="O455">
        <v>1803</v>
      </c>
      <c r="P455">
        <v>5</v>
      </c>
    </row>
    <row r="456" spans="3:16" x14ac:dyDescent="0.3">
      <c r="C456" t="str">
        <v>TN00214</v>
      </c>
      <c r="D456" t="str">
        <v>Devsena</v>
      </c>
      <c r="E456" t="str">
        <v>Veluvalapalli</v>
      </c>
      <c r="F456" t="str">
        <v>Female</v>
      </c>
      <c r="G456" t="str">
        <v>Training</v>
      </c>
      <c r="H456">
        <v>37902.35</v>
      </c>
      <c r="I456" t="str">
        <v>under 50k</v>
      </c>
      <c r="J456" s="9">
        <v>43823</v>
      </c>
      <c r="K456">
        <v>1</v>
      </c>
      <c r="L456" t="str">
        <v>Permanent</v>
      </c>
      <c r="M456" t="str">
        <v>Full time</v>
      </c>
      <c r="N456" t="str">
        <v>Chennai, India</v>
      </c>
      <c r="O456">
        <v>2285</v>
      </c>
      <c r="P456">
        <v>6</v>
      </c>
    </row>
    <row r="457" spans="3:16" x14ac:dyDescent="0.3">
      <c r="C457" t="str">
        <v>TN00890</v>
      </c>
      <c r="D457" t="str">
        <v>Mayur</v>
      </c>
      <c r="E457" t="str">
        <v>Kousika</v>
      </c>
      <c r="F457" t="str">
        <v>Female</v>
      </c>
      <c r="G457" t="str">
        <v>Training</v>
      </c>
      <c r="H457">
        <v>71570.990000000005</v>
      </c>
      <c r="I457" t="str">
        <v>50k to 100k</v>
      </c>
      <c r="J457" s="9">
        <v>44249</v>
      </c>
      <c r="K457">
        <v>0.5</v>
      </c>
      <c r="L457" t="str">
        <v>Permanent</v>
      </c>
      <c r="M457" t="str">
        <v>Part time</v>
      </c>
      <c r="N457" t="str">
        <v>Hyderabad, India</v>
      </c>
      <c r="O457">
        <v>1859</v>
      </c>
      <c r="P457">
        <v>5</v>
      </c>
    </row>
    <row r="458" spans="3:16" x14ac:dyDescent="0.3">
      <c r="C458" t="str">
        <v>PR02603</v>
      </c>
      <c r="D458" t="str">
        <v>Dinanath</v>
      </c>
      <c r="E458" t="str">
        <v>Simhambhatla</v>
      </c>
      <c r="F458" t="str">
        <v>Female</v>
      </c>
      <c r="G458" t="str">
        <v>Human Resources</v>
      </c>
      <c r="H458">
        <v>61994.76</v>
      </c>
      <c r="I458" t="str">
        <v>50k to 100k</v>
      </c>
      <c r="J458" s="9">
        <v>43794</v>
      </c>
      <c r="K458">
        <v>0.3</v>
      </c>
      <c r="L458" t="str">
        <v>Permanent</v>
      </c>
      <c r="M458" t="str">
        <v>Part time</v>
      </c>
      <c r="N458" t="str">
        <v>Hyderabad, India</v>
      </c>
      <c r="O458">
        <v>2314</v>
      </c>
      <c r="P458">
        <v>6</v>
      </c>
    </row>
    <row r="459" spans="3:16" x14ac:dyDescent="0.3">
      <c r="C459" t="str">
        <v>PR03158</v>
      </c>
      <c r="D459" t="str">
        <v>Danica</v>
      </c>
      <c r="E459" t="str">
        <v>Nayshe</v>
      </c>
      <c r="F459" t="str">
        <v>Female</v>
      </c>
      <c r="G459" t="str">
        <v>Services</v>
      </c>
      <c r="H459">
        <v>89690.38</v>
      </c>
      <c r="I459" t="str">
        <v>50k to 100k</v>
      </c>
      <c r="J459" s="9">
        <v>43206</v>
      </c>
      <c r="K459">
        <v>1</v>
      </c>
      <c r="L459" t="str">
        <v>Permanent</v>
      </c>
      <c r="M459" t="str">
        <v>Full time</v>
      </c>
      <c r="N459" t="str">
        <v>Wellington, New Zealand</v>
      </c>
      <c r="O459">
        <v>2902</v>
      </c>
      <c r="P459">
        <v>8</v>
      </c>
    </row>
    <row r="460" spans="3:16" x14ac:dyDescent="0.3">
      <c r="C460" t="str">
        <v>PR01662</v>
      </c>
      <c r="D460" t="str">
        <v>Genevra</v>
      </c>
      <c r="E460" t="str">
        <v>Friday</v>
      </c>
      <c r="F460" t="str">
        <v>Female</v>
      </c>
      <c r="G460" t="str">
        <v>Research and Development</v>
      </c>
      <c r="H460">
        <v>50449.46</v>
      </c>
      <c r="I460" t="str">
        <v>50k to 100k</v>
      </c>
      <c r="J460" s="9">
        <v>43418</v>
      </c>
      <c r="K460">
        <v>0.8</v>
      </c>
      <c r="L460" t="str">
        <v>Permanent</v>
      </c>
      <c r="M460" t="str">
        <v>Part time</v>
      </c>
      <c r="N460" t="str">
        <v>Auckland, New Zealand</v>
      </c>
      <c r="O460">
        <v>2690</v>
      </c>
      <c r="P460">
        <v>7</v>
      </c>
    </row>
    <row r="461" spans="3:16" x14ac:dyDescent="0.3">
      <c r="C461" t="str">
        <v>VT04681</v>
      </c>
      <c r="D461" t="str">
        <v>Nickolai</v>
      </c>
      <c r="E461" t="str">
        <v>Artin</v>
      </c>
      <c r="F461" t="str">
        <v>Female</v>
      </c>
      <c r="G461" t="str">
        <v>Product Management</v>
      </c>
      <c r="H461">
        <v>110906.35</v>
      </c>
      <c r="I461" t="str">
        <v>Above 100k</v>
      </c>
      <c r="J461" s="9">
        <v>43434</v>
      </c>
      <c r="K461">
        <v>1</v>
      </c>
      <c r="L461" t="str">
        <v>Temporary</v>
      </c>
      <c r="M461" t="str">
        <v>Full time</v>
      </c>
      <c r="N461" t="str">
        <v>Wellington, New Zealand</v>
      </c>
      <c r="O461">
        <v>2674</v>
      </c>
      <c r="P461">
        <v>7</v>
      </c>
    </row>
    <row r="462" spans="3:16" x14ac:dyDescent="0.3">
      <c r="C462" t="str">
        <v>TN04246</v>
      </c>
      <c r="D462" t="str">
        <v>Shaylyn</v>
      </c>
      <c r="E462" t="str">
        <v>Ransbury</v>
      </c>
      <c r="F462" t="str">
        <v>Female</v>
      </c>
      <c r="G462" t="str">
        <v>Support</v>
      </c>
      <c r="H462">
        <v>100371.31</v>
      </c>
      <c r="I462" t="str">
        <v>Above 100k</v>
      </c>
      <c r="J462" s="9">
        <v>44067</v>
      </c>
      <c r="K462">
        <v>0.8</v>
      </c>
      <c r="L462" t="str">
        <v>Fixed Term</v>
      </c>
      <c r="M462" t="str">
        <v>Part time</v>
      </c>
      <c r="N462" t="str">
        <v>Auckland, New Zealand</v>
      </c>
      <c r="O462">
        <v>2041</v>
      </c>
      <c r="P462">
        <v>6</v>
      </c>
    </row>
    <row r="463" spans="3:16" x14ac:dyDescent="0.3">
      <c r="C463" t="str">
        <v>TN02570</v>
      </c>
      <c r="D463" t="str">
        <v>Grady</v>
      </c>
      <c r="E463" t="str">
        <v>Rochelle</v>
      </c>
      <c r="F463" t="str">
        <v>Female</v>
      </c>
      <c r="G463" t="str">
        <v>Accounting</v>
      </c>
      <c r="H463">
        <v>69163.39</v>
      </c>
      <c r="I463" t="str">
        <v>50k to 100k</v>
      </c>
      <c r="J463" s="9">
        <v>43397</v>
      </c>
      <c r="K463">
        <v>1</v>
      </c>
      <c r="L463" t="str">
        <v>Permanent</v>
      </c>
      <c r="M463" t="str">
        <v>Full time</v>
      </c>
      <c r="N463" t="str">
        <v>Remote</v>
      </c>
      <c r="O463">
        <v>2711</v>
      </c>
      <c r="P463">
        <v>7</v>
      </c>
    </row>
    <row r="464" spans="3:16" x14ac:dyDescent="0.3">
      <c r="C464" t="str">
        <v>VT01740</v>
      </c>
      <c r="D464" t="str">
        <v>Ginger</v>
      </c>
      <c r="E464" t="str">
        <v>Myott</v>
      </c>
      <c r="F464" t="str">
        <v>Female</v>
      </c>
      <c r="G464" t="str">
        <v>Services</v>
      </c>
      <c r="H464">
        <v>31172.77</v>
      </c>
      <c r="I464" t="str">
        <v>under 50k</v>
      </c>
      <c r="J464" s="9">
        <v>43665</v>
      </c>
      <c r="K464">
        <v>1</v>
      </c>
      <c r="L464" t="str">
        <v>Fixed Term</v>
      </c>
      <c r="M464" t="str">
        <v>Full time</v>
      </c>
      <c r="N464" t="str">
        <v>Remote</v>
      </c>
      <c r="O464">
        <v>2443</v>
      </c>
      <c r="P464">
        <v>7</v>
      </c>
    </row>
    <row r="465" spans="3:16" x14ac:dyDescent="0.3">
      <c r="C465" t="str">
        <v>VT03988</v>
      </c>
      <c r="D465" t="str">
        <v>Venkat</v>
      </c>
      <c r="E465" t="str">
        <v>Kodi</v>
      </c>
      <c r="F465" t="str">
        <v>Female</v>
      </c>
      <c r="G465" t="str">
        <v>Support</v>
      </c>
      <c r="H465">
        <v>58935.92</v>
      </c>
      <c r="I465" t="str">
        <v>50k to 100k</v>
      </c>
      <c r="J465" s="9">
        <v>43717</v>
      </c>
      <c r="K465">
        <v>1</v>
      </c>
      <c r="L465" t="str">
        <v>Temporary</v>
      </c>
      <c r="M465" t="str">
        <v>Full time</v>
      </c>
      <c r="N465" t="str">
        <v>Hyderabad, India</v>
      </c>
      <c r="O465">
        <v>2391</v>
      </c>
      <c r="P465">
        <v>7</v>
      </c>
    </row>
    <row r="466" spans="3:16" x14ac:dyDescent="0.3">
      <c r="C466" t="str">
        <v>TN00227</v>
      </c>
      <c r="D466" t="str">
        <v>Raghuveer</v>
      </c>
      <c r="E466" t="str">
        <v>Yettugunna</v>
      </c>
      <c r="F466" t="str">
        <v>Female</v>
      </c>
      <c r="G466" t="str">
        <v>Support</v>
      </c>
      <c r="H466">
        <v>63555.73</v>
      </c>
      <c r="I466" t="str">
        <v>50k to 100k</v>
      </c>
      <c r="J466" s="9">
        <v>44159</v>
      </c>
      <c r="K466">
        <v>1</v>
      </c>
      <c r="L466" t="str">
        <v>Permanent</v>
      </c>
      <c r="M466" t="str">
        <v>Full time</v>
      </c>
      <c r="N466" t="str">
        <v>Chennai, India</v>
      </c>
      <c r="O466">
        <v>1949</v>
      </c>
      <c r="P466">
        <v>5</v>
      </c>
    </row>
    <row r="467" spans="3:16" x14ac:dyDescent="0.3">
      <c r="C467" t="str">
        <v>TN03169</v>
      </c>
      <c r="D467" t="str">
        <v>Doe</v>
      </c>
      <c r="E467" t="str">
        <v>Clubley</v>
      </c>
      <c r="F467" t="str">
        <v>Female</v>
      </c>
      <c r="G467" t="str">
        <v>Product Management</v>
      </c>
      <c r="H467">
        <v>67818.14</v>
      </c>
      <c r="I467" t="str">
        <v>50k to 100k</v>
      </c>
      <c r="J467" s="9">
        <v>43406</v>
      </c>
      <c r="K467">
        <v>0.6</v>
      </c>
      <c r="L467" t="str">
        <v>Fixed Term</v>
      </c>
      <c r="M467" t="str">
        <v>Part time</v>
      </c>
      <c r="N467" t="str">
        <v>Remote</v>
      </c>
      <c r="O467">
        <v>2702</v>
      </c>
      <c r="P467">
        <v>7</v>
      </c>
    </row>
    <row r="468" spans="3:16" x14ac:dyDescent="0.3">
      <c r="C468" t="str">
        <v>SQ01402</v>
      </c>
      <c r="D468" t="str">
        <v>Sahaj</v>
      </c>
      <c r="E468" t="str">
        <v>Jonnalagadda</v>
      </c>
      <c r="F468" t="str">
        <v>Female</v>
      </c>
      <c r="G468" t="str">
        <v>Engineering</v>
      </c>
      <c r="H468">
        <v>44403.77</v>
      </c>
      <c r="I468" t="str">
        <v>under 50k</v>
      </c>
      <c r="J468" s="9">
        <v>43416</v>
      </c>
      <c r="K468">
        <v>1</v>
      </c>
      <c r="L468" t="str">
        <v>Permanent</v>
      </c>
      <c r="M468" t="str">
        <v>Full time</v>
      </c>
      <c r="N468" t="str">
        <v>Hyderabad, India</v>
      </c>
      <c r="O468">
        <v>2692</v>
      </c>
      <c r="P468">
        <v>7</v>
      </c>
    </row>
    <row r="469" spans="3:16" x14ac:dyDescent="0.3">
      <c r="C469" t="str">
        <v>PR02208</v>
      </c>
      <c r="D469" t="str">
        <v>Gowri</v>
      </c>
      <c r="E469" t="str">
        <v>Sankar</v>
      </c>
      <c r="F469" t="str">
        <v>Female</v>
      </c>
      <c r="G469" t="str">
        <v>Training</v>
      </c>
      <c r="H469">
        <v>102934.09</v>
      </c>
      <c r="I469" t="str">
        <v>Above 100k</v>
      </c>
      <c r="J469" s="9">
        <v>44315</v>
      </c>
      <c r="K469">
        <v>1</v>
      </c>
      <c r="L469" t="str">
        <v>Permanent</v>
      </c>
      <c r="M469" t="str">
        <v>Full time</v>
      </c>
      <c r="N469" t="str">
        <v>Hyderabad, India</v>
      </c>
      <c r="O469">
        <v>1793</v>
      </c>
      <c r="P469">
        <v>5</v>
      </c>
    </row>
    <row r="470" spans="3:16" x14ac:dyDescent="0.3">
      <c r="C470" t="str">
        <v>PR03844</v>
      </c>
      <c r="D470" t="str">
        <v>Brose</v>
      </c>
      <c r="E470" t="str">
        <v>MacCorkell</v>
      </c>
      <c r="F470" t="str">
        <v>Female</v>
      </c>
      <c r="G470" t="str">
        <v>Human Resources</v>
      </c>
      <c r="H470">
        <v>35943.620000000003</v>
      </c>
      <c r="I470" t="str">
        <v>under 50k</v>
      </c>
      <c r="J470" s="9">
        <v>44078</v>
      </c>
      <c r="K470">
        <v>1</v>
      </c>
      <c r="L470" t="str">
        <v>Permanent</v>
      </c>
      <c r="M470" t="str">
        <v>Full time</v>
      </c>
      <c r="N470" t="str">
        <v>Columbus, USA</v>
      </c>
      <c r="O470">
        <v>2030</v>
      </c>
      <c r="P470">
        <v>6</v>
      </c>
    </row>
    <row r="471" spans="3:16" x14ac:dyDescent="0.3">
      <c r="C471" t="str">
        <v>VT04093</v>
      </c>
      <c r="D471" t="str">
        <v>Prasanna</v>
      </c>
      <c r="E471" t="str">
        <v>Lakshmi</v>
      </c>
      <c r="F471" t="str">
        <v>Female</v>
      </c>
      <c r="G471" t="str">
        <v>Training</v>
      </c>
      <c r="H471">
        <v>116767.63</v>
      </c>
      <c r="I471" t="str">
        <v>Above 100k</v>
      </c>
      <c r="J471" s="9">
        <v>43949</v>
      </c>
      <c r="K471">
        <v>0.4</v>
      </c>
      <c r="L471" t="str">
        <v>Temporary</v>
      </c>
      <c r="M471" t="str">
        <v>Part time</v>
      </c>
      <c r="N471" t="str">
        <v>Chennai, India</v>
      </c>
      <c r="O471">
        <v>2159</v>
      </c>
      <c r="P471">
        <v>6</v>
      </c>
    </row>
    <row r="472" spans="3:16" x14ac:dyDescent="0.3">
      <c r="C472" t="str">
        <v>TN03032</v>
      </c>
      <c r="D472" t="str">
        <v>Jaipal</v>
      </c>
      <c r="E472" t="str">
        <v>Potanapudi</v>
      </c>
      <c r="F472" t="str">
        <v>Female</v>
      </c>
      <c r="G472" t="str">
        <v>Research and Development</v>
      </c>
      <c r="H472">
        <v>39700.82</v>
      </c>
      <c r="I472" t="str">
        <v>under 50k</v>
      </c>
      <c r="J472" s="9">
        <v>44203</v>
      </c>
      <c r="K472">
        <v>0.8</v>
      </c>
      <c r="L472" t="str">
        <v>Permanent</v>
      </c>
      <c r="M472" t="str">
        <v>Part time</v>
      </c>
      <c r="N472" t="str">
        <v>Chennai, India</v>
      </c>
      <c r="O472">
        <v>1905</v>
      </c>
      <c r="P472">
        <v>5</v>
      </c>
    </row>
    <row r="473" spans="3:16" x14ac:dyDescent="0.3">
      <c r="C473" t="str">
        <v>SQ00914</v>
      </c>
      <c r="D473" t="str">
        <v>Duran</v>
      </c>
      <c r="E473" t="str">
        <v>Appala</v>
      </c>
      <c r="F473" t="str">
        <v>Female</v>
      </c>
      <c r="G473" t="str">
        <v>Product Management</v>
      </c>
      <c r="H473">
        <v>38438.239999999998</v>
      </c>
      <c r="I473" t="str">
        <v>under 50k</v>
      </c>
      <c r="J473" s="9">
        <v>43962</v>
      </c>
      <c r="K473">
        <v>1</v>
      </c>
      <c r="L473" t="str">
        <v>Permanent</v>
      </c>
      <c r="M473" t="str">
        <v>Full time</v>
      </c>
      <c r="N473" t="str">
        <v>Chennai, India</v>
      </c>
      <c r="O473">
        <v>2146</v>
      </c>
      <c r="P473">
        <v>6</v>
      </c>
    </row>
    <row r="474" spans="3:16" x14ac:dyDescent="0.3">
      <c r="C474" t="str">
        <v>VT01249</v>
      </c>
      <c r="D474" t="str">
        <v>Brendan</v>
      </c>
      <c r="E474" t="str">
        <v>Edgeller</v>
      </c>
      <c r="F474" t="str">
        <v>Female</v>
      </c>
      <c r="G474" t="str">
        <v>Legal</v>
      </c>
      <c r="H474">
        <v>31042.51</v>
      </c>
      <c r="I474" t="str">
        <v>under 50k</v>
      </c>
      <c r="J474" s="9">
        <v>44473</v>
      </c>
      <c r="K474">
        <v>0.3</v>
      </c>
      <c r="L474" t="str">
        <v>Fixed Term</v>
      </c>
      <c r="M474" t="str">
        <v>Part time</v>
      </c>
      <c r="N474" t="str">
        <v>Remote</v>
      </c>
      <c r="O474">
        <v>1635</v>
      </c>
      <c r="P474">
        <v>4</v>
      </c>
    </row>
    <row r="475" spans="3:16" x14ac:dyDescent="0.3">
      <c r="C475" t="str">
        <v>PR00576</v>
      </c>
      <c r="D475" t="str">
        <v>Lalitchandra</v>
      </c>
      <c r="E475" t="str">
        <v>Vadali</v>
      </c>
      <c r="F475" t="str">
        <v>Female</v>
      </c>
      <c r="G475" t="str">
        <v>Legal</v>
      </c>
      <c r="H475">
        <v>63705.4</v>
      </c>
      <c r="I475" t="str">
        <v>50k to 100k</v>
      </c>
      <c r="J475" s="9">
        <v>43682</v>
      </c>
      <c r="K475">
        <v>1</v>
      </c>
      <c r="L475" t="str">
        <v>Permanent</v>
      </c>
      <c r="M475" t="str">
        <v>Full time</v>
      </c>
      <c r="N475" t="str">
        <v>Hyderabad, India</v>
      </c>
      <c r="O475">
        <v>2426</v>
      </c>
      <c r="P475">
        <v>7</v>
      </c>
    </row>
    <row r="476" spans="3:16" x14ac:dyDescent="0.3">
      <c r="C476" t="str">
        <v>VT02260</v>
      </c>
      <c r="D476" t="str">
        <v>Rhiamon</v>
      </c>
      <c r="E476" t="str">
        <v>Mollison</v>
      </c>
      <c r="F476" t="str">
        <v>Female</v>
      </c>
      <c r="G476" t="str">
        <v>Research and Development</v>
      </c>
      <c r="H476">
        <v>59434.18</v>
      </c>
      <c r="I476" t="str">
        <v>50k to 100k</v>
      </c>
      <c r="J476" s="9">
        <v>43931</v>
      </c>
      <c r="K476">
        <v>1</v>
      </c>
      <c r="L476" t="str">
        <v>Temporary</v>
      </c>
      <c r="M476" t="str">
        <v>Full time</v>
      </c>
      <c r="N476" t="str">
        <v>Seattle, USA</v>
      </c>
      <c r="O476">
        <v>2177</v>
      </c>
      <c r="P476">
        <v>6</v>
      </c>
    </row>
    <row r="477" spans="3:16" x14ac:dyDescent="0.3">
      <c r="C477" t="str">
        <v>TN02883</v>
      </c>
      <c r="D477" t="str">
        <v>John</v>
      </c>
      <c r="E477" t="str">
        <v>Joseph</v>
      </c>
      <c r="F477" t="str">
        <v>Female</v>
      </c>
      <c r="G477" t="str">
        <v>Sales</v>
      </c>
      <c r="H477">
        <v>84762.76</v>
      </c>
      <c r="I477" t="str">
        <v>50k to 100k</v>
      </c>
      <c r="J477" s="9">
        <v>43332</v>
      </c>
      <c r="K477">
        <v>1</v>
      </c>
      <c r="L477" t="str">
        <v>Permanent</v>
      </c>
      <c r="M477" t="str">
        <v>Full time</v>
      </c>
      <c r="N477" t="str">
        <v>Hyderabad, India</v>
      </c>
      <c r="O477">
        <v>2776</v>
      </c>
      <c r="P477">
        <v>8</v>
      </c>
    </row>
    <row r="478" spans="3:16" x14ac:dyDescent="0.3">
      <c r="C478" t="str">
        <v>SQ03024</v>
      </c>
      <c r="D478" t="str">
        <v>Inge</v>
      </c>
      <c r="E478" t="str">
        <v>Creer</v>
      </c>
      <c r="F478" t="str">
        <v>Female</v>
      </c>
      <c r="G478" t="str">
        <v>Services</v>
      </c>
      <c r="H478">
        <v>69057.320000000007</v>
      </c>
      <c r="I478" t="str">
        <v>50k to 100k</v>
      </c>
      <c r="J478" s="9">
        <v>43390</v>
      </c>
      <c r="K478">
        <v>1</v>
      </c>
      <c r="L478" t="str">
        <v>Permanent</v>
      </c>
      <c r="M478" t="str">
        <v>Full time</v>
      </c>
      <c r="N478" t="str">
        <v>Wellington, New Zealand</v>
      </c>
      <c r="O478">
        <v>2718</v>
      </c>
      <c r="P478">
        <v>7</v>
      </c>
    </row>
    <row r="479" spans="3:16" x14ac:dyDescent="0.3">
      <c r="C479" t="str">
        <v>SQ03350</v>
      </c>
      <c r="D479" t="str">
        <v>Felice</v>
      </c>
      <c r="E479" t="str">
        <v>McMurty</v>
      </c>
      <c r="F479" t="str">
        <v>Female</v>
      </c>
      <c r="G479" t="str">
        <v>Product Management</v>
      </c>
      <c r="H479">
        <v>66865.490000000005</v>
      </c>
      <c r="I479" t="str">
        <v>50k to 100k</v>
      </c>
      <c r="J479" s="9">
        <v>43514</v>
      </c>
      <c r="K479">
        <v>1</v>
      </c>
      <c r="L479" t="str">
        <v>Permanent</v>
      </c>
      <c r="M479" t="str">
        <v>Full time</v>
      </c>
      <c r="N479" t="str">
        <v>Seattle, USA</v>
      </c>
      <c r="O479">
        <v>2594</v>
      </c>
      <c r="P479">
        <v>7</v>
      </c>
    </row>
    <row r="480" spans="3:16" x14ac:dyDescent="0.3">
      <c r="C480" t="str">
        <v>VT02118</v>
      </c>
      <c r="D480" t="str">
        <v>Oorjit</v>
      </c>
      <c r="E480" t="str">
        <v>Nandanavanam</v>
      </c>
      <c r="F480" t="str">
        <v>Female</v>
      </c>
      <c r="G480" t="str">
        <v>Engineering</v>
      </c>
      <c r="H480">
        <v>51165.37</v>
      </c>
      <c r="I480" t="str">
        <v>50k to 100k</v>
      </c>
      <c r="J480" s="9">
        <v>44237</v>
      </c>
      <c r="K480">
        <v>1</v>
      </c>
      <c r="L480" t="str">
        <v>Fixed Term</v>
      </c>
      <c r="M480" t="str">
        <v>Full time</v>
      </c>
      <c r="N480" t="str">
        <v>Hyderabad, India</v>
      </c>
      <c r="O480">
        <v>1871</v>
      </c>
      <c r="P480">
        <v>5</v>
      </c>
    </row>
    <row r="481" spans="3:16" x14ac:dyDescent="0.3">
      <c r="C481" t="str">
        <v>PR04380</v>
      </c>
      <c r="D481" t="str">
        <v>Van</v>
      </c>
      <c r="E481" t="str">
        <v>Tuxwell</v>
      </c>
      <c r="F481" t="str">
        <v>Female</v>
      </c>
      <c r="G481" t="str">
        <v>Business Development</v>
      </c>
      <c r="H481">
        <v>80695.740000000005</v>
      </c>
      <c r="I481" t="str">
        <v>50k to 100k</v>
      </c>
      <c r="J481" s="9">
        <v>43787</v>
      </c>
      <c r="K481">
        <v>0.8</v>
      </c>
      <c r="L481" t="str">
        <v>Permanent</v>
      </c>
      <c r="M481" t="str">
        <v>Part time</v>
      </c>
      <c r="N481" t="str">
        <v>Columbus, USA</v>
      </c>
      <c r="O481">
        <v>2321</v>
      </c>
      <c r="P481">
        <v>6</v>
      </c>
    </row>
    <row r="482" spans="3:16" x14ac:dyDescent="0.3">
      <c r="C482" t="str">
        <v>TN00182</v>
      </c>
      <c r="D482" t="str">
        <v>Camilla</v>
      </c>
      <c r="E482" t="str">
        <v>Castle</v>
      </c>
      <c r="F482" t="str">
        <v>Female</v>
      </c>
      <c r="G482" t="str">
        <v>Product Management</v>
      </c>
      <c r="H482">
        <v>75475.929999999993</v>
      </c>
      <c r="I482" t="str">
        <v>50k to 100k</v>
      </c>
      <c r="J482" s="9">
        <v>43794</v>
      </c>
      <c r="K482">
        <v>1</v>
      </c>
      <c r="L482" t="str">
        <v>Permanent</v>
      </c>
      <c r="M482" t="str">
        <v>Full time</v>
      </c>
      <c r="N482" t="str">
        <v>Remote</v>
      </c>
      <c r="O482">
        <v>2314</v>
      </c>
      <c r="P482">
        <v>6</v>
      </c>
    </row>
    <row r="483" spans="3:16" x14ac:dyDescent="0.3">
      <c r="C483" t="str">
        <v>VT01523</v>
      </c>
      <c r="D483" t="str">
        <v>Charmane</v>
      </c>
      <c r="E483" t="str">
        <v>Heistermann</v>
      </c>
      <c r="F483" t="str">
        <v>Female</v>
      </c>
      <c r="G483" t="str">
        <v>Business Development</v>
      </c>
      <c r="H483">
        <v>86558.58</v>
      </c>
      <c r="I483" t="str">
        <v>50k to 100k</v>
      </c>
      <c r="J483" s="9">
        <v>43887</v>
      </c>
      <c r="K483">
        <v>1</v>
      </c>
      <c r="L483" t="str">
        <v>Fixed Term</v>
      </c>
      <c r="M483" t="str">
        <v>Full time</v>
      </c>
      <c r="N483" t="str">
        <v>Remote</v>
      </c>
      <c r="O483">
        <v>2221</v>
      </c>
      <c r="P483">
        <v>6</v>
      </c>
    </row>
    <row r="484" spans="3:16" x14ac:dyDescent="0.3">
      <c r="C484" t="str">
        <v>PR00916</v>
      </c>
      <c r="D484" t="str">
        <v>Inger</v>
      </c>
      <c r="E484" t="str">
        <v>Chapelhow</v>
      </c>
      <c r="F484" t="str">
        <v>Female</v>
      </c>
      <c r="G484" t="str">
        <v>Research and Development</v>
      </c>
      <c r="H484">
        <v>84309.95</v>
      </c>
      <c r="I484" t="str">
        <v>50k to 100k</v>
      </c>
      <c r="J484" s="9">
        <v>44501</v>
      </c>
      <c r="K484">
        <v>1</v>
      </c>
      <c r="L484" t="str">
        <v>Permanent</v>
      </c>
      <c r="M484" t="str">
        <v>Full time</v>
      </c>
      <c r="N484" t="str">
        <v>Remote</v>
      </c>
      <c r="O484">
        <v>1607</v>
      </c>
      <c r="P484">
        <v>4</v>
      </c>
    </row>
    <row r="485" spans="3:16" x14ac:dyDescent="0.3">
      <c r="C485" t="str">
        <v>VT01684</v>
      </c>
      <c r="D485" t="str">
        <v>Audry</v>
      </c>
      <c r="E485" t="str">
        <v>Yu</v>
      </c>
      <c r="F485" t="str">
        <v>Female</v>
      </c>
      <c r="G485" t="str">
        <v>Training</v>
      </c>
      <c r="H485">
        <v>101187.36</v>
      </c>
      <c r="I485" t="str">
        <v>Above 100k</v>
      </c>
      <c r="J485" s="9">
        <v>43258</v>
      </c>
      <c r="K485">
        <v>1</v>
      </c>
      <c r="L485" t="str">
        <v>Fixed Term</v>
      </c>
      <c r="M485" t="str">
        <v>Full time</v>
      </c>
      <c r="N485" t="str">
        <v>Columbus, USA</v>
      </c>
      <c r="O485">
        <v>2850</v>
      </c>
      <c r="P485">
        <v>8</v>
      </c>
    </row>
    <row r="486" spans="3:16" x14ac:dyDescent="0.3">
      <c r="C486" t="str">
        <v>TN04740</v>
      </c>
      <c r="D486" t="str">
        <v>Tristam</v>
      </c>
      <c r="E486" t="str">
        <v>Cuming</v>
      </c>
      <c r="F486" t="str">
        <v>Female</v>
      </c>
      <c r="G486" t="str">
        <v>Support</v>
      </c>
      <c r="H486">
        <v>104038.9</v>
      </c>
      <c r="I486" t="str">
        <v>Above 100k</v>
      </c>
      <c r="J486" s="9">
        <v>43815</v>
      </c>
      <c r="K486">
        <v>1</v>
      </c>
      <c r="L486" t="str">
        <v>Fixed Term</v>
      </c>
      <c r="M486" t="str">
        <v>Full time</v>
      </c>
      <c r="N486" t="str">
        <v>Remote</v>
      </c>
      <c r="O486">
        <v>2293</v>
      </c>
      <c r="P486">
        <v>6</v>
      </c>
    </row>
    <row r="487" spans="3:16" x14ac:dyDescent="0.3">
      <c r="C487" t="str">
        <v>TN03575</v>
      </c>
      <c r="D487" t="str">
        <v>Janina</v>
      </c>
      <c r="E487" t="str">
        <v>Wolverson</v>
      </c>
      <c r="F487" t="str">
        <v>Female</v>
      </c>
      <c r="G487" t="str">
        <v>Research and Development</v>
      </c>
      <c r="H487">
        <v>99683.67</v>
      </c>
      <c r="I487" t="str">
        <v>50k to 100k</v>
      </c>
      <c r="J487" s="9">
        <v>43500</v>
      </c>
      <c r="K487">
        <v>1</v>
      </c>
      <c r="L487" t="str">
        <v>Fixed Term</v>
      </c>
      <c r="M487" t="str">
        <v>Full time</v>
      </c>
      <c r="N487" t="str">
        <v>Seattle, USA</v>
      </c>
      <c r="O487">
        <v>2608</v>
      </c>
      <c r="P487">
        <v>7</v>
      </c>
    </row>
    <row r="488" spans="3:16" x14ac:dyDescent="0.3">
      <c r="C488" t="str">
        <v>PR00095</v>
      </c>
      <c r="D488" t="str">
        <v>Devrat</v>
      </c>
      <c r="E488" t="str">
        <v>Damarsingh</v>
      </c>
      <c r="F488" t="str">
        <v>Female</v>
      </c>
      <c r="G488" t="str">
        <v>Business Development</v>
      </c>
      <c r="H488">
        <v>70649.460000000006</v>
      </c>
      <c r="I488" t="str">
        <v>50k to 100k</v>
      </c>
      <c r="J488" s="9">
        <v>43843</v>
      </c>
      <c r="K488">
        <v>1</v>
      </c>
      <c r="L488" t="str">
        <v>Permanent</v>
      </c>
      <c r="M488" t="str">
        <v>Full time</v>
      </c>
      <c r="N488" t="str">
        <v>Hyderabad, India</v>
      </c>
      <c r="O488">
        <v>2265</v>
      </c>
      <c r="P488">
        <v>6</v>
      </c>
    </row>
    <row r="489" spans="3:16" x14ac:dyDescent="0.3">
      <c r="C489" t="str">
        <v>SQ03546</v>
      </c>
      <c r="D489" t="str">
        <v>Amlankusum</v>
      </c>
      <c r="E489" t="str">
        <v>Rajabhushan</v>
      </c>
      <c r="F489" t="str">
        <v>Female</v>
      </c>
      <c r="G489" t="str">
        <v>Legal</v>
      </c>
      <c r="H489">
        <v>75733.740000000005</v>
      </c>
      <c r="I489" t="str">
        <v>50k to 100k</v>
      </c>
      <c r="J489" s="9">
        <v>44382</v>
      </c>
      <c r="K489">
        <v>1</v>
      </c>
      <c r="L489" t="str">
        <v>Permanent</v>
      </c>
      <c r="M489" t="str">
        <v>Full time</v>
      </c>
      <c r="N489" t="str">
        <v>Hyderabad, India</v>
      </c>
      <c r="O489">
        <v>1726</v>
      </c>
      <c r="P489">
        <v>5</v>
      </c>
    </row>
    <row r="490" spans="3:16" x14ac:dyDescent="0.3">
      <c r="C490" t="str">
        <v>VT02374</v>
      </c>
      <c r="D490" t="str">
        <v>Delphine</v>
      </c>
      <c r="E490" t="str">
        <v>Jewis</v>
      </c>
      <c r="F490" t="str">
        <v>Female</v>
      </c>
      <c r="G490" t="str">
        <v>Accounting</v>
      </c>
      <c r="H490">
        <v>71823.56</v>
      </c>
      <c r="I490" t="str">
        <v>50k to 100k</v>
      </c>
      <c r="J490" s="9">
        <v>43374</v>
      </c>
      <c r="K490">
        <v>0.3</v>
      </c>
      <c r="L490" t="str">
        <v>Temporary</v>
      </c>
      <c r="M490" t="str">
        <v>Part time</v>
      </c>
      <c r="N490" t="str">
        <v>Remote</v>
      </c>
      <c r="O490">
        <v>2734</v>
      </c>
      <c r="P490">
        <v>7</v>
      </c>
    </row>
    <row r="491" spans="3:16" x14ac:dyDescent="0.3">
      <c r="C491" t="str">
        <v>SQ00450</v>
      </c>
      <c r="D491" t="str">
        <v>Louise</v>
      </c>
      <c r="E491" t="str">
        <v>Lamming</v>
      </c>
      <c r="F491" t="str">
        <v>Female</v>
      </c>
      <c r="G491" t="str">
        <v>Sales</v>
      </c>
      <c r="H491">
        <v>41934.71</v>
      </c>
      <c r="I491" t="str">
        <v>under 50k</v>
      </c>
      <c r="J491" s="9">
        <v>43943</v>
      </c>
      <c r="K491">
        <v>1</v>
      </c>
      <c r="L491" t="str">
        <v>Permanent</v>
      </c>
      <c r="M491" t="str">
        <v>Full time</v>
      </c>
      <c r="N491" t="str">
        <v>Remote</v>
      </c>
      <c r="O491">
        <v>2165</v>
      </c>
      <c r="P491">
        <v>6</v>
      </c>
    </row>
    <row r="492" spans="3:16" x14ac:dyDescent="0.3">
      <c r="C492" t="str">
        <v>SQ02223</v>
      </c>
      <c r="D492" t="str">
        <v>Pippy</v>
      </c>
      <c r="E492" t="str">
        <v>Shepperd</v>
      </c>
      <c r="F492" t="str">
        <v>Female</v>
      </c>
      <c r="G492" t="str">
        <v>Accounting</v>
      </c>
      <c r="H492">
        <v>44845.33</v>
      </c>
      <c r="I492" t="str">
        <v>under 50k</v>
      </c>
      <c r="J492" s="9">
        <v>43277</v>
      </c>
      <c r="K492">
        <v>1</v>
      </c>
      <c r="L492" t="str">
        <v>Permanent</v>
      </c>
      <c r="M492" t="str">
        <v>Full time</v>
      </c>
      <c r="N492" t="str">
        <v>Seattle, USA</v>
      </c>
      <c r="O492">
        <v>2831</v>
      </c>
      <c r="P492">
        <v>8</v>
      </c>
    </row>
    <row r="493" spans="3:16" x14ac:dyDescent="0.3">
      <c r="C493" t="str">
        <v>SQ00498</v>
      </c>
      <c r="D493" t="str">
        <v>Amery</v>
      </c>
      <c r="E493" t="str">
        <v>Ofer</v>
      </c>
      <c r="F493" t="str">
        <v>Female</v>
      </c>
      <c r="G493" t="str">
        <v>Legal</v>
      </c>
      <c r="H493">
        <v>111049.84</v>
      </c>
      <c r="I493" t="str">
        <v>Above 100k</v>
      </c>
      <c r="J493" s="9">
        <v>44393</v>
      </c>
      <c r="K493">
        <v>1</v>
      </c>
      <c r="L493" t="str">
        <v>Permanent</v>
      </c>
      <c r="M493" t="str">
        <v>Full time</v>
      </c>
      <c r="N493" t="str">
        <v>Wellington, New Zealand</v>
      </c>
      <c r="O493">
        <v>1715</v>
      </c>
      <c r="P493">
        <v>5</v>
      </c>
    </row>
    <row r="494" spans="3:16" x14ac:dyDescent="0.3">
      <c r="C494" t="str">
        <v>PR02113</v>
      </c>
      <c r="D494" t="str">
        <v>Beverie</v>
      </c>
      <c r="E494" t="str">
        <v>Moffet</v>
      </c>
      <c r="F494" t="str">
        <v>Female</v>
      </c>
      <c r="G494" t="str">
        <v>Support</v>
      </c>
      <c r="H494">
        <v>75974.990000000005</v>
      </c>
      <c r="I494" t="str">
        <v>50k to 100k</v>
      </c>
      <c r="J494" s="9">
        <v>44172</v>
      </c>
      <c r="K494">
        <v>1</v>
      </c>
      <c r="L494" t="str">
        <v>Permanent</v>
      </c>
      <c r="M494" t="str">
        <v>Full time</v>
      </c>
      <c r="N494" t="str">
        <v>Remote</v>
      </c>
      <c r="O494">
        <v>1936</v>
      </c>
      <c r="P494">
        <v>5</v>
      </c>
    </row>
    <row r="495" spans="3:16" x14ac:dyDescent="0.3">
      <c r="C495" t="str">
        <v>TN00727</v>
      </c>
      <c r="D495" t="str">
        <v>Dulsea</v>
      </c>
      <c r="E495" t="str">
        <v>Folkes</v>
      </c>
      <c r="F495" t="str">
        <v>Female</v>
      </c>
      <c r="G495" t="str">
        <v>Services</v>
      </c>
      <c r="H495">
        <v>42161.77</v>
      </c>
      <c r="I495" t="str">
        <v>under 50k</v>
      </c>
      <c r="J495" s="9">
        <v>43494</v>
      </c>
      <c r="K495">
        <v>1</v>
      </c>
      <c r="L495" t="str">
        <v>Permanent</v>
      </c>
      <c r="M495" t="str">
        <v>Full time</v>
      </c>
      <c r="N495" t="str">
        <v>Auckland, New Zealand</v>
      </c>
      <c r="O495">
        <v>2614</v>
      </c>
      <c r="P495">
        <v>7</v>
      </c>
    </row>
    <row r="496" spans="3:16" x14ac:dyDescent="0.3">
      <c r="C496" t="str">
        <v>SQ03321</v>
      </c>
      <c r="D496" t="str">
        <v>Gradey</v>
      </c>
      <c r="E496" t="str">
        <v>Litton</v>
      </c>
      <c r="F496" t="str">
        <v>Female</v>
      </c>
      <c r="G496" t="str">
        <v>Accounting</v>
      </c>
      <c r="H496">
        <v>68887.839999999997</v>
      </c>
      <c r="I496" t="str">
        <v>50k to 100k</v>
      </c>
      <c r="J496" s="9">
        <v>43297</v>
      </c>
      <c r="K496">
        <v>1</v>
      </c>
      <c r="L496" t="str">
        <v>Permanent</v>
      </c>
      <c r="M496" t="str">
        <v>Full time</v>
      </c>
      <c r="N496" t="str">
        <v>Remote</v>
      </c>
      <c r="O496">
        <v>2811</v>
      </c>
      <c r="P496">
        <v>8</v>
      </c>
    </row>
    <row r="497" spans="3:16" x14ac:dyDescent="0.3">
      <c r="C497" t="str">
        <v>SQ00841</v>
      </c>
      <c r="D497" t="str">
        <v>Bhuvan</v>
      </c>
      <c r="E497" t="str">
        <v>Pals</v>
      </c>
      <c r="F497" t="str">
        <v>Female</v>
      </c>
      <c r="G497" t="str">
        <v>Services</v>
      </c>
      <c r="H497">
        <v>89690.38</v>
      </c>
      <c r="I497" t="str">
        <v>50k to 100k</v>
      </c>
      <c r="J497" s="9">
        <v>43213</v>
      </c>
      <c r="K497">
        <v>1</v>
      </c>
      <c r="L497" t="str">
        <v>Permanent</v>
      </c>
      <c r="M497" t="str">
        <v>Full time</v>
      </c>
      <c r="N497" t="str">
        <v>Hyderabad, India</v>
      </c>
      <c r="O497">
        <v>2895</v>
      </c>
      <c r="P497">
        <v>8</v>
      </c>
    </row>
    <row r="498" spans="3:16" x14ac:dyDescent="0.3">
      <c r="C498" t="str">
        <v>VT03701</v>
      </c>
      <c r="D498" t="str">
        <v>Narois</v>
      </c>
      <c r="E498" t="str">
        <v>Motiwala</v>
      </c>
      <c r="F498" t="str">
        <v>Female</v>
      </c>
      <c r="G498" t="str">
        <v>Product Management</v>
      </c>
      <c r="H498">
        <v>89829.33</v>
      </c>
      <c r="I498" t="str">
        <v>50k to 100k</v>
      </c>
      <c r="J498" s="9">
        <v>43794</v>
      </c>
      <c r="K498">
        <v>1</v>
      </c>
      <c r="L498" t="str">
        <v>Temporary</v>
      </c>
      <c r="M498" t="str">
        <v>Full time</v>
      </c>
      <c r="N498" t="str">
        <v>Chennai, India</v>
      </c>
      <c r="O498">
        <v>2314</v>
      </c>
      <c r="P498">
        <v>6</v>
      </c>
    </row>
    <row r="499" spans="3:16" x14ac:dyDescent="0.3">
      <c r="C499" t="str">
        <v>VT02374</v>
      </c>
      <c r="D499" t="str">
        <v>Delphine</v>
      </c>
      <c r="E499" t="str">
        <v>Jewis</v>
      </c>
      <c r="F499" t="str">
        <v>Female</v>
      </c>
      <c r="G499" t="str">
        <v>Accounting</v>
      </c>
      <c r="H499">
        <v>71823.56</v>
      </c>
      <c r="I499" t="str">
        <v>50k to 100k</v>
      </c>
      <c r="J499" s="9">
        <v>43374</v>
      </c>
      <c r="K499">
        <v>0.3</v>
      </c>
      <c r="L499" t="str">
        <v>Temporary</v>
      </c>
      <c r="M499" t="str">
        <v>Part time</v>
      </c>
      <c r="N499" t="str">
        <v>Remote</v>
      </c>
      <c r="O499">
        <v>2734</v>
      </c>
      <c r="P499">
        <v>7</v>
      </c>
    </row>
    <row r="500" spans="3:16" x14ac:dyDescent="0.3">
      <c r="C500" t="str">
        <v>SQ03626</v>
      </c>
      <c r="D500" t="str">
        <v>Krishnakanta</v>
      </c>
      <c r="E500" t="str">
        <v>Vellanki</v>
      </c>
      <c r="F500" t="str">
        <v>Female</v>
      </c>
      <c r="G500" t="str">
        <v>Training</v>
      </c>
      <c r="H500">
        <v>95677.9</v>
      </c>
      <c r="I500" t="str">
        <v>50k to 100k</v>
      </c>
      <c r="J500" s="9">
        <v>44396</v>
      </c>
      <c r="K500">
        <v>0.3</v>
      </c>
      <c r="L500" t="str">
        <v>Permanent</v>
      </c>
      <c r="M500" t="str">
        <v>Part time</v>
      </c>
      <c r="N500" t="str">
        <v>Chennai, India</v>
      </c>
      <c r="O500">
        <v>1712</v>
      </c>
      <c r="P500">
        <v>5</v>
      </c>
    </row>
    <row r="501" spans="3:16" x14ac:dyDescent="0.3">
      <c r="C501" t="str">
        <v>VT01610</v>
      </c>
      <c r="D501" t="str">
        <v>Dhruv</v>
      </c>
      <c r="E501" t="str">
        <v>Manjunath</v>
      </c>
      <c r="F501" t="str">
        <v>Female</v>
      </c>
      <c r="G501" t="str">
        <v>Accounting</v>
      </c>
      <c r="H501">
        <v>76303.820000000007</v>
      </c>
      <c r="I501" t="str">
        <v>50k to 100k</v>
      </c>
      <c r="J501" s="9">
        <v>43458</v>
      </c>
      <c r="K501">
        <v>1</v>
      </c>
      <c r="L501" t="str">
        <v>Fixed Term</v>
      </c>
      <c r="M501" t="str">
        <v>Full time</v>
      </c>
      <c r="N501" t="str">
        <v>Hyderabad, India</v>
      </c>
      <c r="O501">
        <v>2650</v>
      </c>
      <c r="P501">
        <v>7</v>
      </c>
    </row>
    <row r="502" spans="3:16" x14ac:dyDescent="0.3">
      <c r="C502" t="str">
        <v>TN00698</v>
      </c>
      <c r="D502" t="str">
        <v>Barbara-anne</v>
      </c>
      <c r="E502" t="str">
        <v>Kenchington</v>
      </c>
      <c r="F502" t="str">
        <v>Female</v>
      </c>
      <c r="G502" t="str">
        <v>Support</v>
      </c>
      <c r="H502">
        <v>88034.67</v>
      </c>
      <c r="I502" t="str">
        <v>50k to 100k</v>
      </c>
      <c r="J502" s="9">
        <v>43669</v>
      </c>
      <c r="K502">
        <v>1</v>
      </c>
      <c r="L502" t="str">
        <v>Permanent</v>
      </c>
      <c r="M502" t="str">
        <v>Full time</v>
      </c>
      <c r="N502" t="str">
        <v>Remote</v>
      </c>
      <c r="O502">
        <v>2439</v>
      </c>
      <c r="P502">
        <v>7</v>
      </c>
    </row>
    <row r="503" spans="3:16" x14ac:dyDescent="0.3">
      <c r="C503" t="str">
        <v>SQ00960</v>
      </c>
      <c r="D503" t="str">
        <v>Calvin</v>
      </c>
      <c r="E503" t="str">
        <v>O'Carroll</v>
      </c>
      <c r="F503" t="str">
        <v>Female</v>
      </c>
      <c r="G503" t="str">
        <v>Research and Development</v>
      </c>
      <c r="H503">
        <v>44447.26</v>
      </c>
      <c r="I503" t="str">
        <v>under 50k</v>
      </c>
      <c r="J503" s="9">
        <v>43846</v>
      </c>
      <c r="K503">
        <v>0.4</v>
      </c>
      <c r="L503" t="str">
        <v>Permanent</v>
      </c>
      <c r="M503" t="str">
        <v>Part time</v>
      </c>
      <c r="N503" t="str">
        <v>Seattle, USA</v>
      </c>
      <c r="O503">
        <v>2262</v>
      </c>
      <c r="P503">
        <v>6</v>
      </c>
    </row>
    <row r="504" spans="3:16" x14ac:dyDescent="0.3">
      <c r="C504" t="str">
        <v>PR04446</v>
      </c>
      <c r="D504" t="str">
        <v>Sameer</v>
      </c>
      <c r="E504" t="str">
        <v>Shashank</v>
      </c>
      <c r="F504" t="str">
        <v>Female</v>
      </c>
      <c r="G504" t="str">
        <v>Research and Development</v>
      </c>
      <c r="H504">
        <v>92336.08</v>
      </c>
      <c r="I504" t="str">
        <v>50k to 100k</v>
      </c>
      <c r="J504" s="9">
        <v>44431</v>
      </c>
      <c r="K504">
        <v>1</v>
      </c>
      <c r="L504" t="str">
        <v>Permanent</v>
      </c>
      <c r="M504" t="str">
        <v>Full time</v>
      </c>
      <c r="N504" t="str">
        <v>Hyderabad, India</v>
      </c>
      <c r="O504">
        <v>1677</v>
      </c>
      <c r="P504">
        <v>5</v>
      </c>
    </row>
    <row r="505" spans="3:16" x14ac:dyDescent="0.3">
      <c r="C505" t="str">
        <v>SQ01283</v>
      </c>
      <c r="D505" t="str">
        <v>Barr</v>
      </c>
      <c r="E505" t="str">
        <v>Faughny</v>
      </c>
      <c r="F505" t="str">
        <v>Female</v>
      </c>
      <c r="G505" t="str">
        <v>Marketing</v>
      </c>
      <c r="H505">
        <v>68008.55</v>
      </c>
      <c r="I505" t="str">
        <v>50k to 100k</v>
      </c>
      <c r="J505" s="9">
        <v>44062</v>
      </c>
      <c r="K505">
        <v>1</v>
      </c>
      <c r="L505" t="str">
        <v>Permanent</v>
      </c>
      <c r="M505" t="str">
        <v>Full time</v>
      </c>
      <c r="N505" t="str">
        <v>Auckland, New Zealand</v>
      </c>
      <c r="O505">
        <v>2046</v>
      </c>
      <c r="P505">
        <v>6</v>
      </c>
    </row>
    <row r="506" spans="3:16" x14ac:dyDescent="0.3">
      <c r="C506" t="str">
        <v>VT02319</v>
      </c>
      <c r="D506" t="str">
        <v>Tarala</v>
      </c>
      <c r="E506" t="str">
        <v>Vishaal</v>
      </c>
      <c r="F506" t="str">
        <v>Female</v>
      </c>
      <c r="G506" t="str">
        <v>Research and Development</v>
      </c>
      <c r="H506">
        <v>96555.53</v>
      </c>
      <c r="I506" t="str">
        <v>50k to 100k</v>
      </c>
      <c r="J506" s="9">
        <v>43489</v>
      </c>
      <c r="K506">
        <v>0.2</v>
      </c>
      <c r="L506" t="str">
        <v>Temporary</v>
      </c>
      <c r="M506" t="str">
        <v>Part time</v>
      </c>
      <c r="N506" t="str">
        <v>Hyderabad, India</v>
      </c>
      <c r="O506">
        <v>2619</v>
      </c>
      <c r="P506">
        <v>7</v>
      </c>
    </row>
    <row r="507" spans="3:16" x14ac:dyDescent="0.3">
      <c r="C507" t="str">
        <v>SQ04960</v>
      </c>
      <c r="D507" t="str">
        <v>Shubhra</v>
      </c>
      <c r="E507" t="str">
        <v>Potla</v>
      </c>
      <c r="F507" t="str">
        <v>Female</v>
      </c>
      <c r="G507" t="str">
        <v>Support</v>
      </c>
      <c r="H507">
        <v>71924.850000000006</v>
      </c>
      <c r="I507" t="str">
        <v>50k to 100k</v>
      </c>
      <c r="J507" s="9">
        <v>43822</v>
      </c>
      <c r="K507">
        <v>1</v>
      </c>
      <c r="L507" t="str">
        <v>Permanent</v>
      </c>
      <c r="M507" t="str">
        <v>Full time</v>
      </c>
      <c r="N507" t="str">
        <v>Chennai, India</v>
      </c>
      <c r="O507">
        <v>2286</v>
      </c>
      <c r="P507">
        <v>6</v>
      </c>
    </row>
    <row r="508" spans="3:16" x14ac:dyDescent="0.3">
      <c r="C508" t="str">
        <v>TN00214</v>
      </c>
      <c r="D508" t="str">
        <v>Hemavati</v>
      </c>
      <c r="E508" t="str">
        <v>Muthiah</v>
      </c>
      <c r="F508" t="str">
        <v>Female</v>
      </c>
      <c r="G508" t="str">
        <v>Training</v>
      </c>
      <c r="H508">
        <v>37902.35</v>
      </c>
      <c r="I508" t="str">
        <v>under 50k</v>
      </c>
      <c r="J508" s="9">
        <v>43823</v>
      </c>
      <c r="K508">
        <v>1</v>
      </c>
      <c r="L508" t="str">
        <v>Permanent</v>
      </c>
      <c r="M508" t="str">
        <v>Full time</v>
      </c>
      <c r="N508" t="str">
        <v>Chennai, India</v>
      </c>
      <c r="O508">
        <v>2285</v>
      </c>
      <c r="P508">
        <v>6</v>
      </c>
    </row>
    <row r="509" spans="3:16" x14ac:dyDescent="0.3">
      <c r="C509" t="str">
        <v>TN02798</v>
      </c>
      <c r="D509" t="str">
        <v>Krittika</v>
      </c>
      <c r="E509" t="str">
        <v>Gaekwad</v>
      </c>
      <c r="F509" t="str">
        <v>Female</v>
      </c>
      <c r="G509" t="str">
        <v>Business Development</v>
      </c>
      <c r="H509">
        <v>33031.26</v>
      </c>
      <c r="I509" t="str">
        <v>under 50k</v>
      </c>
      <c r="J509" s="9">
        <v>43468</v>
      </c>
      <c r="K509">
        <v>0.4</v>
      </c>
      <c r="L509" t="str">
        <v>Permanent</v>
      </c>
      <c r="M509" t="str">
        <v>Part time</v>
      </c>
      <c r="N509" t="str">
        <v>Hyderabad, India</v>
      </c>
      <c r="O509">
        <v>2640</v>
      </c>
      <c r="P509">
        <v>7</v>
      </c>
    </row>
    <row r="510" spans="3:16" x14ac:dyDescent="0.3">
      <c r="C510" t="str">
        <v>VT02532</v>
      </c>
      <c r="D510" t="str">
        <v>Adey</v>
      </c>
      <c r="E510" t="str">
        <v>Ryal</v>
      </c>
      <c r="F510" t="str">
        <v>Female</v>
      </c>
      <c r="G510" t="str">
        <v>Legal</v>
      </c>
      <c r="H510">
        <v>32496.880000000001</v>
      </c>
      <c r="I510" t="str">
        <v>under 50k</v>
      </c>
      <c r="J510" s="9">
        <v>43234</v>
      </c>
      <c r="K510">
        <v>1</v>
      </c>
      <c r="L510" t="str">
        <v>Temporary</v>
      </c>
      <c r="M510" t="str">
        <v>Full time</v>
      </c>
      <c r="N510" t="str">
        <v>Remote</v>
      </c>
      <c r="O510">
        <v>2874</v>
      </c>
      <c r="P510">
        <v>8</v>
      </c>
    </row>
    <row r="511" spans="3:16" x14ac:dyDescent="0.3">
      <c r="C511" t="str">
        <v>PR02321</v>
      </c>
      <c r="D511" t="str">
        <v>Evanne</v>
      </c>
      <c r="E511" t="str">
        <v>Sheryn</v>
      </c>
      <c r="F511" t="str">
        <v>Female</v>
      </c>
      <c r="G511" t="str">
        <v>Services</v>
      </c>
      <c r="H511">
        <v>81897.789999999994</v>
      </c>
      <c r="I511" t="str">
        <v>50k to 100k</v>
      </c>
      <c r="J511" s="9">
        <v>43146</v>
      </c>
      <c r="K511">
        <v>1</v>
      </c>
      <c r="L511" t="str">
        <v>Permanent</v>
      </c>
      <c r="M511" t="str">
        <v>Full time</v>
      </c>
      <c r="N511" t="str">
        <v>Auckland, New Zealand</v>
      </c>
      <c r="O511">
        <v>2962</v>
      </c>
      <c r="P511">
        <v>8</v>
      </c>
    </row>
    <row r="512" spans="3:16" x14ac:dyDescent="0.3">
      <c r="C512" t="str">
        <v>VT04552</v>
      </c>
      <c r="D512" t="str">
        <v>Theresita</v>
      </c>
      <c r="E512" t="str">
        <v>Chasmer</v>
      </c>
      <c r="F512" t="str">
        <v>Female</v>
      </c>
      <c r="G512" t="str">
        <v>Product Management</v>
      </c>
      <c r="H512">
        <v>106665.67</v>
      </c>
      <c r="I512" t="str">
        <v>Above 100k</v>
      </c>
      <c r="J512" s="9">
        <v>43311</v>
      </c>
      <c r="K512">
        <v>1</v>
      </c>
      <c r="L512" t="str">
        <v>Temporary</v>
      </c>
      <c r="M512" t="str">
        <v>Full time</v>
      </c>
      <c r="N512" t="str">
        <v>Columbus, USA</v>
      </c>
      <c r="O512">
        <v>2797</v>
      </c>
      <c r="P512">
        <v>8</v>
      </c>
    </row>
    <row r="513" spans="3:16" x14ac:dyDescent="0.3">
      <c r="C513" t="str">
        <v>PR03271</v>
      </c>
      <c r="D513" t="str">
        <v>Stan</v>
      </c>
      <c r="E513" t="str">
        <v>Tolliday</v>
      </c>
      <c r="F513" t="str">
        <v>Female</v>
      </c>
      <c r="G513" t="str">
        <v>Sales</v>
      </c>
      <c r="H513">
        <v>39535.49</v>
      </c>
      <c r="I513" t="str">
        <v>under 50k</v>
      </c>
      <c r="J513" s="9">
        <v>43397</v>
      </c>
      <c r="K513">
        <v>0.3</v>
      </c>
      <c r="L513" t="str">
        <v>Permanent</v>
      </c>
      <c r="M513" t="str">
        <v>Part time</v>
      </c>
      <c r="N513" t="str">
        <v>Remote</v>
      </c>
      <c r="O513">
        <v>2711</v>
      </c>
      <c r="P513">
        <v>7</v>
      </c>
    </row>
    <row r="514" spans="3:16" x14ac:dyDescent="0.3">
      <c r="C514" t="str">
        <v>VT00596</v>
      </c>
      <c r="D514" t="str">
        <v>Letisha</v>
      </c>
      <c r="E514" t="str">
        <v>Carrett</v>
      </c>
      <c r="F514" t="str">
        <v>Female</v>
      </c>
      <c r="G514" t="str">
        <v>Sales</v>
      </c>
      <c r="H514">
        <v>84598.88</v>
      </c>
      <c r="I514" t="str">
        <v>50k to 100k</v>
      </c>
      <c r="J514" s="9">
        <v>44116</v>
      </c>
      <c r="K514">
        <v>1</v>
      </c>
      <c r="L514" t="str">
        <v>Fixed Term</v>
      </c>
      <c r="M514" t="str">
        <v>Full time</v>
      </c>
      <c r="N514" t="str">
        <v>Seattle, USA</v>
      </c>
      <c r="O514">
        <v>1992</v>
      </c>
      <c r="P514">
        <v>5</v>
      </c>
    </row>
    <row r="515" spans="3:16" x14ac:dyDescent="0.3">
      <c r="C515" t="str">
        <v>TN00083</v>
      </c>
      <c r="D515" t="str">
        <v>Chandana</v>
      </c>
      <c r="E515" t="str">
        <v>Sannidhi</v>
      </c>
      <c r="F515" t="str">
        <v>Female</v>
      </c>
      <c r="G515" t="str">
        <v>Business Development</v>
      </c>
      <c r="H515">
        <v>61688.77</v>
      </c>
      <c r="I515" t="str">
        <v>50k to 100k</v>
      </c>
      <c r="J515" s="9">
        <v>43346</v>
      </c>
      <c r="K515">
        <v>0.9</v>
      </c>
      <c r="L515" t="str">
        <v>Permanent</v>
      </c>
      <c r="M515" t="str">
        <v>Part time</v>
      </c>
      <c r="N515" t="str">
        <v>Chennai, India</v>
      </c>
      <c r="O515">
        <v>2762</v>
      </c>
      <c r="P515">
        <v>8</v>
      </c>
    </row>
    <row r="516" spans="3:16" x14ac:dyDescent="0.3">
      <c r="C516" t="str">
        <v>SQ02643</v>
      </c>
      <c r="D516" t="str">
        <v>Indu</v>
      </c>
      <c r="E516" t="str">
        <v>Varada</v>
      </c>
      <c r="F516" t="str">
        <v>Female</v>
      </c>
      <c r="G516" t="str">
        <v>Engineering</v>
      </c>
      <c r="H516">
        <v>88425.08</v>
      </c>
      <c r="I516" t="str">
        <v>50k to 100k</v>
      </c>
      <c r="J516" s="9">
        <v>43662</v>
      </c>
      <c r="K516">
        <v>1</v>
      </c>
      <c r="L516" t="str">
        <v>Permanent</v>
      </c>
      <c r="M516" t="str">
        <v>Full time</v>
      </c>
      <c r="N516" t="str">
        <v>Hyderabad, India</v>
      </c>
      <c r="O516">
        <v>2446</v>
      </c>
      <c r="P516">
        <v>7</v>
      </c>
    </row>
    <row r="517" spans="3:16" x14ac:dyDescent="0.3">
      <c r="C517" t="str">
        <v>SQ00914</v>
      </c>
      <c r="D517" t="str">
        <v>Karuna</v>
      </c>
      <c r="E517" t="str">
        <v>Pashupathy</v>
      </c>
      <c r="F517" t="str">
        <v>Female</v>
      </c>
      <c r="G517" t="str">
        <v>Product Management</v>
      </c>
      <c r="H517">
        <v>38438.239999999998</v>
      </c>
      <c r="I517" t="str">
        <v>under 50k</v>
      </c>
      <c r="J517" s="9">
        <v>43962</v>
      </c>
      <c r="K517">
        <v>1</v>
      </c>
      <c r="L517" t="str">
        <v>Permanent</v>
      </c>
      <c r="M517" t="str">
        <v>Full time</v>
      </c>
      <c r="N517" t="str">
        <v>Chennai, India</v>
      </c>
      <c r="O517">
        <v>2146</v>
      </c>
      <c r="P517">
        <v>6</v>
      </c>
    </row>
    <row r="518" spans="3:16" x14ac:dyDescent="0.3">
      <c r="C518" t="str">
        <v>TN02727</v>
      </c>
      <c r="D518" t="str">
        <v>Wald</v>
      </c>
      <c r="E518" t="str">
        <v>Bountiff</v>
      </c>
      <c r="F518" t="str">
        <v>Female</v>
      </c>
      <c r="G518" t="str">
        <v>Support</v>
      </c>
      <c r="H518">
        <v>28974.03</v>
      </c>
      <c r="I518" t="str">
        <v>under 50k</v>
      </c>
      <c r="J518" s="9">
        <v>43733</v>
      </c>
      <c r="K518">
        <v>1</v>
      </c>
      <c r="L518" t="str">
        <v>Permanent</v>
      </c>
      <c r="M518" t="str">
        <v>Full time</v>
      </c>
      <c r="N518" t="str">
        <v>Auckland, New Zealand</v>
      </c>
      <c r="O518">
        <v>2375</v>
      </c>
      <c r="P518">
        <v>7</v>
      </c>
    </row>
    <row r="519" spans="3:16" x14ac:dyDescent="0.3">
      <c r="C519" t="str">
        <v>VT01323</v>
      </c>
      <c r="D519" t="str">
        <v>Mardav</v>
      </c>
      <c r="E519" t="str">
        <v>Ramaswami</v>
      </c>
      <c r="F519" t="str">
        <v>Female</v>
      </c>
      <c r="G519" t="str">
        <v>Business Development</v>
      </c>
      <c r="H519">
        <v>86233.83</v>
      </c>
      <c r="I519" t="str">
        <v>50k to 100k</v>
      </c>
      <c r="J519" s="9">
        <v>43706</v>
      </c>
      <c r="K519">
        <v>1</v>
      </c>
      <c r="L519" t="str">
        <v>Fixed Term</v>
      </c>
      <c r="M519" t="str">
        <v>Full time</v>
      </c>
      <c r="N519" t="str">
        <v>Chennai, India</v>
      </c>
      <c r="O519">
        <v>2402</v>
      </c>
      <c r="P519">
        <v>7</v>
      </c>
    </row>
    <row r="520" spans="3:16" x14ac:dyDescent="0.3">
      <c r="C520" t="str">
        <v>SQ03350</v>
      </c>
      <c r="D520" t="str">
        <v>Felice</v>
      </c>
      <c r="E520" t="str">
        <v>McMurty</v>
      </c>
      <c r="F520" t="str">
        <v>Female</v>
      </c>
      <c r="G520" t="str">
        <v>Product Management</v>
      </c>
      <c r="H520">
        <v>66865.490000000005</v>
      </c>
      <c r="I520" t="str">
        <v>50k to 100k</v>
      </c>
      <c r="J520" s="9">
        <v>43514</v>
      </c>
      <c r="K520">
        <v>1</v>
      </c>
      <c r="L520" t="str">
        <v>Permanent</v>
      </c>
      <c r="M520" t="str">
        <v>Full time</v>
      </c>
      <c r="N520" t="str">
        <v>Seattle, USA</v>
      </c>
      <c r="O520">
        <v>2594</v>
      </c>
      <c r="P520">
        <v>7</v>
      </c>
    </row>
    <row r="521" spans="3:16" x14ac:dyDescent="0.3">
      <c r="C521" t="str">
        <v>PR00746</v>
      </c>
      <c r="D521" t="str">
        <v>Hogan</v>
      </c>
      <c r="E521" t="str">
        <v>Iles</v>
      </c>
      <c r="F521" t="str">
        <v>Female</v>
      </c>
      <c r="G521" t="str">
        <v>Accounting</v>
      </c>
      <c r="H521">
        <v>114177.23</v>
      </c>
      <c r="I521" t="str">
        <v>Above 100k</v>
      </c>
      <c r="J521" s="9">
        <v>43908</v>
      </c>
      <c r="K521">
        <v>1</v>
      </c>
      <c r="L521" t="str">
        <v>Permanent</v>
      </c>
      <c r="M521" t="str">
        <v>Full time</v>
      </c>
      <c r="N521" t="str">
        <v>Wellington, New Zealand</v>
      </c>
      <c r="O521">
        <v>2200</v>
      </c>
      <c r="P521">
        <v>6</v>
      </c>
    </row>
    <row r="522" spans="3:16" x14ac:dyDescent="0.3">
      <c r="C522" t="str">
        <v>SQ03387</v>
      </c>
      <c r="D522" t="str">
        <v>Robinia</v>
      </c>
      <c r="E522" t="str">
        <v>Scholling</v>
      </c>
      <c r="F522" t="str">
        <v>Female</v>
      </c>
      <c r="G522" t="str">
        <v>Human Resources</v>
      </c>
      <c r="H522">
        <v>100731.95</v>
      </c>
      <c r="I522" t="str">
        <v>Above 100k</v>
      </c>
      <c r="J522" s="9">
        <v>43936</v>
      </c>
      <c r="K522">
        <v>1</v>
      </c>
      <c r="L522" t="str">
        <v>Permanent</v>
      </c>
      <c r="M522" t="str">
        <v>Full time</v>
      </c>
      <c r="N522" t="str">
        <v>Auckland, New Zealand</v>
      </c>
      <c r="O522">
        <v>2172</v>
      </c>
      <c r="P522">
        <v>6</v>
      </c>
    </row>
    <row r="523" spans="3:16" x14ac:dyDescent="0.3">
      <c r="C523" t="str">
        <v>SQ00105</v>
      </c>
      <c r="D523" t="str">
        <v>Sarayu</v>
      </c>
      <c r="E523" t="str">
        <v>Ragunathan</v>
      </c>
      <c r="F523" t="str">
        <v>Female</v>
      </c>
      <c r="G523" t="str">
        <v>Training</v>
      </c>
      <c r="H523">
        <v>86010.54</v>
      </c>
      <c r="I523" t="str">
        <v>50k to 100k</v>
      </c>
      <c r="J523" s="9">
        <v>43164</v>
      </c>
      <c r="K523">
        <v>1</v>
      </c>
      <c r="L523" t="str">
        <v>Permanent</v>
      </c>
      <c r="M523" t="str">
        <v>Full time</v>
      </c>
      <c r="N523" t="str">
        <v>Chennai, India</v>
      </c>
      <c r="O523">
        <v>2944</v>
      </c>
      <c r="P523">
        <v>8</v>
      </c>
    </row>
    <row r="524" spans="3:16" x14ac:dyDescent="0.3">
      <c r="C524" t="str">
        <v>SQ02703</v>
      </c>
      <c r="D524" t="str">
        <v>Deepit</v>
      </c>
      <c r="E524" t="str">
        <v>Ranjana</v>
      </c>
      <c r="F524" t="str">
        <v>Female</v>
      </c>
      <c r="G524" t="str">
        <v>Marketing</v>
      </c>
      <c r="H524">
        <v>104903.79</v>
      </c>
      <c r="I524" t="str">
        <v>Above 100k</v>
      </c>
      <c r="J524" s="9">
        <v>43649</v>
      </c>
      <c r="K524">
        <v>1</v>
      </c>
      <c r="L524" t="str">
        <v>Permanent</v>
      </c>
      <c r="M524" t="str">
        <v>Full time</v>
      </c>
      <c r="N524" t="str">
        <v>Chennai, India</v>
      </c>
      <c r="O524">
        <v>2459</v>
      </c>
      <c r="P524">
        <v>7</v>
      </c>
    </row>
    <row r="525" spans="3:16" x14ac:dyDescent="0.3">
      <c r="C525" t="str">
        <v>SQ03024</v>
      </c>
      <c r="D525" t="str">
        <v>Inge</v>
      </c>
      <c r="E525" t="str">
        <v>Creer</v>
      </c>
      <c r="F525" t="str">
        <v>Female</v>
      </c>
      <c r="G525" t="str">
        <v>Services</v>
      </c>
      <c r="H525">
        <v>69057.320000000007</v>
      </c>
      <c r="I525" t="str">
        <v>50k to 100k</v>
      </c>
      <c r="J525" s="9">
        <v>43390</v>
      </c>
      <c r="K525">
        <v>1</v>
      </c>
      <c r="L525" t="str">
        <v>Permanent</v>
      </c>
      <c r="M525" t="str">
        <v>Full time</v>
      </c>
      <c r="N525" t="str">
        <v>Wellington, New Zealand</v>
      </c>
      <c r="O525">
        <v>2718</v>
      </c>
      <c r="P525">
        <v>7</v>
      </c>
    </row>
    <row r="526" spans="3:16" x14ac:dyDescent="0.3">
      <c r="C526" t="str">
        <v>VT04467</v>
      </c>
      <c r="D526" t="str">
        <v>Amal</v>
      </c>
      <c r="E526" t="str">
        <v>Nimesh</v>
      </c>
      <c r="F526" t="str">
        <v>Female</v>
      </c>
      <c r="G526" t="str">
        <v>Marketing</v>
      </c>
      <c r="H526">
        <v>70755.5</v>
      </c>
      <c r="I526" t="str">
        <v>50k to 100k</v>
      </c>
      <c r="J526" s="9">
        <v>44090</v>
      </c>
      <c r="K526">
        <v>0.8</v>
      </c>
      <c r="L526" t="str">
        <v>Temporary</v>
      </c>
      <c r="M526" t="str">
        <v>Part time</v>
      </c>
      <c r="N526" t="str">
        <v>Hyderabad, India</v>
      </c>
      <c r="O526">
        <v>2018</v>
      </c>
      <c r="P526">
        <v>6</v>
      </c>
    </row>
    <row r="527" spans="3:16" x14ac:dyDescent="0.3">
      <c r="C527" t="str">
        <v>VT01610</v>
      </c>
      <c r="D527" t="str">
        <v>Kunja</v>
      </c>
      <c r="E527" t="str">
        <v>Prashanta</v>
      </c>
      <c r="F527" t="str">
        <v>Female</v>
      </c>
      <c r="G527" t="str">
        <v>Accounting</v>
      </c>
      <c r="H527">
        <v>76303.820000000007</v>
      </c>
      <c r="I527" t="str">
        <v>50k to 100k</v>
      </c>
      <c r="J527" s="9">
        <v>43458</v>
      </c>
      <c r="K527">
        <v>1</v>
      </c>
      <c r="L527" t="str">
        <v>Fixed Term</v>
      </c>
      <c r="M527" t="str">
        <v>Full time</v>
      </c>
      <c r="N527" t="str">
        <v>Hyderabad, India</v>
      </c>
      <c r="O527">
        <v>2650</v>
      </c>
      <c r="P527">
        <v>7</v>
      </c>
    </row>
    <row r="528" spans="3:16" x14ac:dyDescent="0.3">
      <c r="C528" t="str">
        <v>PR02016</v>
      </c>
      <c r="D528" t="str">
        <v>Iris</v>
      </c>
      <c r="E528" t="str">
        <v>Wagg</v>
      </c>
      <c r="F528" t="str">
        <v>Female</v>
      </c>
      <c r="G528" t="str">
        <v>Engineering</v>
      </c>
      <c r="H528">
        <v>58861.19</v>
      </c>
      <c r="I528" t="str">
        <v>50k to 100k</v>
      </c>
      <c r="J528" s="9">
        <v>43654</v>
      </c>
      <c r="K528">
        <v>1</v>
      </c>
      <c r="L528" t="str">
        <v>Permanent</v>
      </c>
      <c r="M528" t="str">
        <v>Full time</v>
      </c>
      <c r="N528" t="str">
        <v>Columbus, USA</v>
      </c>
      <c r="O528">
        <v>2454</v>
      </c>
      <c r="P528">
        <v>7</v>
      </c>
    </row>
    <row r="529" spans="3:16" x14ac:dyDescent="0.3">
      <c r="C529" t="str">
        <v>VT04415</v>
      </c>
      <c r="D529" t="str">
        <v>Malory</v>
      </c>
      <c r="E529" t="str">
        <v>Biles</v>
      </c>
      <c r="F529" t="str">
        <v>Female</v>
      </c>
      <c r="G529" t="str">
        <v>Training</v>
      </c>
      <c r="H529">
        <v>58744.17</v>
      </c>
      <c r="I529" t="str">
        <v>50k to 100k</v>
      </c>
      <c r="J529" s="9">
        <v>43171</v>
      </c>
      <c r="K529">
        <v>1</v>
      </c>
      <c r="L529" t="str">
        <v>Temporary</v>
      </c>
      <c r="M529" t="str">
        <v>Full time</v>
      </c>
      <c r="N529" t="str">
        <v>Columbus, USA</v>
      </c>
      <c r="O529">
        <v>2937</v>
      </c>
      <c r="P529">
        <v>8</v>
      </c>
    </row>
    <row r="530" spans="3:16" x14ac:dyDescent="0.3">
      <c r="C530" t="str">
        <v>TN04067</v>
      </c>
      <c r="D530" t="str">
        <v>Lea</v>
      </c>
      <c r="E530" t="str">
        <v>Chaplin</v>
      </c>
      <c r="F530" t="str">
        <v>Female</v>
      </c>
      <c r="G530" t="str">
        <v>Human Resources</v>
      </c>
      <c r="H530">
        <v>73488.679999999993</v>
      </c>
      <c r="I530" t="str">
        <v>50k to 100k</v>
      </c>
      <c r="J530" s="9">
        <v>43570</v>
      </c>
      <c r="K530">
        <v>1</v>
      </c>
      <c r="L530" t="str">
        <v>Fixed Term</v>
      </c>
      <c r="M530" t="str">
        <v>Full time</v>
      </c>
      <c r="N530" t="str">
        <v>Seattle, USA</v>
      </c>
      <c r="O530">
        <v>2538</v>
      </c>
      <c r="P530">
        <v>7</v>
      </c>
    </row>
    <row r="531" spans="3:16" x14ac:dyDescent="0.3">
      <c r="C531" t="str">
        <v>TN04175</v>
      </c>
      <c r="D531" t="str">
        <v>Hinda</v>
      </c>
      <c r="E531" t="str">
        <v>Label</v>
      </c>
      <c r="F531" t="str">
        <v>Female</v>
      </c>
      <c r="G531" t="str">
        <v>Human Resources</v>
      </c>
      <c r="H531">
        <v>92704.48</v>
      </c>
      <c r="I531" t="str">
        <v>50k to 100k</v>
      </c>
      <c r="J531" s="9">
        <v>43430</v>
      </c>
      <c r="K531">
        <v>1</v>
      </c>
      <c r="L531" t="str">
        <v>Fixed Term</v>
      </c>
      <c r="M531" t="str">
        <v>Full time</v>
      </c>
      <c r="N531" t="str">
        <v>Columbus, USA</v>
      </c>
      <c r="O531">
        <v>2678</v>
      </c>
      <c r="P531">
        <v>7</v>
      </c>
    </row>
    <row r="532" spans="3:16" x14ac:dyDescent="0.3">
      <c r="C532" t="str">
        <v>PR01269</v>
      </c>
      <c r="D532" t="str">
        <v>Eleonore</v>
      </c>
      <c r="E532" t="str">
        <v>Airdrie</v>
      </c>
      <c r="F532" t="str">
        <v>Female</v>
      </c>
      <c r="G532" t="str">
        <v>Engineering</v>
      </c>
      <c r="H532">
        <v>97105.19</v>
      </c>
      <c r="I532" t="str">
        <v>50k to 100k</v>
      </c>
      <c r="J532" s="9">
        <v>44425</v>
      </c>
      <c r="K532">
        <v>1</v>
      </c>
      <c r="L532" t="str">
        <v>Permanent</v>
      </c>
      <c r="M532" t="str">
        <v>Full time</v>
      </c>
      <c r="N532" t="str">
        <v>Columbus, USA</v>
      </c>
      <c r="O532">
        <v>1683</v>
      </c>
      <c r="P532">
        <v>5</v>
      </c>
    </row>
    <row r="533" spans="3:16" x14ac:dyDescent="0.3">
      <c r="C533" t="str">
        <v>TN00579</v>
      </c>
      <c r="D533" t="str">
        <v>Rafaelita</v>
      </c>
      <c r="E533" t="str">
        <v>Blaksland</v>
      </c>
      <c r="F533" t="str">
        <v>Female</v>
      </c>
      <c r="G533" t="str">
        <v>Services</v>
      </c>
      <c r="H533">
        <v>109163.39</v>
      </c>
      <c r="I533" t="str">
        <v>Above 100k</v>
      </c>
      <c r="J533" s="9">
        <v>44019</v>
      </c>
      <c r="K533">
        <v>0.8</v>
      </c>
      <c r="L533" t="str">
        <v>Permanent</v>
      </c>
      <c r="M533" t="str">
        <v>Part time</v>
      </c>
      <c r="N533" t="str">
        <v>Seattle, USA</v>
      </c>
      <c r="O533">
        <v>2089</v>
      </c>
      <c r="P533">
        <v>6</v>
      </c>
    </row>
    <row r="534" spans="3:16" x14ac:dyDescent="0.3">
      <c r="C534" t="str">
        <v>SQ02174</v>
      </c>
      <c r="D534" t="str">
        <v>Sidoney</v>
      </c>
      <c r="E534" t="str">
        <v>Yitzhok</v>
      </c>
      <c r="F534" t="str">
        <v>Female</v>
      </c>
      <c r="G534" t="str">
        <v>Engineering</v>
      </c>
      <c r="H534">
        <v>118442.54</v>
      </c>
      <c r="I534" t="str">
        <v>Above 100k</v>
      </c>
      <c r="J534" s="9">
        <v>44193</v>
      </c>
      <c r="K534">
        <v>1</v>
      </c>
      <c r="L534" t="str">
        <v>Permanent</v>
      </c>
      <c r="M534" t="str">
        <v>Full time</v>
      </c>
      <c r="N534" t="str">
        <v>Auckland, New Zealand</v>
      </c>
      <c r="O534">
        <v>1915</v>
      </c>
      <c r="P534">
        <v>5</v>
      </c>
    </row>
    <row r="535" spans="3:16" x14ac:dyDescent="0.3">
      <c r="C535" t="str">
        <v>PR02957</v>
      </c>
      <c r="D535" t="str">
        <v>Vaughn</v>
      </c>
      <c r="E535" t="str">
        <v>Carvill</v>
      </c>
      <c r="F535" t="str">
        <v>Female</v>
      </c>
      <c r="G535" t="str">
        <v>Training</v>
      </c>
      <c r="H535">
        <v>84745.93</v>
      </c>
      <c r="I535" t="str">
        <v>50k to 100k</v>
      </c>
      <c r="J535" s="9">
        <v>43707</v>
      </c>
      <c r="K535">
        <v>1</v>
      </c>
      <c r="L535" t="str">
        <v>Permanent</v>
      </c>
      <c r="M535" t="str">
        <v>Full time</v>
      </c>
      <c r="N535" t="str">
        <v>Wellington, New Zealand</v>
      </c>
      <c r="O535">
        <v>2401</v>
      </c>
      <c r="P535">
        <v>7</v>
      </c>
    </row>
    <row r="536" spans="3:16" x14ac:dyDescent="0.3">
      <c r="C536" t="str">
        <v>TN02570</v>
      </c>
      <c r="D536" t="str">
        <v>Grady</v>
      </c>
      <c r="E536" t="str">
        <v>Rochelle</v>
      </c>
      <c r="F536" t="str">
        <v>Female</v>
      </c>
      <c r="G536" t="str">
        <v>Accounting</v>
      </c>
      <c r="H536">
        <v>69163.39</v>
      </c>
      <c r="I536" t="str">
        <v>50k to 100k</v>
      </c>
      <c r="J536" s="9">
        <v>43397</v>
      </c>
      <c r="K536">
        <v>1</v>
      </c>
      <c r="L536" t="str">
        <v>Permanent</v>
      </c>
      <c r="M536" t="str">
        <v>Full time</v>
      </c>
      <c r="N536" t="str">
        <v>Remote</v>
      </c>
      <c r="O536">
        <v>2711</v>
      </c>
      <c r="P536">
        <v>7</v>
      </c>
    </row>
    <row r="537" spans="3:16" x14ac:dyDescent="0.3">
      <c r="C537" t="str">
        <v>VT00596</v>
      </c>
      <c r="D537" t="str">
        <v>Letisha</v>
      </c>
      <c r="E537" t="str">
        <v>Carrett</v>
      </c>
      <c r="F537" t="str">
        <v>Female</v>
      </c>
      <c r="G537" t="str">
        <v>Sales</v>
      </c>
      <c r="H537">
        <v>84598.88</v>
      </c>
      <c r="I537" t="str">
        <v>50k to 100k</v>
      </c>
      <c r="J537" s="9">
        <v>44116</v>
      </c>
      <c r="K537">
        <v>1</v>
      </c>
      <c r="L537" t="str">
        <v>Fixed Term</v>
      </c>
      <c r="M537" t="str">
        <v>Full time</v>
      </c>
      <c r="N537" t="str">
        <v>Seattle, USA</v>
      </c>
      <c r="O537">
        <v>1992</v>
      </c>
      <c r="P537">
        <v>5</v>
      </c>
    </row>
    <row r="538" spans="3:16" x14ac:dyDescent="0.3">
      <c r="C538" t="str">
        <v>TN01601</v>
      </c>
      <c r="D538" t="str">
        <v>Melva</v>
      </c>
      <c r="E538" t="str">
        <v>Jickells</v>
      </c>
      <c r="F538" t="str">
        <v>Female</v>
      </c>
      <c r="G538" t="str">
        <v>Product Management</v>
      </c>
      <c r="H538">
        <v>68795.48</v>
      </c>
      <c r="I538" t="str">
        <v>50k to 100k</v>
      </c>
      <c r="J538" s="9">
        <v>44277</v>
      </c>
      <c r="K538">
        <v>0.2</v>
      </c>
      <c r="L538" t="str">
        <v>Permanent</v>
      </c>
      <c r="M538" t="str">
        <v>Part time</v>
      </c>
      <c r="N538" t="str">
        <v>Remote</v>
      </c>
      <c r="O538">
        <v>1831</v>
      </c>
      <c r="P538">
        <v>5</v>
      </c>
    </row>
    <row r="539" spans="3:16" x14ac:dyDescent="0.3">
      <c r="C539" t="str">
        <v>SQ01730</v>
      </c>
      <c r="D539" t="str">
        <v>Austine</v>
      </c>
      <c r="E539" t="str">
        <v>Littlewood</v>
      </c>
      <c r="F539" t="str">
        <v>Female</v>
      </c>
      <c r="G539" t="str">
        <v>Services</v>
      </c>
      <c r="H539">
        <v>32269.91</v>
      </c>
      <c r="I539" t="str">
        <v>under 50k</v>
      </c>
      <c r="J539" s="9">
        <v>43346</v>
      </c>
      <c r="K539">
        <v>1</v>
      </c>
      <c r="L539" t="str">
        <v>Permanent</v>
      </c>
      <c r="M539" t="str">
        <v>Full time</v>
      </c>
      <c r="N539" t="str">
        <v>Remote</v>
      </c>
      <c r="O539">
        <v>2762</v>
      </c>
      <c r="P539">
        <v>8</v>
      </c>
    </row>
    <row r="540" spans="3:16" x14ac:dyDescent="0.3">
      <c r="C540" t="str">
        <v>PR02275</v>
      </c>
      <c r="D540" t="str">
        <v>Louise</v>
      </c>
      <c r="E540" t="str">
        <v>Lamming</v>
      </c>
      <c r="F540" t="str">
        <v>Female</v>
      </c>
      <c r="G540" t="str">
        <v>Sales</v>
      </c>
      <c r="H540">
        <v>41934.71</v>
      </c>
      <c r="I540" t="str">
        <v>under 50k</v>
      </c>
      <c r="J540" s="9">
        <v>43780</v>
      </c>
      <c r="K540">
        <v>1</v>
      </c>
      <c r="L540" t="str">
        <v>Permanent</v>
      </c>
      <c r="M540" t="str">
        <v>Full time</v>
      </c>
      <c r="N540" t="str">
        <v>Remote</v>
      </c>
      <c r="O540">
        <v>2328</v>
      </c>
      <c r="P540">
        <v>6</v>
      </c>
    </row>
    <row r="541" spans="3:16" x14ac:dyDescent="0.3">
      <c r="C541" t="str">
        <v>TN04166</v>
      </c>
      <c r="D541" t="str">
        <v>Tadio</v>
      </c>
      <c r="E541" t="str">
        <v>Dowdle</v>
      </c>
      <c r="F541" t="str">
        <v>Female</v>
      </c>
      <c r="G541" t="str">
        <v>Product Management</v>
      </c>
      <c r="H541">
        <v>91929.69</v>
      </c>
      <c r="I541" t="str">
        <v>50k to 100k</v>
      </c>
      <c r="J541" s="9">
        <v>44085</v>
      </c>
      <c r="K541">
        <v>1</v>
      </c>
      <c r="L541" t="str">
        <v>Fixed Term</v>
      </c>
      <c r="M541" t="str">
        <v>Full time</v>
      </c>
      <c r="N541" t="str">
        <v>Remote</v>
      </c>
      <c r="O541">
        <v>2023</v>
      </c>
      <c r="P541">
        <v>6</v>
      </c>
    </row>
    <row r="542" spans="3:16" x14ac:dyDescent="0.3">
      <c r="C542" t="str">
        <v>SQ04437</v>
      </c>
      <c r="D542" t="str">
        <v>Hephzibah</v>
      </c>
      <c r="E542" t="str">
        <v>Summerell</v>
      </c>
      <c r="F542" t="str">
        <v>Female</v>
      </c>
      <c r="G542" t="str">
        <v>Services</v>
      </c>
      <c r="H542">
        <v>28305.08</v>
      </c>
      <c r="I542" t="str">
        <v>under 50k</v>
      </c>
      <c r="J542" s="9">
        <v>43754</v>
      </c>
      <c r="K542">
        <v>1</v>
      </c>
      <c r="L542" t="str">
        <v>Permanent</v>
      </c>
      <c r="M542" t="str">
        <v>Full time</v>
      </c>
      <c r="N542" t="str">
        <v>Remote</v>
      </c>
      <c r="O542">
        <v>2354</v>
      </c>
      <c r="P542">
        <v>6</v>
      </c>
    </row>
    <row r="543" spans="3:16" x14ac:dyDescent="0.3">
      <c r="C543" t="str">
        <v>TN01601</v>
      </c>
      <c r="D543" t="str">
        <v>Melva</v>
      </c>
      <c r="E543" t="str">
        <v>Jickells</v>
      </c>
      <c r="F543" t="str">
        <v>Female</v>
      </c>
      <c r="G543" t="str">
        <v>Product Management</v>
      </c>
      <c r="H543">
        <v>68795.48</v>
      </c>
      <c r="I543" t="str">
        <v>50k to 100k</v>
      </c>
      <c r="J543" s="9">
        <v>44277</v>
      </c>
      <c r="K543">
        <v>0.2</v>
      </c>
      <c r="L543" t="str">
        <v>Permanent</v>
      </c>
      <c r="M543" t="str">
        <v>Part time</v>
      </c>
      <c r="N543" t="str">
        <v>Remote</v>
      </c>
      <c r="O543">
        <v>1831</v>
      </c>
      <c r="P543">
        <v>5</v>
      </c>
    </row>
    <row r="544" spans="3:16" x14ac:dyDescent="0.3">
      <c r="C544" t="str">
        <v>TN03575</v>
      </c>
      <c r="D544" t="str">
        <v>Janina</v>
      </c>
      <c r="E544" t="str">
        <v>Wolverson</v>
      </c>
      <c r="F544" t="str">
        <v>Female</v>
      </c>
      <c r="G544" t="str">
        <v>Research and Development</v>
      </c>
      <c r="H544">
        <v>99683.67</v>
      </c>
      <c r="I544" t="str">
        <v>50k to 100k</v>
      </c>
      <c r="J544" s="9">
        <v>43500</v>
      </c>
      <c r="K544">
        <v>1</v>
      </c>
      <c r="L544" t="str">
        <v>Fixed Term</v>
      </c>
      <c r="M544" t="str">
        <v>Full time</v>
      </c>
      <c r="N544" t="str">
        <v>Seattle, USA</v>
      </c>
      <c r="O544">
        <v>2608</v>
      </c>
      <c r="P544">
        <v>7</v>
      </c>
    </row>
    <row r="545" spans="3:16" x14ac:dyDescent="0.3">
      <c r="C545" t="str">
        <v>SQ00187</v>
      </c>
      <c r="D545" t="str">
        <v>Rupak</v>
      </c>
      <c r="E545" t="str">
        <v>Mehra</v>
      </c>
      <c r="F545" t="str">
        <v>Female</v>
      </c>
      <c r="G545" t="str">
        <v>Services</v>
      </c>
      <c r="H545">
        <v>71229.42</v>
      </c>
      <c r="I545" t="str">
        <v>50k to 100k</v>
      </c>
      <c r="J545" s="9">
        <v>44166</v>
      </c>
      <c r="K545">
        <v>1</v>
      </c>
      <c r="L545" t="str">
        <v>Permanent</v>
      </c>
      <c r="M545" t="str">
        <v>Full time</v>
      </c>
      <c r="N545" t="str">
        <v>Hyderabad, India</v>
      </c>
      <c r="O545">
        <v>1942</v>
      </c>
      <c r="P545">
        <v>5</v>
      </c>
    </row>
    <row r="546" spans="3:16" x14ac:dyDescent="0.3">
      <c r="C546" t="str">
        <v>PR00113</v>
      </c>
      <c r="D546" t="str">
        <v>Van</v>
      </c>
      <c r="E546" t="str">
        <v>Tuxwell</v>
      </c>
      <c r="F546" t="str">
        <v>Female</v>
      </c>
      <c r="G546" t="str">
        <v>Business Development</v>
      </c>
      <c r="H546">
        <v>80695.740000000005</v>
      </c>
      <c r="I546" t="str">
        <v>50k to 100k</v>
      </c>
      <c r="J546" s="9">
        <v>43360</v>
      </c>
      <c r="K546">
        <v>1</v>
      </c>
      <c r="L546" t="str">
        <v>Permanent</v>
      </c>
      <c r="M546" t="str">
        <v>Full time</v>
      </c>
      <c r="N546" t="str">
        <v>Columbus, USA</v>
      </c>
      <c r="O546">
        <v>2748</v>
      </c>
      <c r="P546">
        <v>8</v>
      </c>
    </row>
    <row r="547" spans="3:16" x14ac:dyDescent="0.3">
      <c r="C547" t="str">
        <v>PR01383</v>
      </c>
      <c r="D547" t="str">
        <v>Addi</v>
      </c>
      <c r="E547" t="str">
        <v>Studdeard</v>
      </c>
      <c r="F547" t="str">
        <v>Female</v>
      </c>
      <c r="G547" t="str">
        <v>Product Management</v>
      </c>
      <c r="H547">
        <v>72502.61</v>
      </c>
      <c r="I547" t="str">
        <v>50k to 100k</v>
      </c>
      <c r="J547" s="9">
        <v>44235</v>
      </c>
      <c r="K547">
        <v>1</v>
      </c>
      <c r="L547" t="str">
        <v>Permanent</v>
      </c>
      <c r="M547" t="str">
        <v>Full time</v>
      </c>
      <c r="N547" t="str">
        <v>Wellington, New Zealand</v>
      </c>
      <c r="O547">
        <v>1873</v>
      </c>
      <c r="P547">
        <v>5</v>
      </c>
    </row>
    <row r="548" spans="3:16" x14ac:dyDescent="0.3">
      <c r="C548" t="str">
        <v>TN00258</v>
      </c>
      <c r="D548" t="str">
        <v>Joyce</v>
      </c>
      <c r="E548" t="str">
        <v>Leyband</v>
      </c>
      <c r="F548" t="str">
        <v>Female</v>
      </c>
      <c r="G548" t="str">
        <v>Product Management</v>
      </c>
      <c r="H548">
        <v>68197.899999999994</v>
      </c>
      <c r="I548" t="str">
        <v>50k to 100k</v>
      </c>
      <c r="J548" s="9">
        <v>44119</v>
      </c>
      <c r="K548">
        <v>1</v>
      </c>
      <c r="L548" t="str">
        <v>Permanent</v>
      </c>
      <c r="M548" t="str">
        <v>Full time</v>
      </c>
      <c r="N548" t="str">
        <v>Auckland, New Zealand</v>
      </c>
      <c r="O548">
        <v>1989</v>
      </c>
      <c r="P548">
        <v>5</v>
      </c>
    </row>
    <row r="549" spans="3:16" x14ac:dyDescent="0.3">
      <c r="C549" t="str">
        <v>VT04093</v>
      </c>
      <c r="D549" t="str">
        <v>Baruna</v>
      </c>
      <c r="E549" t="str">
        <v>Ogale</v>
      </c>
      <c r="F549" t="str">
        <v>Female</v>
      </c>
      <c r="G549" t="str">
        <v>Training</v>
      </c>
      <c r="H549">
        <v>116767.63</v>
      </c>
      <c r="I549" t="str">
        <v>Above 100k</v>
      </c>
      <c r="J549" s="9">
        <v>43949</v>
      </c>
      <c r="K549">
        <v>0.4</v>
      </c>
      <c r="L549" t="str">
        <v>Temporary</v>
      </c>
      <c r="M549" t="str">
        <v>Part time</v>
      </c>
      <c r="N549" t="str">
        <v>Chennai, India</v>
      </c>
      <c r="O549">
        <v>2159</v>
      </c>
      <c r="P549">
        <v>6</v>
      </c>
    </row>
    <row r="550" spans="3:16" x14ac:dyDescent="0.3">
      <c r="C550" t="str">
        <v>PR04851</v>
      </c>
      <c r="D550" t="str">
        <v>Rodina</v>
      </c>
      <c r="E550" t="str">
        <v>Drinan</v>
      </c>
      <c r="F550" t="str">
        <v>Female</v>
      </c>
      <c r="G550" t="str">
        <v>Sales</v>
      </c>
      <c r="H550">
        <v>77045.440000000002</v>
      </c>
      <c r="I550" t="str">
        <v>50k to 100k</v>
      </c>
      <c r="J550" s="9">
        <v>43636</v>
      </c>
      <c r="K550">
        <v>1</v>
      </c>
      <c r="L550" t="str">
        <v>Permanent</v>
      </c>
      <c r="M550" t="str">
        <v>Full time</v>
      </c>
      <c r="N550" t="str">
        <v>Remote</v>
      </c>
      <c r="O550">
        <v>2472</v>
      </c>
      <c r="P550">
        <v>7</v>
      </c>
    </row>
    <row r="551" spans="3:16" x14ac:dyDescent="0.3">
      <c r="C551" t="str">
        <v>PR00007</v>
      </c>
      <c r="D551" t="str">
        <v>Torrance</v>
      </c>
      <c r="E551" t="str">
        <v>Collier</v>
      </c>
      <c r="F551" t="str">
        <v>Female</v>
      </c>
      <c r="G551" t="str">
        <v>Training</v>
      </c>
      <c r="H551">
        <v>96135.75</v>
      </c>
      <c r="I551" t="str">
        <v>50k to 100k</v>
      </c>
      <c r="J551" s="9">
        <v>44025</v>
      </c>
      <c r="K551">
        <v>0.3</v>
      </c>
      <c r="L551" t="str">
        <v>Permanent</v>
      </c>
      <c r="M551" t="str">
        <v>Part time</v>
      </c>
      <c r="N551" t="str">
        <v>Wellington, New Zealand</v>
      </c>
      <c r="O551">
        <v>2083</v>
      </c>
      <c r="P551">
        <v>6</v>
      </c>
    </row>
    <row r="552" spans="3:16" x14ac:dyDescent="0.3">
      <c r="C552" t="str">
        <v>SQ03491</v>
      </c>
      <c r="D552" t="str">
        <v>Freda</v>
      </c>
      <c r="E552" t="str">
        <v>Legan</v>
      </c>
      <c r="F552" t="str">
        <v>Female</v>
      </c>
      <c r="G552" t="str">
        <v>Sales</v>
      </c>
      <c r="H552">
        <v>102129.37</v>
      </c>
      <c r="I552" t="str">
        <v>Above 100k</v>
      </c>
      <c r="J552" s="9">
        <v>44396</v>
      </c>
      <c r="K552">
        <v>1</v>
      </c>
      <c r="L552" t="str">
        <v>Permanent</v>
      </c>
      <c r="M552" t="str">
        <v>Full time</v>
      </c>
      <c r="N552" t="str">
        <v>Columbus, USA</v>
      </c>
      <c r="O552">
        <v>1712</v>
      </c>
      <c r="P552">
        <v>5</v>
      </c>
    </row>
    <row r="553" spans="3:16" x14ac:dyDescent="0.3">
      <c r="C553" t="str">
        <v>SQ02465</v>
      </c>
      <c r="D553" t="str">
        <v>Bernie</v>
      </c>
      <c r="E553" t="str">
        <v>Gorges</v>
      </c>
      <c r="F553" t="str">
        <v>Female</v>
      </c>
      <c r="G553" t="str">
        <v>Training</v>
      </c>
      <c r="H553">
        <v>99965.97</v>
      </c>
      <c r="I553" t="str">
        <v>50k to 100k</v>
      </c>
      <c r="J553" s="9">
        <v>43133</v>
      </c>
      <c r="K553">
        <v>1</v>
      </c>
      <c r="L553" t="str">
        <v>Permanent</v>
      </c>
      <c r="M553" t="str">
        <v>Full time</v>
      </c>
      <c r="N553" t="str">
        <v>Remote</v>
      </c>
      <c r="O553">
        <v>2975</v>
      </c>
      <c r="P553">
        <v>8</v>
      </c>
    </row>
    <row r="554" spans="3:16" x14ac:dyDescent="0.3">
      <c r="C554" t="str">
        <v>VT00194</v>
      </c>
      <c r="D554" t="str">
        <v>Violante</v>
      </c>
      <c r="E554" t="str">
        <v>Courtonne</v>
      </c>
      <c r="F554" t="str">
        <v>Female</v>
      </c>
      <c r="G554" t="str">
        <v>Product Management</v>
      </c>
      <c r="H554">
        <v>49625.64</v>
      </c>
      <c r="I554" t="str">
        <v>under 50k</v>
      </c>
      <c r="J554" s="9">
        <v>44384</v>
      </c>
      <c r="K554">
        <v>0.5</v>
      </c>
      <c r="L554" t="str">
        <v>Fixed Term</v>
      </c>
      <c r="M554" t="str">
        <v>Part time</v>
      </c>
      <c r="N554" t="str">
        <v>Remote</v>
      </c>
      <c r="O554">
        <v>1724</v>
      </c>
      <c r="P554">
        <v>5</v>
      </c>
    </row>
    <row r="555" spans="3:16" x14ac:dyDescent="0.3">
      <c r="C555" t="str">
        <v>TN00328</v>
      </c>
      <c r="D555" t="str">
        <v>Jeannie</v>
      </c>
      <c r="E555" t="str">
        <v>Petracco</v>
      </c>
      <c r="F555" t="str">
        <v>Female</v>
      </c>
      <c r="G555" t="str">
        <v>Engineering</v>
      </c>
      <c r="H555">
        <v>94815.28</v>
      </c>
      <c r="I555" t="str">
        <v>50k to 100k</v>
      </c>
      <c r="J555" s="9">
        <v>43440</v>
      </c>
      <c r="K555">
        <v>1</v>
      </c>
      <c r="L555" t="str">
        <v>Permanent</v>
      </c>
      <c r="M555" t="str">
        <v>Full time</v>
      </c>
      <c r="N555" t="str">
        <v>Seattle, USA</v>
      </c>
      <c r="O555">
        <v>2668</v>
      </c>
      <c r="P555">
        <v>7</v>
      </c>
    </row>
    <row r="556" spans="3:16" x14ac:dyDescent="0.3">
      <c r="C556" t="str">
        <v>PR00246</v>
      </c>
      <c r="D556" t="str">
        <v>Husein</v>
      </c>
      <c r="E556" t="str">
        <v>Augar</v>
      </c>
      <c r="F556" t="str">
        <v>Female</v>
      </c>
      <c r="G556" t="str">
        <v>Marketing</v>
      </c>
      <c r="H556">
        <v>67905.8</v>
      </c>
      <c r="I556" t="str">
        <v>50k to 100k</v>
      </c>
      <c r="J556" s="9">
        <v>44194</v>
      </c>
      <c r="K556">
        <v>1</v>
      </c>
      <c r="L556" t="str">
        <v>Permanent</v>
      </c>
      <c r="M556" t="str">
        <v>Full time</v>
      </c>
      <c r="N556" t="str">
        <v>Remote</v>
      </c>
      <c r="O556">
        <v>1914</v>
      </c>
      <c r="P556">
        <v>5</v>
      </c>
    </row>
    <row r="557" spans="3:16" x14ac:dyDescent="0.3">
      <c r="C557" t="str">
        <v>PR00113</v>
      </c>
      <c r="D557" t="str">
        <v>Van</v>
      </c>
      <c r="E557" t="str">
        <v>Tuxwell</v>
      </c>
      <c r="F557" t="str">
        <v>Female</v>
      </c>
      <c r="G557" t="str">
        <v>Business Development</v>
      </c>
      <c r="H557">
        <v>80695.740000000005</v>
      </c>
      <c r="I557" t="str">
        <v>50k to 100k</v>
      </c>
      <c r="J557" s="9">
        <v>43360</v>
      </c>
      <c r="K557">
        <v>1</v>
      </c>
      <c r="L557" t="str">
        <v>Permanent</v>
      </c>
      <c r="M557" t="str">
        <v>Full time</v>
      </c>
      <c r="N557" t="str">
        <v>Columbus, USA</v>
      </c>
      <c r="O557">
        <v>2748</v>
      </c>
      <c r="P557">
        <v>8</v>
      </c>
    </row>
    <row r="558" spans="3:16" x14ac:dyDescent="0.3">
      <c r="C558" t="str">
        <v>SQ00286</v>
      </c>
      <c r="D558" t="str">
        <v>Ilesh</v>
      </c>
      <c r="E558" t="str">
        <v>Dasgupta</v>
      </c>
      <c r="F558" t="str">
        <v>Female</v>
      </c>
      <c r="G558" t="str">
        <v>Legal</v>
      </c>
      <c r="H558">
        <v>61213.01</v>
      </c>
      <c r="I558" t="str">
        <v>50k to 100k</v>
      </c>
      <c r="J558" s="9">
        <v>44365</v>
      </c>
      <c r="K558">
        <v>1</v>
      </c>
      <c r="L558" t="str">
        <v>Permanent</v>
      </c>
      <c r="M558" t="str">
        <v>Full time</v>
      </c>
      <c r="N558" t="str">
        <v>Chennai, India</v>
      </c>
      <c r="O558">
        <v>1743</v>
      </c>
      <c r="P558">
        <v>5</v>
      </c>
    </row>
    <row r="559" spans="3:16" x14ac:dyDescent="0.3">
      <c r="C559" t="str">
        <v>VT00740</v>
      </c>
      <c r="D559" t="str">
        <v>Chitrasen</v>
      </c>
      <c r="E559" t="str">
        <v>Laul</v>
      </c>
      <c r="F559" t="str">
        <v>Female</v>
      </c>
      <c r="G559" t="str">
        <v>Research and Development</v>
      </c>
      <c r="H559">
        <v>46751.7</v>
      </c>
      <c r="I559" t="str">
        <v>under 50k</v>
      </c>
      <c r="J559" s="9">
        <v>43843</v>
      </c>
      <c r="K559">
        <v>1</v>
      </c>
      <c r="L559" t="str">
        <v>Fixed Term</v>
      </c>
      <c r="M559" t="str">
        <v>Full time</v>
      </c>
      <c r="N559" t="str">
        <v>Hyderabad, India</v>
      </c>
      <c r="O559">
        <v>2265</v>
      </c>
      <c r="P559">
        <v>6</v>
      </c>
    </row>
    <row r="560" spans="3:16" x14ac:dyDescent="0.3">
      <c r="C560" t="str">
        <v>TN03169</v>
      </c>
      <c r="D560" t="str">
        <v>Doe</v>
      </c>
      <c r="E560" t="str">
        <v>Clubley</v>
      </c>
      <c r="F560" t="str">
        <v>Female</v>
      </c>
      <c r="G560" t="str">
        <v>Product Management</v>
      </c>
      <c r="H560">
        <v>67818.14</v>
      </c>
      <c r="I560" t="str">
        <v>50k to 100k</v>
      </c>
      <c r="J560" s="9">
        <v>43406</v>
      </c>
      <c r="K560">
        <v>0.6</v>
      </c>
      <c r="L560" t="str">
        <v>Fixed Term</v>
      </c>
      <c r="M560" t="str">
        <v>Part time</v>
      </c>
      <c r="N560" t="str">
        <v>Remote</v>
      </c>
      <c r="O560">
        <v>2702</v>
      </c>
      <c r="P560">
        <v>7</v>
      </c>
    </row>
    <row r="561" spans="3:16" x14ac:dyDescent="0.3">
      <c r="C561" t="str">
        <v>SQ02624</v>
      </c>
      <c r="D561" t="str">
        <v>Gwenneth</v>
      </c>
      <c r="E561" t="str">
        <v>Fealey</v>
      </c>
      <c r="F561" t="str">
        <v>Female</v>
      </c>
      <c r="G561" t="str">
        <v>Engineering</v>
      </c>
      <c r="H561">
        <v>114772.32</v>
      </c>
      <c r="I561" t="str">
        <v>Above 100k</v>
      </c>
      <c r="J561" s="9">
        <v>44251</v>
      </c>
      <c r="K561">
        <v>1</v>
      </c>
      <c r="L561" t="str">
        <v>Permanent</v>
      </c>
      <c r="M561" t="str">
        <v>Full time</v>
      </c>
      <c r="N561" t="str">
        <v>Columbus, USA</v>
      </c>
      <c r="O561">
        <v>1857</v>
      </c>
      <c r="P561">
        <v>5</v>
      </c>
    </row>
    <row r="562" spans="3:16" x14ac:dyDescent="0.3">
      <c r="C562" t="str">
        <v>SQ02565</v>
      </c>
      <c r="D562" t="str">
        <v>Konstantin</v>
      </c>
      <c r="E562" t="str">
        <v>Timblett</v>
      </c>
      <c r="F562" t="str">
        <v>Female</v>
      </c>
      <c r="G562" t="str">
        <v>Training</v>
      </c>
      <c r="H562">
        <v>56253.81</v>
      </c>
      <c r="I562" t="str">
        <v>50k to 100k</v>
      </c>
      <c r="J562" s="9">
        <v>44421</v>
      </c>
      <c r="K562">
        <v>1</v>
      </c>
      <c r="L562" t="str">
        <v>Permanent</v>
      </c>
      <c r="M562" t="str">
        <v>Full time</v>
      </c>
      <c r="N562" t="str">
        <v>Auckland, New Zealand</v>
      </c>
      <c r="O562">
        <v>1687</v>
      </c>
      <c r="P562">
        <v>5</v>
      </c>
    </row>
    <row r="563" spans="3:16" x14ac:dyDescent="0.3">
      <c r="C563" t="str">
        <v>SQ02582</v>
      </c>
      <c r="D563" t="str">
        <v>Kaishori</v>
      </c>
      <c r="E563" t="str">
        <v>Harathi</v>
      </c>
      <c r="F563" t="str">
        <v>Female</v>
      </c>
      <c r="G563" t="str">
        <v>Product Management</v>
      </c>
      <c r="H563">
        <v>51798.25</v>
      </c>
      <c r="I563" t="str">
        <v>50k to 100k</v>
      </c>
      <c r="J563" s="9">
        <v>43665</v>
      </c>
      <c r="K563">
        <v>1</v>
      </c>
      <c r="L563" t="str">
        <v>Permanent</v>
      </c>
      <c r="M563" t="str">
        <v>Full time</v>
      </c>
      <c r="N563" t="str">
        <v>Hyderabad, India</v>
      </c>
      <c r="O563">
        <v>2443</v>
      </c>
      <c r="P563">
        <v>7</v>
      </c>
    </row>
    <row r="564" spans="3:16" x14ac:dyDescent="0.3">
      <c r="C564" t="str">
        <v>TN04265</v>
      </c>
      <c r="D564" t="str">
        <v>Rushil</v>
      </c>
      <c r="E564" t="str">
        <v>Kripa</v>
      </c>
      <c r="F564" t="str">
        <v>Female</v>
      </c>
      <c r="G564" t="str">
        <v>Training</v>
      </c>
      <c r="H564">
        <v>93964.3</v>
      </c>
      <c r="I564" t="str">
        <v>50k to 100k</v>
      </c>
      <c r="J564" s="9">
        <v>44454</v>
      </c>
      <c r="K564">
        <v>0.4</v>
      </c>
      <c r="L564" t="str">
        <v>Fixed Term</v>
      </c>
      <c r="M564" t="str">
        <v>Part time</v>
      </c>
      <c r="N564" t="str">
        <v>Hyderabad, India</v>
      </c>
      <c r="O564">
        <v>1654</v>
      </c>
      <c r="P564">
        <v>5</v>
      </c>
    </row>
    <row r="565" spans="3:16" x14ac:dyDescent="0.3">
      <c r="C565" t="str">
        <v>SQ04613</v>
      </c>
      <c r="D565" t="str">
        <v>Sarojini</v>
      </c>
      <c r="E565" t="str">
        <v>Naueshwara</v>
      </c>
      <c r="F565" t="str">
        <v>Female</v>
      </c>
      <c r="G565" t="str">
        <v>Human Resources</v>
      </c>
      <c r="H565">
        <v>85264.38</v>
      </c>
      <c r="I565" t="str">
        <v>50k to 100k</v>
      </c>
      <c r="J565" s="9">
        <v>43220</v>
      </c>
      <c r="K565">
        <v>1</v>
      </c>
      <c r="L565" t="str">
        <v>Permanent</v>
      </c>
      <c r="M565" t="str">
        <v>Full time</v>
      </c>
      <c r="N565" t="str">
        <v>Chennai, India</v>
      </c>
      <c r="O565">
        <v>2888</v>
      </c>
      <c r="P565">
        <v>8</v>
      </c>
    </row>
    <row r="566" spans="3:16" x14ac:dyDescent="0.3">
      <c r="C566" t="str">
        <v>PR02436</v>
      </c>
      <c r="D566" t="str">
        <v>Marmaduke</v>
      </c>
      <c r="E566" t="str">
        <v>Worssam</v>
      </c>
      <c r="F566" t="str">
        <v>Female</v>
      </c>
      <c r="G566" t="str">
        <v>Engineering</v>
      </c>
      <c r="H566">
        <v>78378.2</v>
      </c>
      <c r="I566" t="str">
        <v>50k to 100k</v>
      </c>
      <c r="J566" s="9">
        <v>43465</v>
      </c>
      <c r="K566">
        <v>0.4</v>
      </c>
      <c r="L566" t="str">
        <v>Permanent</v>
      </c>
      <c r="M566" t="str">
        <v>Part time</v>
      </c>
      <c r="N566" t="str">
        <v>Remote</v>
      </c>
      <c r="O566">
        <v>2643</v>
      </c>
      <c r="P566">
        <v>7</v>
      </c>
    </row>
    <row r="567" spans="3:16" x14ac:dyDescent="0.3">
      <c r="C567" t="str">
        <v>VT04905</v>
      </c>
      <c r="D567" t="str">
        <v>Suchira</v>
      </c>
      <c r="E567" t="str">
        <v>Bhanupriya</v>
      </c>
      <c r="F567" t="str">
        <v>Female</v>
      </c>
      <c r="G567" t="str">
        <v>Human Resources</v>
      </c>
      <c r="H567">
        <v>29808.07</v>
      </c>
      <c r="I567" t="str">
        <v>under 50k</v>
      </c>
      <c r="J567" s="9">
        <v>43291</v>
      </c>
      <c r="K567">
        <v>0.3</v>
      </c>
      <c r="L567" t="str">
        <v>Temporary</v>
      </c>
      <c r="M567" t="str">
        <v>Part time</v>
      </c>
      <c r="N567" t="str">
        <v>Hyderabad, India</v>
      </c>
      <c r="O567">
        <v>2817</v>
      </c>
      <c r="P567">
        <v>8</v>
      </c>
    </row>
    <row r="568" spans="3:16" x14ac:dyDescent="0.3">
      <c r="C568" t="str">
        <v>PR04366</v>
      </c>
      <c r="D568" t="str">
        <v>Carry</v>
      </c>
      <c r="E568" t="str">
        <v>Loblie</v>
      </c>
      <c r="F568" t="str">
        <v>Female</v>
      </c>
      <c r="G568" t="str">
        <v>Sales</v>
      </c>
      <c r="H568">
        <v>47551.89</v>
      </c>
      <c r="I568" t="str">
        <v>under 50k</v>
      </c>
      <c r="J568" s="9">
        <v>43468</v>
      </c>
      <c r="K568">
        <v>1</v>
      </c>
      <c r="L568" t="str">
        <v>Permanent</v>
      </c>
      <c r="M568" t="str">
        <v>Full time</v>
      </c>
      <c r="N568" t="str">
        <v>Auckland, New Zealand</v>
      </c>
      <c r="O568">
        <v>2640</v>
      </c>
      <c r="P568">
        <v>7</v>
      </c>
    </row>
    <row r="569" spans="3:16" x14ac:dyDescent="0.3">
      <c r="C569" t="str">
        <v>TN03032</v>
      </c>
      <c r="D569" t="str">
        <v>Fullara</v>
      </c>
      <c r="E569" t="str">
        <v>Sushanti</v>
      </c>
      <c r="F569" t="str">
        <v>Female</v>
      </c>
      <c r="G569" t="str">
        <v>Research and Development</v>
      </c>
      <c r="H569">
        <v>39700.82</v>
      </c>
      <c r="I569" t="str">
        <v>under 50k</v>
      </c>
      <c r="J569" s="9">
        <v>44203</v>
      </c>
      <c r="K569">
        <v>0.8</v>
      </c>
      <c r="L569" t="str">
        <v>Permanent</v>
      </c>
      <c r="M569" t="str">
        <v>Part time</v>
      </c>
      <c r="N569" t="str">
        <v>Chennai, India</v>
      </c>
      <c r="O569">
        <v>1905</v>
      </c>
      <c r="P569">
        <v>5</v>
      </c>
    </row>
    <row r="570" spans="3:16" x14ac:dyDescent="0.3">
      <c r="C570" t="str">
        <v>TN04775</v>
      </c>
      <c r="D570" t="str">
        <v>Hridaynath</v>
      </c>
      <c r="E570" t="str">
        <v>Tendulkar</v>
      </c>
      <c r="F570" t="str">
        <v>Female</v>
      </c>
      <c r="G570" t="str">
        <v>Legal</v>
      </c>
      <c r="H570">
        <v>31089.22</v>
      </c>
      <c r="I570" t="str">
        <v>under 50k</v>
      </c>
      <c r="J570" s="9">
        <v>43776</v>
      </c>
      <c r="K570">
        <v>1</v>
      </c>
      <c r="L570" t="str">
        <v>Fixed Term</v>
      </c>
      <c r="M570" t="str">
        <v>Full time</v>
      </c>
      <c r="N570" t="str">
        <v>Chennai, India</v>
      </c>
      <c r="O570">
        <v>2332</v>
      </c>
      <c r="P570">
        <v>6</v>
      </c>
    </row>
    <row r="571" spans="3:16" x14ac:dyDescent="0.3">
      <c r="C571" t="str">
        <v>SQ03625</v>
      </c>
      <c r="D571" t="str">
        <v>Fidela</v>
      </c>
      <c r="E571" t="str">
        <v>Artis</v>
      </c>
      <c r="F571" t="str">
        <v>Female</v>
      </c>
      <c r="G571" t="str">
        <v>Sales</v>
      </c>
      <c r="H571">
        <v>78020.39</v>
      </c>
      <c r="I571" t="str">
        <v>50k to 100k</v>
      </c>
      <c r="J571" s="9">
        <v>43899</v>
      </c>
      <c r="K571">
        <v>1</v>
      </c>
      <c r="L571" t="str">
        <v>Permanent</v>
      </c>
      <c r="M571" t="str">
        <v>Full time</v>
      </c>
      <c r="N571" t="str">
        <v>Remote</v>
      </c>
      <c r="O571">
        <v>2209</v>
      </c>
      <c r="P571">
        <v>6</v>
      </c>
    </row>
    <row r="575" spans="3:16" x14ac:dyDescent="0.3">
      <c r="C575" s="78" t="s">
        <v>996</v>
      </c>
      <c r="D575" s="78"/>
      <c r="E575" s="78"/>
    </row>
    <row r="577" spans="3:10" x14ac:dyDescent="0.3">
      <c r="C577" s="23" t="s">
        <v>997</v>
      </c>
      <c r="D577">
        <f>COUNTA(Staff[Emp ID])</f>
        <v>260</v>
      </c>
      <c r="E577" s="25">
        <f>AVERAGE(Staff[Salary])</f>
        <v>73861.325230769202</v>
      </c>
    </row>
    <row r="579" spans="3:10" x14ac:dyDescent="0.3">
      <c r="C579" s="24" t="s">
        <v>3</v>
      </c>
      <c r="D579" s="24" t="s">
        <v>998</v>
      </c>
      <c r="E579" s="24" t="s">
        <v>999</v>
      </c>
      <c r="F579" s="24" t="s">
        <v>1000</v>
      </c>
      <c r="G579" s="24" t="s">
        <v>1001</v>
      </c>
      <c r="H579" s="24" t="s">
        <v>970</v>
      </c>
      <c r="I579" s="24" t="s">
        <v>1002</v>
      </c>
      <c r="J579" s="24"/>
    </row>
    <row r="581" spans="3:10" x14ac:dyDescent="0.3">
      <c r="C581" t="str" cm="1">
        <f t="array" ref="C581:C592">_xlfn._xlws.SORT(_xlfn.UNIQUE(Staff[Department]))</f>
        <v>Accounting</v>
      </c>
      <c r="D581" cm="1">
        <f t="array" ref="D581:D592">COUNTIFS(Staff[Department],_xlfn.ANCHORARRAY(C581))</f>
        <v>26</v>
      </c>
      <c r="E581" s="25" cm="1">
        <f t="array" ref="E581:E592">AVERAGEIFS(Staff[Salary],Staff[Department],_xlfn.ANCHORARRAY(C581))</f>
        <v>69806.945769230762</v>
      </c>
      <c r="F581" s="25" cm="1">
        <f t="array" ref="F581:F592">_xlfn.ANCHORARRAY(E581)-E577</f>
        <v>-4054.3794615384395</v>
      </c>
      <c r="G581" s="25" cm="1">
        <f t="array" ref="G581:G592">_xlfn.ANCHORARRAY(F581)-F577</f>
        <v>-4054.3794615384395</v>
      </c>
      <c r="H581" cm="1">
        <f t="array" ref="H581:H592">_xlfn.MAXIFS(Staff[Salary],Staff[Department],_xlfn.ANCHORARRAY(C581))</f>
        <v>119022.49</v>
      </c>
      <c r="I581">
        <f>MEDIAN(_xlfn.ANCHORARRAY(H581))</f>
        <v>111894.965</v>
      </c>
    </row>
    <row r="582" spans="3:10" x14ac:dyDescent="0.3">
      <c r="C582" t="str">
        <v>Business Development</v>
      </c>
      <c r="D582">
        <v>26</v>
      </c>
      <c r="E582" s="25">
        <v>79781.805769230792</v>
      </c>
      <c r="F582">
        <v>5920.4805384615902</v>
      </c>
      <c r="G582">
        <v>5920.4805384615902</v>
      </c>
      <c r="H582">
        <v>110042.37</v>
      </c>
    </row>
    <row r="583" spans="3:10" x14ac:dyDescent="0.3">
      <c r="C583" t="str">
        <v>Engineering</v>
      </c>
      <c r="D583">
        <v>26</v>
      </c>
      <c r="E583" s="25">
        <v>81976.441923076913</v>
      </c>
      <c r="F583">
        <v>8115.1166923077108</v>
      </c>
      <c r="G583">
        <v>8115.1166923077108</v>
      </c>
      <c r="H583">
        <v>120000</v>
      </c>
    </row>
    <row r="584" spans="3:10" x14ac:dyDescent="0.3">
      <c r="C584" t="str">
        <v>Human Resources</v>
      </c>
      <c r="D584">
        <v>22</v>
      </c>
      <c r="E584" s="25">
        <v>73109.377727272731</v>
      </c>
      <c r="F584">
        <v>-751.94750349647074</v>
      </c>
      <c r="G584">
        <v>-751.94750349647074</v>
      </c>
      <c r="H584">
        <v>103494.94</v>
      </c>
    </row>
    <row r="585" spans="3:10" x14ac:dyDescent="0.3">
      <c r="C585" t="str">
        <v>Legal</v>
      </c>
      <c r="D585">
        <v>21</v>
      </c>
      <c r="E585" s="25">
        <v>67242.51761904762</v>
      </c>
      <c r="F585">
        <v>-6618.8076117215824</v>
      </c>
      <c r="G585">
        <v>-6618.8076117215824</v>
      </c>
      <c r="H585">
        <v>113747.56</v>
      </c>
    </row>
    <row r="586" spans="3:10" x14ac:dyDescent="0.3">
      <c r="C586" t="str">
        <v>Marketing</v>
      </c>
      <c r="D586">
        <v>12</v>
      </c>
      <c r="E586" s="25">
        <v>64441.299999999996</v>
      </c>
      <c r="F586">
        <v>-9420.0252307692062</v>
      </c>
      <c r="G586">
        <v>-9420.0252307692062</v>
      </c>
      <c r="H586">
        <v>104903.79</v>
      </c>
    </row>
    <row r="587" spans="3:10" x14ac:dyDescent="0.3">
      <c r="C587" t="str">
        <v>Product Management</v>
      </c>
      <c r="D587">
        <v>29</v>
      </c>
      <c r="E587" s="25">
        <v>75179.064482758607</v>
      </c>
      <c r="F587">
        <v>1317.7392519894056</v>
      </c>
      <c r="G587">
        <v>1317.7392519894056</v>
      </c>
      <c r="H587">
        <v>115191.38</v>
      </c>
    </row>
    <row r="588" spans="3:10" x14ac:dyDescent="0.3">
      <c r="C588" t="str">
        <v>Research and Development</v>
      </c>
      <c r="D588">
        <v>18</v>
      </c>
      <c r="E588" s="25">
        <v>66910.765555555554</v>
      </c>
      <c r="F588">
        <v>-6950.559675213648</v>
      </c>
      <c r="G588">
        <v>-6950.559675213648</v>
      </c>
      <c r="H588">
        <v>99683.67</v>
      </c>
    </row>
    <row r="589" spans="3:10" x14ac:dyDescent="0.3">
      <c r="C589" t="str">
        <v>Sales</v>
      </c>
      <c r="D589">
        <v>18</v>
      </c>
      <c r="E589" s="25">
        <v>71897.095555555556</v>
      </c>
      <c r="F589">
        <v>-1964.2296752136463</v>
      </c>
      <c r="G589">
        <v>-1964.2296752136463</v>
      </c>
      <c r="H589">
        <v>102129.37</v>
      </c>
    </row>
    <row r="590" spans="3:10" x14ac:dyDescent="0.3">
      <c r="C590" t="str">
        <v>Services</v>
      </c>
      <c r="D590">
        <v>21</v>
      </c>
      <c r="E590" s="25">
        <v>74673.97476190477</v>
      </c>
      <c r="F590">
        <v>812.6495311355684</v>
      </c>
      <c r="G590">
        <v>812.6495311355684</v>
      </c>
      <c r="H590">
        <v>120000</v>
      </c>
    </row>
    <row r="591" spans="3:10" x14ac:dyDescent="0.3">
      <c r="C591" t="str">
        <v>Support</v>
      </c>
      <c r="D591">
        <v>17</v>
      </c>
      <c r="E591" s="25">
        <v>66432.455882352922</v>
      </c>
      <c r="F591">
        <v>-7428.8693484162795</v>
      </c>
      <c r="G591">
        <v>-7428.8693484162795</v>
      </c>
      <c r="H591">
        <v>104802.63</v>
      </c>
    </row>
    <row r="592" spans="3:10" x14ac:dyDescent="0.3">
      <c r="C592" t="str">
        <v>Training</v>
      </c>
      <c r="D592">
        <v>24</v>
      </c>
      <c r="E592" s="25">
        <v>83883.965000000011</v>
      </c>
      <c r="F592">
        <v>10022.639769230809</v>
      </c>
      <c r="G592">
        <v>10022.639769230809</v>
      </c>
      <c r="H592">
        <v>116767.63</v>
      </c>
    </row>
  </sheetData>
  <conditionalFormatting sqref="G581:G592">
    <cfRule type="dataBar" priority="1">
      <dataBar showValue="0">
        <cfvo type="min"/>
        <cfvo type="max"/>
        <color rgb="FF638EC6"/>
      </dataBar>
      <extLst>
        <ext xmlns:x14="http://schemas.microsoft.com/office/spreadsheetml/2009/9/main" uri="{B025F937-C7B1-47D3-B67F-A62EFF666E3E}">
          <x14:id>{90000691-C3C5-4101-A45A-E961393F175F}</x14:id>
        </ext>
      </extLst>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90000691-C3C5-4101-A45A-E961393F175F}">
            <x14:dataBar minLength="0" maxLength="100" gradient="0">
              <x14:cfvo type="autoMin"/>
              <x14:cfvo type="autoMax"/>
              <x14:negativeFillColor rgb="FFFF0000"/>
              <x14:axisColor rgb="FF000000"/>
            </x14:dataBar>
          </x14:cfRule>
          <xm:sqref>G581:G592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6C3F2-3743-4403-A2A5-4E8180F95191}">
  <dimension ref="A1:D18"/>
  <sheetViews>
    <sheetView workbookViewId="0">
      <selection activeCell="C6" sqref="C6"/>
    </sheetView>
  </sheetViews>
  <sheetFormatPr defaultRowHeight="14.4" x14ac:dyDescent="0.3"/>
  <cols>
    <col min="3" max="3" width="68.5546875" customWidth="1"/>
  </cols>
  <sheetData>
    <row r="1" spans="1:4" ht="36.6" x14ac:dyDescent="0.3">
      <c r="A1" s="26"/>
      <c r="B1" s="27" t="s">
        <v>1003</v>
      </c>
      <c r="C1" s="26"/>
      <c r="D1" s="26"/>
    </row>
    <row r="5" spans="1:4" ht="21" x14ac:dyDescent="0.4">
      <c r="B5" s="37" t="s">
        <v>1004</v>
      </c>
      <c r="D5" s="38" t="s">
        <v>1005</v>
      </c>
    </row>
    <row r="6" spans="1:4" ht="18" x14ac:dyDescent="0.3">
      <c r="B6" s="34">
        <v>1</v>
      </c>
      <c r="C6" s="28" t="s">
        <v>1006</v>
      </c>
      <c r="D6" s="29" t="s">
        <v>1007</v>
      </c>
    </row>
    <row r="7" spans="1:4" ht="18" x14ac:dyDescent="0.3">
      <c r="B7" s="35">
        <v>2</v>
      </c>
      <c r="C7" s="30" t="s">
        <v>1008</v>
      </c>
      <c r="D7" s="31" t="s">
        <v>1009</v>
      </c>
    </row>
    <row r="8" spans="1:4" ht="18" x14ac:dyDescent="0.3">
      <c r="B8" s="35">
        <v>3</v>
      </c>
      <c r="C8" s="30" t="s">
        <v>1010</v>
      </c>
      <c r="D8" s="31" t="s">
        <v>1011</v>
      </c>
    </row>
    <row r="9" spans="1:4" ht="18" x14ac:dyDescent="0.3">
      <c r="B9" s="35">
        <v>4</v>
      </c>
      <c r="C9" s="30" t="s">
        <v>1012</v>
      </c>
      <c r="D9" s="31" t="s">
        <v>1013</v>
      </c>
    </row>
    <row r="10" spans="1:4" ht="18" x14ac:dyDescent="0.3">
      <c r="B10" s="35">
        <v>5</v>
      </c>
      <c r="C10" s="30" t="s">
        <v>1014</v>
      </c>
      <c r="D10" s="31" t="s">
        <v>1015</v>
      </c>
    </row>
    <row r="11" spans="1:4" ht="18" x14ac:dyDescent="0.3">
      <c r="B11" s="35">
        <v>6</v>
      </c>
      <c r="C11" s="30" t="s">
        <v>1016</v>
      </c>
      <c r="D11" s="31" t="s">
        <v>1017</v>
      </c>
    </row>
    <row r="12" spans="1:4" ht="18" x14ac:dyDescent="0.3">
      <c r="B12" s="35">
        <v>7</v>
      </c>
      <c r="C12" s="30" t="s">
        <v>1018</v>
      </c>
      <c r="D12" s="31" t="s">
        <v>1019</v>
      </c>
    </row>
    <row r="13" spans="1:4" ht="18" x14ac:dyDescent="0.3">
      <c r="B13" s="35">
        <v>8</v>
      </c>
      <c r="C13" s="30" t="s">
        <v>1020</v>
      </c>
      <c r="D13" s="31" t="s">
        <v>1021</v>
      </c>
    </row>
    <row r="14" spans="1:4" ht="18" x14ac:dyDescent="0.3">
      <c r="B14" s="35">
        <v>9</v>
      </c>
      <c r="C14" s="30" t="s">
        <v>1022</v>
      </c>
      <c r="D14" s="31" t="s">
        <v>1023</v>
      </c>
    </row>
    <row r="15" spans="1:4" ht="18" x14ac:dyDescent="0.3">
      <c r="B15" s="36">
        <v>10</v>
      </c>
      <c r="C15" s="32" t="s">
        <v>1024</v>
      </c>
      <c r="D15" s="33" t="s">
        <v>1021</v>
      </c>
    </row>
    <row r="17" spans="2:3" ht="18" x14ac:dyDescent="0.3">
      <c r="B17" s="34" t="s">
        <v>1025</v>
      </c>
      <c r="C17" s="28" t="s">
        <v>1026</v>
      </c>
    </row>
    <row r="18" spans="2:3" ht="18" x14ac:dyDescent="0.3">
      <c r="B18" s="36" t="s">
        <v>1027</v>
      </c>
      <c r="C18" s="32" t="s">
        <v>1028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AC8AD-B630-417C-BE6B-D01ECE8637B2}">
  <dimension ref="A3:C19"/>
  <sheetViews>
    <sheetView workbookViewId="0">
      <selection activeCell="A3" sqref="A3:C19"/>
    </sheetView>
  </sheetViews>
  <sheetFormatPr defaultRowHeight="14.4" x14ac:dyDescent="0.3"/>
  <cols>
    <col min="1" max="1" width="12.44140625" bestFit="1" customWidth="1"/>
    <col min="2" max="2" width="18.44140625" bestFit="1" customWidth="1"/>
    <col min="3" max="3" width="25.77734375" bestFit="1" customWidth="1"/>
  </cols>
  <sheetData>
    <row r="3" spans="1:3" x14ac:dyDescent="0.3">
      <c r="A3" s="53" t="s">
        <v>2056</v>
      </c>
      <c r="B3" t="s">
        <v>2058</v>
      </c>
      <c r="C3" t="s">
        <v>2059</v>
      </c>
    </row>
    <row r="4" spans="1:3" x14ac:dyDescent="0.3">
      <c r="A4" s="16" t="s">
        <v>1089</v>
      </c>
      <c r="B4">
        <v>65</v>
      </c>
      <c r="C4" s="54">
        <v>3.8307692307692309</v>
      </c>
    </row>
    <row r="5" spans="1:3" x14ac:dyDescent="0.3">
      <c r="A5" s="16" t="s">
        <v>1062</v>
      </c>
      <c r="B5">
        <v>63</v>
      </c>
      <c r="C5" s="54">
        <v>4.0730158730158736</v>
      </c>
    </row>
    <row r="6" spans="1:3" x14ac:dyDescent="0.3">
      <c r="A6" s="16" t="s">
        <v>1037</v>
      </c>
      <c r="B6">
        <v>50</v>
      </c>
      <c r="C6" s="54">
        <v>4.0179999999999998</v>
      </c>
    </row>
    <row r="7" spans="1:3" x14ac:dyDescent="0.3">
      <c r="A7" s="16" t="s">
        <v>1040</v>
      </c>
      <c r="B7">
        <v>82</v>
      </c>
      <c r="C7" s="54">
        <v>3.976829268292684</v>
      </c>
    </row>
    <row r="8" spans="1:3" x14ac:dyDescent="0.3">
      <c r="A8" s="16" t="s">
        <v>1042</v>
      </c>
      <c r="B8">
        <v>79</v>
      </c>
      <c r="C8" s="54">
        <v>3.9797468354430396</v>
      </c>
    </row>
    <row r="9" spans="1:3" x14ac:dyDescent="0.3">
      <c r="A9" s="16" t="s">
        <v>1071</v>
      </c>
      <c r="B9">
        <v>62</v>
      </c>
      <c r="C9" s="54">
        <v>3.7774193548387092</v>
      </c>
    </row>
    <row r="10" spans="1:3" x14ac:dyDescent="0.3">
      <c r="A10" s="16" t="s">
        <v>1051</v>
      </c>
      <c r="B10">
        <v>67</v>
      </c>
      <c r="C10" s="54">
        <v>3.8522388059701487</v>
      </c>
    </row>
    <row r="11" spans="1:3" x14ac:dyDescent="0.3">
      <c r="A11" s="16" t="s">
        <v>1109</v>
      </c>
      <c r="B11">
        <v>59</v>
      </c>
      <c r="C11" s="54">
        <v>3.901694915254236</v>
      </c>
    </row>
    <row r="12" spans="1:3" x14ac:dyDescent="0.3">
      <c r="A12" s="16" t="s">
        <v>1068</v>
      </c>
      <c r="B12">
        <v>69</v>
      </c>
      <c r="C12" s="54">
        <v>3.62608695652174</v>
      </c>
    </row>
    <row r="13" spans="1:3" x14ac:dyDescent="0.3">
      <c r="A13" s="16" t="s">
        <v>1056</v>
      </c>
      <c r="B13">
        <v>72</v>
      </c>
      <c r="C13" s="54">
        <v>3.863888888888888</v>
      </c>
    </row>
    <row r="14" spans="1:3" x14ac:dyDescent="0.3">
      <c r="A14" s="16" t="s">
        <v>1047</v>
      </c>
      <c r="B14">
        <v>74</v>
      </c>
      <c r="C14" s="54">
        <v>3.9837837837837853</v>
      </c>
    </row>
    <row r="15" spans="1:3" x14ac:dyDescent="0.3">
      <c r="A15" s="16" t="s">
        <v>1079</v>
      </c>
      <c r="B15">
        <v>70</v>
      </c>
      <c r="C15" s="54">
        <v>4.1300000000000008</v>
      </c>
    </row>
    <row r="16" spans="1:3" x14ac:dyDescent="0.3">
      <c r="A16" s="16" t="s">
        <v>1060</v>
      </c>
      <c r="B16">
        <v>69</v>
      </c>
      <c r="C16" s="54">
        <v>3.7753623188405814</v>
      </c>
    </row>
    <row r="17" spans="1:3" x14ac:dyDescent="0.3">
      <c r="A17" s="16" t="s">
        <v>1045</v>
      </c>
      <c r="B17">
        <v>60</v>
      </c>
      <c r="C17" s="54">
        <v>3.609999999999999</v>
      </c>
    </row>
    <row r="18" spans="1:3" x14ac:dyDescent="0.3">
      <c r="A18" s="16" t="s">
        <v>1076</v>
      </c>
      <c r="B18">
        <v>59</v>
      </c>
      <c r="C18" s="54">
        <v>3.8389830508474563</v>
      </c>
    </row>
    <row r="19" spans="1:3" x14ac:dyDescent="0.3">
      <c r="A19" s="16" t="s">
        <v>2057</v>
      </c>
      <c r="B19">
        <v>1000</v>
      </c>
      <c r="C19" s="54">
        <v>3.8854000000000029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D5375-6539-4797-970C-B45DB4DD8AAA}">
  <dimension ref="A3:I19"/>
  <sheetViews>
    <sheetView topLeftCell="A3" workbookViewId="0">
      <selection activeCell="B5" sqref="B5"/>
    </sheetView>
  </sheetViews>
  <sheetFormatPr defaultRowHeight="14.4" x14ac:dyDescent="0.3"/>
  <cols>
    <col min="1" max="1" width="12.44140625" bestFit="1" customWidth="1"/>
    <col min="2" max="2" width="21.77734375" bestFit="1" customWidth="1"/>
  </cols>
  <sheetData>
    <row r="3" spans="1:2" x14ac:dyDescent="0.3">
      <c r="A3" s="53" t="s">
        <v>2056</v>
      </c>
      <c r="B3" t="s">
        <v>2061</v>
      </c>
    </row>
    <row r="4" spans="1:2" x14ac:dyDescent="0.3">
      <c r="A4" s="16" t="s">
        <v>1079</v>
      </c>
      <c r="B4" s="55">
        <v>2070</v>
      </c>
    </row>
    <row r="5" spans="1:2" x14ac:dyDescent="0.3">
      <c r="A5" s="16" t="s">
        <v>1047</v>
      </c>
      <c r="B5" s="55">
        <v>1747</v>
      </c>
    </row>
    <row r="6" spans="1:2" x14ac:dyDescent="0.3">
      <c r="A6" s="16" t="s">
        <v>1040</v>
      </c>
      <c r="B6" s="55">
        <v>1722</v>
      </c>
    </row>
    <row r="7" spans="1:2" x14ac:dyDescent="0.3">
      <c r="A7" s="16" t="s">
        <v>1060</v>
      </c>
      <c r="B7" s="55">
        <v>1722</v>
      </c>
    </row>
    <row r="8" spans="1:2" x14ac:dyDescent="0.3">
      <c r="A8" s="16" t="s">
        <v>1068</v>
      </c>
      <c r="B8" s="55">
        <v>1566</v>
      </c>
    </row>
    <row r="9" spans="1:2" x14ac:dyDescent="0.3">
      <c r="A9" s="16" t="s">
        <v>1062</v>
      </c>
      <c r="B9" s="55">
        <v>1508</v>
      </c>
    </row>
    <row r="10" spans="1:2" x14ac:dyDescent="0.3">
      <c r="A10" s="16" t="s">
        <v>1071</v>
      </c>
      <c r="B10" s="55">
        <v>1484</v>
      </c>
    </row>
    <row r="11" spans="1:2" x14ac:dyDescent="0.3">
      <c r="A11" s="16" t="s">
        <v>1051</v>
      </c>
      <c r="B11" s="55">
        <v>1416</v>
      </c>
    </row>
    <row r="12" spans="1:2" x14ac:dyDescent="0.3">
      <c r="A12" s="16" t="s">
        <v>1042</v>
      </c>
      <c r="B12" s="55">
        <v>1196</v>
      </c>
    </row>
    <row r="13" spans="1:2" x14ac:dyDescent="0.3">
      <c r="A13" s="16" t="s">
        <v>1109</v>
      </c>
      <c r="B13" s="55">
        <v>1193</v>
      </c>
    </row>
    <row r="14" spans="1:2" x14ac:dyDescent="0.3">
      <c r="A14" s="16" t="s">
        <v>2057</v>
      </c>
      <c r="B14" s="55">
        <v>15624</v>
      </c>
    </row>
    <row r="19" spans="9:9" x14ac:dyDescent="0.3">
      <c r="I19" t="s">
        <v>2060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A9BB-F838-40E2-849D-DE451FE1A74B}">
  <dimension ref="A3:B33"/>
  <sheetViews>
    <sheetView workbookViewId="0">
      <selection activeCell="A20" sqref="A20:B33"/>
    </sheetView>
  </sheetViews>
  <sheetFormatPr defaultRowHeight="14.4" x14ac:dyDescent="0.3"/>
  <cols>
    <col min="1" max="1" width="12.44140625" bestFit="1" customWidth="1"/>
    <col min="2" max="2" width="18.44140625" bestFit="1" customWidth="1"/>
  </cols>
  <sheetData>
    <row r="3" spans="1:2" x14ac:dyDescent="0.3">
      <c r="A3" s="53" t="s">
        <v>2056</v>
      </c>
      <c r="B3" t="s">
        <v>2058</v>
      </c>
    </row>
    <row r="4" spans="1:2" x14ac:dyDescent="0.3">
      <c r="A4" s="16" t="s">
        <v>2062</v>
      </c>
      <c r="B4">
        <v>10</v>
      </c>
    </row>
    <row r="5" spans="1:2" x14ac:dyDescent="0.3">
      <c r="A5" s="16" t="s">
        <v>2063</v>
      </c>
      <c r="B5">
        <v>11</v>
      </c>
    </row>
    <row r="6" spans="1:2" x14ac:dyDescent="0.3">
      <c r="A6" s="16" t="s">
        <v>2064</v>
      </c>
      <c r="B6">
        <v>30</v>
      </c>
    </row>
    <row r="7" spans="1:2" x14ac:dyDescent="0.3">
      <c r="A7" s="16" t="s">
        <v>2065</v>
      </c>
      <c r="B7">
        <v>23</v>
      </c>
    </row>
    <row r="8" spans="1:2" x14ac:dyDescent="0.3">
      <c r="A8" s="16" t="s">
        <v>2066</v>
      </c>
      <c r="B8">
        <v>22</v>
      </c>
    </row>
    <row r="9" spans="1:2" x14ac:dyDescent="0.3">
      <c r="A9" s="16" t="s">
        <v>2067</v>
      </c>
      <c r="B9">
        <v>11</v>
      </c>
    </row>
    <row r="10" spans="1:2" x14ac:dyDescent="0.3">
      <c r="A10" s="16" t="s">
        <v>2068</v>
      </c>
      <c r="B10">
        <v>17</v>
      </c>
    </row>
    <row r="11" spans="1:2" x14ac:dyDescent="0.3">
      <c r="A11" s="16" t="s">
        <v>2069</v>
      </c>
      <c r="B11">
        <v>12</v>
      </c>
    </row>
    <row r="12" spans="1:2" x14ac:dyDescent="0.3">
      <c r="A12" s="16" t="s">
        <v>2070</v>
      </c>
      <c r="B12">
        <v>13</v>
      </c>
    </row>
    <row r="13" spans="1:2" x14ac:dyDescent="0.3">
      <c r="A13" s="16" t="s">
        <v>2071</v>
      </c>
      <c r="B13">
        <v>15</v>
      </c>
    </row>
    <row r="14" spans="1:2" x14ac:dyDescent="0.3">
      <c r="A14" s="16" t="s">
        <v>2072</v>
      </c>
      <c r="B14">
        <v>8</v>
      </c>
    </row>
    <row r="15" spans="1:2" x14ac:dyDescent="0.3">
      <c r="A15" s="16" t="s">
        <v>2073</v>
      </c>
      <c r="B15">
        <v>14</v>
      </c>
    </row>
    <row r="16" spans="1:2" x14ac:dyDescent="0.3">
      <c r="A16" s="16" t="s">
        <v>2057</v>
      </c>
      <c r="B16">
        <v>186</v>
      </c>
    </row>
    <row r="20" spans="1:2" x14ac:dyDescent="0.3">
      <c r="A20" s="53" t="s">
        <v>2056</v>
      </c>
      <c r="B20" t="s">
        <v>2061</v>
      </c>
    </row>
    <row r="21" spans="1:2" x14ac:dyDescent="0.3">
      <c r="A21" s="16" t="s">
        <v>2062</v>
      </c>
      <c r="B21">
        <v>1291</v>
      </c>
    </row>
    <row r="22" spans="1:2" x14ac:dyDescent="0.3">
      <c r="A22" s="16" t="s">
        <v>2063</v>
      </c>
      <c r="B22">
        <v>1060</v>
      </c>
    </row>
    <row r="23" spans="1:2" x14ac:dyDescent="0.3">
      <c r="A23" s="16" t="s">
        <v>2064</v>
      </c>
      <c r="B23">
        <v>2165</v>
      </c>
    </row>
    <row r="24" spans="1:2" x14ac:dyDescent="0.3">
      <c r="A24" s="16" t="s">
        <v>2065</v>
      </c>
      <c r="B24">
        <v>1795</v>
      </c>
    </row>
    <row r="25" spans="1:2" x14ac:dyDescent="0.3">
      <c r="A25" s="16" t="s">
        <v>2066</v>
      </c>
      <c r="B25">
        <v>2212</v>
      </c>
    </row>
    <row r="26" spans="1:2" x14ac:dyDescent="0.3">
      <c r="A26" s="16" t="s">
        <v>2067</v>
      </c>
      <c r="B26">
        <v>675</v>
      </c>
    </row>
    <row r="27" spans="1:2" x14ac:dyDescent="0.3">
      <c r="A27" s="16" t="s">
        <v>2068</v>
      </c>
      <c r="B27">
        <v>1535</v>
      </c>
    </row>
    <row r="28" spans="1:2" x14ac:dyDescent="0.3">
      <c r="A28" s="16" t="s">
        <v>2069</v>
      </c>
      <c r="B28">
        <v>1433</v>
      </c>
    </row>
    <row r="29" spans="1:2" x14ac:dyDescent="0.3">
      <c r="A29" s="16" t="s">
        <v>2070</v>
      </c>
      <c r="B29">
        <v>1122</v>
      </c>
    </row>
    <row r="30" spans="1:2" x14ac:dyDescent="0.3">
      <c r="A30" s="16" t="s">
        <v>2071</v>
      </c>
      <c r="B30">
        <v>1245</v>
      </c>
    </row>
    <row r="31" spans="1:2" x14ac:dyDescent="0.3">
      <c r="A31" s="16" t="s">
        <v>2072</v>
      </c>
      <c r="B31">
        <v>717</v>
      </c>
    </row>
    <row r="32" spans="1:2" x14ac:dyDescent="0.3">
      <c r="A32" s="16" t="s">
        <v>2073</v>
      </c>
      <c r="B32">
        <v>1401</v>
      </c>
    </row>
    <row r="33" spans="1:2" x14ac:dyDescent="0.3">
      <c r="A33" s="16" t="s">
        <v>2057</v>
      </c>
      <c r="B33">
        <v>16651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4497E-321C-46A2-A971-319A526C26C2}">
  <dimension ref="A3:B168"/>
  <sheetViews>
    <sheetView topLeftCell="A101" workbookViewId="0">
      <selection activeCell="G5" sqref="G5"/>
    </sheetView>
  </sheetViews>
  <sheetFormatPr defaultRowHeight="14.4" x14ac:dyDescent="0.3"/>
  <cols>
    <col min="1" max="1" width="12.44140625" bestFit="1" customWidth="1"/>
    <col min="2" max="2" width="18.44140625" bestFit="1" customWidth="1"/>
  </cols>
  <sheetData>
    <row r="3" spans="1:2" x14ac:dyDescent="0.3">
      <c r="A3" s="53" t="s">
        <v>2056</v>
      </c>
      <c r="B3" t="s">
        <v>2058</v>
      </c>
    </row>
    <row r="4" spans="1:2" x14ac:dyDescent="0.3">
      <c r="A4" s="16">
        <v>2</v>
      </c>
      <c r="B4">
        <v>1</v>
      </c>
    </row>
    <row r="5" spans="1:2" x14ac:dyDescent="0.3">
      <c r="A5" s="16">
        <v>4</v>
      </c>
      <c r="B5">
        <v>1</v>
      </c>
    </row>
    <row r="6" spans="1:2" x14ac:dyDescent="0.3">
      <c r="A6" s="16">
        <v>6</v>
      </c>
      <c r="B6">
        <v>3</v>
      </c>
    </row>
    <row r="7" spans="1:2" x14ac:dyDescent="0.3">
      <c r="A7" s="16">
        <v>7</v>
      </c>
      <c r="B7">
        <v>1</v>
      </c>
    </row>
    <row r="8" spans="1:2" x14ac:dyDescent="0.3">
      <c r="A8" s="16">
        <v>8</v>
      </c>
      <c r="B8">
        <v>2</v>
      </c>
    </row>
    <row r="9" spans="1:2" x14ac:dyDescent="0.3">
      <c r="A9" s="16">
        <v>10</v>
      </c>
      <c r="B9">
        <v>1</v>
      </c>
    </row>
    <row r="10" spans="1:2" x14ac:dyDescent="0.3">
      <c r="A10" s="16">
        <v>11</v>
      </c>
      <c r="B10">
        <v>1</v>
      </c>
    </row>
    <row r="11" spans="1:2" x14ac:dyDescent="0.3">
      <c r="A11" s="16">
        <v>12</v>
      </c>
      <c r="B11">
        <v>1</v>
      </c>
    </row>
    <row r="12" spans="1:2" x14ac:dyDescent="0.3">
      <c r="A12" s="16">
        <v>13</v>
      </c>
      <c r="B12">
        <v>2</v>
      </c>
    </row>
    <row r="13" spans="1:2" x14ac:dyDescent="0.3">
      <c r="A13" s="16">
        <v>14</v>
      </c>
      <c r="B13">
        <v>1</v>
      </c>
    </row>
    <row r="14" spans="1:2" x14ac:dyDescent="0.3">
      <c r="A14" s="16">
        <v>15</v>
      </c>
      <c r="B14">
        <v>2</v>
      </c>
    </row>
    <row r="15" spans="1:2" x14ac:dyDescent="0.3">
      <c r="A15" s="16">
        <v>17</v>
      </c>
      <c r="B15">
        <v>2</v>
      </c>
    </row>
    <row r="16" spans="1:2" x14ac:dyDescent="0.3">
      <c r="A16" s="16">
        <v>18</v>
      </c>
      <c r="B16">
        <v>4</v>
      </c>
    </row>
    <row r="17" spans="1:2" x14ac:dyDescent="0.3">
      <c r="A17" s="16">
        <v>19</v>
      </c>
      <c r="B17">
        <v>3</v>
      </c>
    </row>
    <row r="18" spans="1:2" x14ac:dyDescent="0.3">
      <c r="A18" s="16">
        <v>20</v>
      </c>
      <c r="B18">
        <v>2</v>
      </c>
    </row>
    <row r="19" spans="1:2" x14ac:dyDescent="0.3">
      <c r="A19" s="16">
        <v>21</v>
      </c>
      <c r="B19">
        <v>4</v>
      </c>
    </row>
    <row r="20" spans="1:2" x14ac:dyDescent="0.3">
      <c r="A20" s="16">
        <v>23</v>
      </c>
      <c r="B20">
        <v>4</v>
      </c>
    </row>
    <row r="21" spans="1:2" x14ac:dyDescent="0.3">
      <c r="A21" s="16">
        <v>24</v>
      </c>
      <c r="B21">
        <v>1</v>
      </c>
    </row>
    <row r="22" spans="1:2" x14ac:dyDescent="0.3">
      <c r="A22" s="16">
        <v>25</v>
      </c>
      <c r="B22">
        <v>5</v>
      </c>
    </row>
    <row r="23" spans="1:2" x14ac:dyDescent="0.3">
      <c r="A23" s="16">
        <v>26</v>
      </c>
      <c r="B23">
        <v>3</v>
      </c>
    </row>
    <row r="24" spans="1:2" x14ac:dyDescent="0.3">
      <c r="A24" s="16">
        <v>27</v>
      </c>
      <c r="B24">
        <v>2</v>
      </c>
    </row>
    <row r="25" spans="1:2" x14ac:dyDescent="0.3">
      <c r="A25" s="16">
        <v>28</v>
      </c>
      <c r="B25">
        <v>6</v>
      </c>
    </row>
    <row r="26" spans="1:2" x14ac:dyDescent="0.3">
      <c r="A26" s="16">
        <v>29</v>
      </c>
      <c r="B26">
        <v>2</v>
      </c>
    </row>
    <row r="27" spans="1:2" x14ac:dyDescent="0.3">
      <c r="A27" s="16">
        <v>30</v>
      </c>
      <c r="B27">
        <v>6</v>
      </c>
    </row>
    <row r="28" spans="1:2" x14ac:dyDescent="0.3">
      <c r="A28" s="16">
        <v>31</v>
      </c>
      <c r="B28">
        <v>9</v>
      </c>
    </row>
    <row r="29" spans="1:2" x14ac:dyDescent="0.3">
      <c r="A29" s="16">
        <v>32</v>
      </c>
      <c r="B29">
        <v>3</v>
      </c>
    </row>
    <row r="30" spans="1:2" x14ac:dyDescent="0.3">
      <c r="A30" s="16">
        <v>33</v>
      </c>
      <c r="B30">
        <v>3</v>
      </c>
    </row>
    <row r="31" spans="1:2" x14ac:dyDescent="0.3">
      <c r="A31" s="16">
        <v>34</v>
      </c>
      <c r="B31">
        <v>2</v>
      </c>
    </row>
    <row r="32" spans="1:2" x14ac:dyDescent="0.3">
      <c r="A32" s="16">
        <v>35</v>
      </c>
      <c r="B32">
        <v>2</v>
      </c>
    </row>
    <row r="33" spans="1:2" x14ac:dyDescent="0.3">
      <c r="A33" s="16">
        <v>36</v>
      </c>
      <c r="B33">
        <v>4</v>
      </c>
    </row>
    <row r="34" spans="1:2" x14ac:dyDescent="0.3">
      <c r="A34" s="16">
        <v>37</v>
      </c>
      <c r="B34">
        <v>4</v>
      </c>
    </row>
    <row r="35" spans="1:2" x14ac:dyDescent="0.3">
      <c r="A35" s="16">
        <v>38</v>
      </c>
      <c r="B35">
        <v>5</v>
      </c>
    </row>
    <row r="36" spans="1:2" x14ac:dyDescent="0.3">
      <c r="A36" s="16">
        <v>39</v>
      </c>
      <c r="B36">
        <v>4</v>
      </c>
    </row>
    <row r="37" spans="1:2" x14ac:dyDescent="0.3">
      <c r="A37" s="16">
        <v>40</v>
      </c>
      <c r="B37">
        <v>8</v>
      </c>
    </row>
    <row r="38" spans="1:2" x14ac:dyDescent="0.3">
      <c r="A38" s="16">
        <v>41</v>
      </c>
      <c r="B38">
        <v>6</v>
      </c>
    </row>
    <row r="39" spans="1:2" x14ac:dyDescent="0.3">
      <c r="A39" s="16">
        <v>42</v>
      </c>
      <c r="B39">
        <v>3</v>
      </c>
    </row>
    <row r="40" spans="1:2" x14ac:dyDescent="0.3">
      <c r="A40" s="16">
        <v>43</v>
      </c>
      <c r="B40">
        <v>7</v>
      </c>
    </row>
    <row r="41" spans="1:2" x14ac:dyDescent="0.3">
      <c r="A41" s="16">
        <v>44</v>
      </c>
      <c r="B41">
        <v>4</v>
      </c>
    </row>
    <row r="42" spans="1:2" x14ac:dyDescent="0.3">
      <c r="A42" s="16">
        <v>45</v>
      </c>
      <c r="B42">
        <v>7</v>
      </c>
    </row>
    <row r="43" spans="1:2" x14ac:dyDescent="0.3">
      <c r="A43" s="16">
        <v>46</v>
      </c>
      <c r="B43">
        <v>2</v>
      </c>
    </row>
    <row r="44" spans="1:2" x14ac:dyDescent="0.3">
      <c r="A44" s="16">
        <v>47</v>
      </c>
      <c r="B44">
        <v>4</v>
      </c>
    </row>
    <row r="45" spans="1:2" x14ac:dyDescent="0.3">
      <c r="A45" s="16">
        <v>48</v>
      </c>
      <c r="B45">
        <v>5</v>
      </c>
    </row>
    <row r="46" spans="1:2" x14ac:dyDescent="0.3">
      <c r="A46" s="16">
        <v>49</v>
      </c>
      <c r="B46">
        <v>8</v>
      </c>
    </row>
    <row r="47" spans="1:2" x14ac:dyDescent="0.3">
      <c r="A47" s="16">
        <v>50</v>
      </c>
      <c r="B47">
        <v>9</v>
      </c>
    </row>
    <row r="48" spans="1:2" x14ac:dyDescent="0.3">
      <c r="A48" s="16">
        <v>51</v>
      </c>
      <c r="B48">
        <v>4</v>
      </c>
    </row>
    <row r="49" spans="1:2" x14ac:dyDescent="0.3">
      <c r="A49" s="16">
        <v>52</v>
      </c>
      <c r="B49">
        <v>8</v>
      </c>
    </row>
    <row r="50" spans="1:2" x14ac:dyDescent="0.3">
      <c r="A50" s="16">
        <v>53</v>
      </c>
      <c r="B50">
        <v>6</v>
      </c>
    </row>
    <row r="51" spans="1:2" x14ac:dyDescent="0.3">
      <c r="A51" s="16">
        <v>54</v>
      </c>
      <c r="B51">
        <v>8</v>
      </c>
    </row>
    <row r="52" spans="1:2" x14ac:dyDescent="0.3">
      <c r="A52" s="16">
        <v>55</v>
      </c>
      <c r="B52">
        <v>10</v>
      </c>
    </row>
    <row r="53" spans="1:2" x14ac:dyDescent="0.3">
      <c r="A53" s="16">
        <v>56</v>
      </c>
      <c r="B53">
        <v>13</v>
      </c>
    </row>
    <row r="54" spans="1:2" x14ac:dyDescent="0.3">
      <c r="A54" s="16">
        <v>57</v>
      </c>
      <c r="B54">
        <v>4</v>
      </c>
    </row>
    <row r="55" spans="1:2" x14ac:dyDescent="0.3">
      <c r="A55" s="16">
        <v>58</v>
      </c>
      <c r="B55">
        <v>8</v>
      </c>
    </row>
    <row r="56" spans="1:2" x14ac:dyDescent="0.3">
      <c r="A56" s="16">
        <v>59</v>
      </c>
      <c r="B56">
        <v>9</v>
      </c>
    </row>
    <row r="57" spans="1:2" x14ac:dyDescent="0.3">
      <c r="A57" s="16">
        <v>60</v>
      </c>
      <c r="B57">
        <v>10</v>
      </c>
    </row>
    <row r="58" spans="1:2" x14ac:dyDescent="0.3">
      <c r="A58" s="16">
        <v>61</v>
      </c>
      <c r="B58">
        <v>10</v>
      </c>
    </row>
    <row r="59" spans="1:2" x14ac:dyDescent="0.3">
      <c r="A59" s="16">
        <v>62</v>
      </c>
      <c r="B59">
        <v>8</v>
      </c>
    </row>
    <row r="60" spans="1:2" x14ac:dyDescent="0.3">
      <c r="A60" s="16">
        <v>63</v>
      </c>
      <c r="B60">
        <v>15</v>
      </c>
    </row>
    <row r="61" spans="1:2" x14ac:dyDescent="0.3">
      <c r="A61" s="16">
        <v>64</v>
      </c>
      <c r="B61">
        <v>12</v>
      </c>
    </row>
    <row r="62" spans="1:2" x14ac:dyDescent="0.3">
      <c r="A62" s="16">
        <v>65</v>
      </c>
      <c r="B62">
        <v>6</v>
      </c>
    </row>
    <row r="63" spans="1:2" x14ac:dyDescent="0.3">
      <c r="A63" s="16">
        <v>66</v>
      </c>
      <c r="B63">
        <v>5</v>
      </c>
    </row>
    <row r="64" spans="1:2" x14ac:dyDescent="0.3">
      <c r="A64" s="16">
        <v>67</v>
      </c>
      <c r="B64">
        <v>12</v>
      </c>
    </row>
    <row r="65" spans="1:2" x14ac:dyDescent="0.3">
      <c r="A65" s="16">
        <v>68</v>
      </c>
      <c r="B65">
        <v>5</v>
      </c>
    </row>
    <row r="66" spans="1:2" x14ac:dyDescent="0.3">
      <c r="A66" s="16">
        <v>69</v>
      </c>
      <c r="B66">
        <v>13</v>
      </c>
    </row>
    <row r="67" spans="1:2" x14ac:dyDescent="0.3">
      <c r="A67" s="16">
        <v>70</v>
      </c>
      <c r="B67">
        <v>8</v>
      </c>
    </row>
    <row r="68" spans="1:2" x14ac:dyDescent="0.3">
      <c r="A68" s="16">
        <v>71</v>
      </c>
      <c r="B68">
        <v>10</v>
      </c>
    </row>
    <row r="69" spans="1:2" x14ac:dyDescent="0.3">
      <c r="A69" s="16">
        <v>72</v>
      </c>
      <c r="B69">
        <v>8</v>
      </c>
    </row>
    <row r="70" spans="1:2" x14ac:dyDescent="0.3">
      <c r="A70" s="16">
        <v>73</v>
      </c>
      <c r="B70">
        <v>11</v>
      </c>
    </row>
    <row r="71" spans="1:2" x14ac:dyDescent="0.3">
      <c r="A71" s="16">
        <v>74</v>
      </c>
      <c r="B71">
        <v>10</v>
      </c>
    </row>
    <row r="72" spans="1:2" x14ac:dyDescent="0.3">
      <c r="A72" s="16">
        <v>75</v>
      </c>
      <c r="B72">
        <v>13</v>
      </c>
    </row>
    <row r="73" spans="1:2" x14ac:dyDescent="0.3">
      <c r="A73" s="16">
        <v>76</v>
      </c>
      <c r="B73">
        <v>11</v>
      </c>
    </row>
    <row r="74" spans="1:2" x14ac:dyDescent="0.3">
      <c r="A74" s="16">
        <v>77</v>
      </c>
      <c r="B74">
        <v>3</v>
      </c>
    </row>
    <row r="75" spans="1:2" x14ac:dyDescent="0.3">
      <c r="A75" s="16">
        <v>78</v>
      </c>
      <c r="B75">
        <v>11</v>
      </c>
    </row>
    <row r="76" spans="1:2" x14ac:dyDescent="0.3">
      <c r="A76" s="16">
        <v>79</v>
      </c>
      <c r="B76">
        <v>6</v>
      </c>
    </row>
    <row r="77" spans="1:2" x14ac:dyDescent="0.3">
      <c r="A77" s="16">
        <v>80</v>
      </c>
      <c r="B77">
        <v>11</v>
      </c>
    </row>
    <row r="78" spans="1:2" x14ac:dyDescent="0.3">
      <c r="A78" s="16">
        <v>81</v>
      </c>
      <c r="B78">
        <v>14</v>
      </c>
    </row>
    <row r="79" spans="1:2" x14ac:dyDescent="0.3">
      <c r="A79" s="16">
        <v>82</v>
      </c>
      <c r="B79">
        <v>6</v>
      </c>
    </row>
    <row r="80" spans="1:2" x14ac:dyDescent="0.3">
      <c r="A80" s="16">
        <v>83</v>
      </c>
      <c r="B80">
        <v>3</v>
      </c>
    </row>
    <row r="81" spans="1:2" x14ac:dyDescent="0.3">
      <c r="A81" s="16">
        <v>84</v>
      </c>
      <c r="B81">
        <v>11</v>
      </c>
    </row>
    <row r="82" spans="1:2" x14ac:dyDescent="0.3">
      <c r="A82" s="16">
        <v>85</v>
      </c>
      <c r="B82">
        <v>5</v>
      </c>
    </row>
    <row r="83" spans="1:2" x14ac:dyDescent="0.3">
      <c r="A83" s="16">
        <v>86</v>
      </c>
      <c r="B83">
        <v>6</v>
      </c>
    </row>
    <row r="84" spans="1:2" x14ac:dyDescent="0.3">
      <c r="A84" s="16">
        <v>87</v>
      </c>
      <c r="B84">
        <v>6</v>
      </c>
    </row>
    <row r="85" spans="1:2" x14ac:dyDescent="0.3">
      <c r="A85" s="16">
        <v>88</v>
      </c>
      <c r="B85">
        <v>9</v>
      </c>
    </row>
    <row r="86" spans="1:2" x14ac:dyDescent="0.3">
      <c r="A86" s="16">
        <v>89</v>
      </c>
      <c r="B86">
        <v>14</v>
      </c>
    </row>
    <row r="87" spans="1:2" x14ac:dyDescent="0.3">
      <c r="A87" s="16">
        <v>90</v>
      </c>
      <c r="B87">
        <v>10</v>
      </c>
    </row>
    <row r="88" spans="1:2" x14ac:dyDescent="0.3">
      <c r="A88" s="16">
        <v>91</v>
      </c>
      <c r="B88">
        <v>6</v>
      </c>
    </row>
    <row r="89" spans="1:2" x14ac:dyDescent="0.3">
      <c r="A89" s="16">
        <v>92</v>
      </c>
      <c r="B89">
        <v>3</v>
      </c>
    </row>
    <row r="90" spans="1:2" x14ac:dyDescent="0.3">
      <c r="A90" s="16">
        <v>93</v>
      </c>
      <c r="B90">
        <v>8</v>
      </c>
    </row>
    <row r="91" spans="1:2" x14ac:dyDescent="0.3">
      <c r="A91" s="16">
        <v>94</v>
      </c>
      <c r="B91">
        <v>10</v>
      </c>
    </row>
    <row r="92" spans="1:2" x14ac:dyDescent="0.3">
      <c r="A92" s="16">
        <v>95</v>
      </c>
      <c r="B92">
        <v>15</v>
      </c>
    </row>
    <row r="93" spans="1:2" x14ac:dyDescent="0.3">
      <c r="A93" s="16">
        <v>96</v>
      </c>
      <c r="B93">
        <v>15</v>
      </c>
    </row>
    <row r="94" spans="1:2" x14ac:dyDescent="0.3">
      <c r="A94" s="16">
        <v>97</v>
      </c>
      <c r="B94">
        <v>4</v>
      </c>
    </row>
    <row r="95" spans="1:2" x14ac:dyDescent="0.3">
      <c r="A95" s="16">
        <v>98</v>
      </c>
      <c r="B95">
        <v>5</v>
      </c>
    </row>
    <row r="96" spans="1:2" x14ac:dyDescent="0.3">
      <c r="A96" s="16">
        <v>99</v>
      </c>
      <c r="B96">
        <v>8</v>
      </c>
    </row>
    <row r="97" spans="1:2" x14ac:dyDescent="0.3">
      <c r="A97" s="16">
        <v>100</v>
      </c>
      <c r="B97">
        <v>8</v>
      </c>
    </row>
    <row r="98" spans="1:2" x14ac:dyDescent="0.3">
      <c r="A98" s="16">
        <v>101</v>
      </c>
      <c r="B98">
        <v>9</v>
      </c>
    </row>
    <row r="99" spans="1:2" x14ac:dyDescent="0.3">
      <c r="A99" s="16">
        <v>102</v>
      </c>
      <c r="B99">
        <v>9</v>
      </c>
    </row>
    <row r="100" spans="1:2" x14ac:dyDescent="0.3">
      <c r="A100" s="16">
        <v>103</v>
      </c>
      <c r="B100">
        <v>15</v>
      </c>
    </row>
    <row r="101" spans="1:2" x14ac:dyDescent="0.3">
      <c r="A101" s="16">
        <v>104</v>
      </c>
      <c r="B101">
        <v>9</v>
      </c>
    </row>
    <row r="102" spans="1:2" x14ac:dyDescent="0.3">
      <c r="A102" s="16">
        <v>105</v>
      </c>
      <c r="B102">
        <v>9</v>
      </c>
    </row>
    <row r="103" spans="1:2" x14ac:dyDescent="0.3">
      <c r="A103" s="16">
        <v>106</v>
      </c>
      <c r="B103">
        <v>9</v>
      </c>
    </row>
    <row r="104" spans="1:2" x14ac:dyDescent="0.3">
      <c r="A104" s="16">
        <v>107</v>
      </c>
      <c r="B104">
        <v>11</v>
      </c>
    </row>
    <row r="105" spans="1:2" x14ac:dyDescent="0.3">
      <c r="A105" s="16">
        <v>108</v>
      </c>
      <c r="B105">
        <v>10</v>
      </c>
    </row>
    <row r="106" spans="1:2" x14ac:dyDescent="0.3">
      <c r="A106" s="16">
        <v>109</v>
      </c>
      <c r="B106">
        <v>8</v>
      </c>
    </row>
    <row r="107" spans="1:2" x14ac:dyDescent="0.3">
      <c r="A107" s="16">
        <v>110</v>
      </c>
      <c r="B107">
        <v>12</v>
      </c>
    </row>
    <row r="108" spans="1:2" x14ac:dyDescent="0.3">
      <c r="A108" s="16">
        <v>111</v>
      </c>
      <c r="B108">
        <v>11</v>
      </c>
    </row>
    <row r="109" spans="1:2" x14ac:dyDescent="0.3">
      <c r="A109" s="16">
        <v>112</v>
      </c>
      <c r="B109">
        <v>2</v>
      </c>
    </row>
    <row r="110" spans="1:2" x14ac:dyDescent="0.3">
      <c r="A110" s="16">
        <v>113</v>
      </c>
      <c r="B110">
        <v>10</v>
      </c>
    </row>
    <row r="111" spans="1:2" x14ac:dyDescent="0.3">
      <c r="A111" s="16">
        <v>114</v>
      </c>
      <c r="B111">
        <v>10</v>
      </c>
    </row>
    <row r="112" spans="1:2" x14ac:dyDescent="0.3">
      <c r="A112" s="16">
        <v>115</v>
      </c>
      <c r="B112">
        <v>7</v>
      </c>
    </row>
    <row r="113" spans="1:2" x14ac:dyDescent="0.3">
      <c r="A113" s="16">
        <v>116</v>
      </c>
      <c r="B113">
        <v>6</v>
      </c>
    </row>
    <row r="114" spans="1:2" x14ac:dyDescent="0.3">
      <c r="A114" s="16">
        <v>117</v>
      </c>
      <c r="B114">
        <v>6</v>
      </c>
    </row>
    <row r="115" spans="1:2" x14ac:dyDescent="0.3">
      <c r="A115" s="16">
        <v>118</v>
      </c>
      <c r="B115">
        <v>3</v>
      </c>
    </row>
    <row r="116" spans="1:2" x14ac:dyDescent="0.3">
      <c r="A116" s="16">
        <v>119</v>
      </c>
      <c r="B116">
        <v>7</v>
      </c>
    </row>
    <row r="117" spans="1:2" x14ac:dyDescent="0.3">
      <c r="A117" s="16">
        <v>120</v>
      </c>
      <c r="B117">
        <v>7</v>
      </c>
    </row>
    <row r="118" spans="1:2" x14ac:dyDescent="0.3">
      <c r="A118" s="16">
        <v>121</v>
      </c>
      <c r="B118">
        <v>3</v>
      </c>
    </row>
    <row r="119" spans="1:2" x14ac:dyDescent="0.3">
      <c r="A119" s="16">
        <v>122</v>
      </c>
      <c r="B119">
        <v>2</v>
      </c>
    </row>
    <row r="120" spans="1:2" x14ac:dyDescent="0.3">
      <c r="A120" s="16">
        <v>123</v>
      </c>
      <c r="B120">
        <v>7</v>
      </c>
    </row>
    <row r="121" spans="1:2" x14ac:dyDescent="0.3">
      <c r="A121" s="16">
        <v>124</v>
      </c>
      <c r="B121">
        <v>11</v>
      </c>
    </row>
    <row r="122" spans="1:2" x14ac:dyDescent="0.3">
      <c r="A122" s="16">
        <v>125</v>
      </c>
      <c r="B122">
        <v>5</v>
      </c>
    </row>
    <row r="123" spans="1:2" x14ac:dyDescent="0.3">
      <c r="A123" s="16">
        <v>126</v>
      </c>
      <c r="B123">
        <v>11</v>
      </c>
    </row>
    <row r="124" spans="1:2" x14ac:dyDescent="0.3">
      <c r="A124" s="16">
        <v>127</v>
      </c>
      <c r="B124">
        <v>9</v>
      </c>
    </row>
    <row r="125" spans="1:2" x14ac:dyDescent="0.3">
      <c r="A125" s="16">
        <v>128</v>
      </c>
      <c r="B125">
        <v>8</v>
      </c>
    </row>
    <row r="126" spans="1:2" x14ac:dyDescent="0.3">
      <c r="A126" s="16">
        <v>129</v>
      </c>
      <c r="B126">
        <v>4</v>
      </c>
    </row>
    <row r="127" spans="1:2" x14ac:dyDescent="0.3">
      <c r="A127" s="16">
        <v>130</v>
      </c>
      <c r="B127">
        <v>6</v>
      </c>
    </row>
    <row r="128" spans="1:2" x14ac:dyDescent="0.3">
      <c r="A128" s="16">
        <v>131</v>
      </c>
      <c r="B128">
        <v>11</v>
      </c>
    </row>
    <row r="129" spans="1:2" x14ac:dyDescent="0.3">
      <c r="A129" s="16">
        <v>132</v>
      </c>
      <c r="B129">
        <v>7</v>
      </c>
    </row>
    <row r="130" spans="1:2" x14ac:dyDescent="0.3">
      <c r="A130" s="16">
        <v>133</v>
      </c>
      <c r="B130">
        <v>8</v>
      </c>
    </row>
    <row r="131" spans="1:2" x14ac:dyDescent="0.3">
      <c r="A131" s="16">
        <v>134</v>
      </c>
      <c r="B131">
        <v>6</v>
      </c>
    </row>
    <row r="132" spans="1:2" x14ac:dyDescent="0.3">
      <c r="A132" s="16">
        <v>135</v>
      </c>
      <c r="B132">
        <v>7</v>
      </c>
    </row>
    <row r="133" spans="1:2" x14ac:dyDescent="0.3">
      <c r="A133" s="16">
        <v>136</v>
      </c>
      <c r="B133">
        <v>2</v>
      </c>
    </row>
    <row r="134" spans="1:2" x14ac:dyDescent="0.3">
      <c r="A134" s="16">
        <v>137</v>
      </c>
      <c r="B134">
        <v>9</v>
      </c>
    </row>
    <row r="135" spans="1:2" x14ac:dyDescent="0.3">
      <c r="A135" s="16">
        <v>138</v>
      </c>
      <c r="B135">
        <v>6</v>
      </c>
    </row>
    <row r="136" spans="1:2" x14ac:dyDescent="0.3">
      <c r="A136" s="16">
        <v>139</v>
      </c>
      <c r="B136">
        <v>8</v>
      </c>
    </row>
    <row r="137" spans="1:2" x14ac:dyDescent="0.3">
      <c r="A137" s="16">
        <v>140</v>
      </c>
      <c r="B137">
        <v>3</v>
      </c>
    </row>
    <row r="138" spans="1:2" x14ac:dyDescent="0.3">
      <c r="A138" s="16">
        <v>141</v>
      </c>
      <c r="B138">
        <v>5</v>
      </c>
    </row>
    <row r="139" spans="1:2" x14ac:dyDescent="0.3">
      <c r="A139" s="16">
        <v>142</v>
      </c>
      <c r="B139">
        <v>6</v>
      </c>
    </row>
    <row r="140" spans="1:2" x14ac:dyDescent="0.3">
      <c r="A140" s="16">
        <v>143</v>
      </c>
      <c r="B140">
        <v>5</v>
      </c>
    </row>
    <row r="141" spans="1:2" x14ac:dyDescent="0.3">
      <c r="A141" s="16">
        <v>144</v>
      </c>
      <c r="B141">
        <v>8</v>
      </c>
    </row>
    <row r="142" spans="1:2" x14ac:dyDescent="0.3">
      <c r="A142" s="16">
        <v>145</v>
      </c>
      <c r="B142">
        <v>3</v>
      </c>
    </row>
    <row r="143" spans="1:2" x14ac:dyDescent="0.3">
      <c r="A143" s="16">
        <v>146</v>
      </c>
      <c r="B143">
        <v>4</v>
      </c>
    </row>
    <row r="144" spans="1:2" x14ac:dyDescent="0.3">
      <c r="A144" s="16">
        <v>147</v>
      </c>
      <c r="B144">
        <v>6</v>
      </c>
    </row>
    <row r="145" spans="1:2" x14ac:dyDescent="0.3">
      <c r="A145" s="16">
        <v>148</v>
      </c>
      <c r="B145">
        <v>1</v>
      </c>
    </row>
    <row r="146" spans="1:2" x14ac:dyDescent="0.3">
      <c r="A146" s="16">
        <v>149</v>
      </c>
      <c r="B146">
        <v>5</v>
      </c>
    </row>
    <row r="147" spans="1:2" x14ac:dyDescent="0.3">
      <c r="A147" s="16">
        <v>150</v>
      </c>
      <c r="B147">
        <v>3</v>
      </c>
    </row>
    <row r="148" spans="1:2" x14ac:dyDescent="0.3">
      <c r="A148" s="16">
        <v>151</v>
      </c>
      <c r="B148">
        <v>5</v>
      </c>
    </row>
    <row r="149" spans="1:2" x14ac:dyDescent="0.3">
      <c r="A149" s="16">
        <v>152</v>
      </c>
      <c r="B149">
        <v>4</v>
      </c>
    </row>
    <row r="150" spans="1:2" x14ac:dyDescent="0.3">
      <c r="A150" s="16">
        <v>153</v>
      </c>
      <c r="B150">
        <v>3</v>
      </c>
    </row>
    <row r="151" spans="1:2" x14ac:dyDescent="0.3">
      <c r="A151" s="16">
        <v>154</v>
      </c>
      <c r="B151">
        <v>5</v>
      </c>
    </row>
    <row r="152" spans="1:2" x14ac:dyDescent="0.3">
      <c r="A152" s="16">
        <v>155</v>
      </c>
      <c r="B152">
        <v>9</v>
      </c>
    </row>
    <row r="153" spans="1:2" x14ac:dyDescent="0.3">
      <c r="A153" s="16">
        <v>156</v>
      </c>
      <c r="B153">
        <v>3</v>
      </c>
    </row>
    <row r="154" spans="1:2" x14ac:dyDescent="0.3">
      <c r="A154" s="16">
        <v>157</v>
      </c>
      <c r="B154">
        <v>2</v>
      </c>
    </row>
    <row r="155" spans="1:2" x14ac:dyDescent="0.3">
      <c r="A155" s="16">
        <v>158</v>
      </c>
      <c r="B155">
        <v>6</v>
      </c>
    </row>
    <row r="156" spans="1:2" x14ac:dyDescent="0.3">
      <c r="A156" s="16">
        <v>159</v>
      </c>
      <c r="B156">
        <v>3</v>
      </c>
    </row>
    <row r="157" spans="1:2" x14ac:dyDescent="0.3">
      <c r="A157" s="16">
        <v>160</v>
      </c>
      <c r="B157">
        <v>2</v>
      </c>
    </row>
    <row r="158" spans="1:2" x14ac:dyDescent="0.3">
      <c r="A158" s="16">
        <v>162</v>
      </c>
      <c r="B158">
        <v>1</v>
      </c>
    </row>
    <row r="159" spans="1:2" x14ac:dyDescent="0.3">
      <c r="A159" s="16">
        <v>163</v>
      </c>
      <c r="B159">
        <v>2</v>
      </c>
    </row>
    <row r="160" spans="1:2" x14ac:dyDescent="0.3">
      <c r="A160" s="16">
        <v>164</v>
      </c>
      <c r="B160">
        <v>2</v>
      </c>
    </row>
    <row r="161" spans="1:2" x14ac:dyDescent="0.3">
      <c r="A161" s="16">
        <v>165</v>
      </c>
      <c r="B161">
        <v>3</v>
      </c>
    </row>
    <row r="162" spans="1:2" x14ac:dyDescent="0.3">
      <c r="A162" s="16">
        <v>166</v>
      </c>
      <c r="B162">
        <v>2</v>
      </c>
    </row>
    <row r="163" spans="1:2" x14ac:dyDescent="0.3">
      <c r="A163" s="16">
        <v>168</v>
      </c>
      <c r="B163">
        <v>2</v>
      </c>
    </row>
    <row r="164" spans="1:2" x14ac:dyDescent="0.3">
      <c r="A164" s="16">
        <v>171</v>
      </c>
      <c r="B164">
        <v>1</v>
      </c>
    </row>
    <row r="165" spans="1:2" x14ac:dyDescent="0.3">
      <c r="A165" s="16">
        <v>172</v>
      </c>
      <c r="B165">
        <v>1</v>
      </c>
    </row>
    <row r="166" spans="1:2" x14ac:dyDescent="0.3">
      <c r="A166" s="16">
        <v>173</v>
      </c>
      <c r="B166">
        <v>1</v>
      </c>
    </row>
    <row r="167" spans="1:2" x14ac:dyDescent="0.3">
      <c r="A167" s="16">
        <v>176</v>
      </c>
      <c r="B167">
        <v>1</v>
      </c>
    </row>
    <row r="168" spans="1:2" x14ac:dyDescent="0.3">
      <c r="A168" s="16" t="s">
        <v>2057</v>
      </c>
      <c r="B168">
        <v>1000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FD129-CD7F-4CE7-9BAA-3CA59F3B444F}">
  <dimension ref="A3:I10"/>
  <sheetViews>
    <sheetView workbookViewId="0">
      <selection activeCell="H20" sqref="H20"/>
    </sheetView>
  </sheetViews>
  <sheetFormatPr defaultRowHeight="14.4" x14ac:dyDescent="0.3"/>
  <cols>
    <col min="1" max="1" width="18.44140625" bestFit="1" customWidth="1"/>
    <col min="2" max="2" width="15.5546875" bestFit="1" customWidth="1"/>
    <col min="3" max="3" width="7.44140625" bestFit="1" customWidth="1"/>
    <col min="4" max="4" width="7.77734375" bestFit="1" customWidth="1"/>
    <col min="5" max="5" width="10.6640625" bestFit="1" customWidth="1"/>
    <col min="6" max="6" width="8.44140625" bestFit="1" customWidth="1"/>
    <col min="7" max="7" width="7.109375" bestFit="1" customWidth="1"/>
    <col min="8" max="8" width="8.44140625" bestFit="1" customWidth="1"/>
    <col min="9" max="9" width="10.5546875" bestFit="1" customWidth="1"/>
  </cols>
  <sheetData>
    <row r="3" spans="1:9" x14ac:dyDescent="0.3">
      <c r="A3" s="53" t="s">
        <v>2058</v>
      </c>
      <c r="B3" s="53" t="s">
        <v>2076</v>
      </c>
    </row>
    <row r="4" spans="1:9" x14ac:dyDescent="0.3">
      <c r="A4" s="53" t="s">
        <v>2056</v>
      </c>
      <c r="B4" t="s">
        <v>2077</v>
      </c>
      <c r="C4" t="s">
        <v>2078</v>
      </c>
      <c r="D4" t="s">
        <v>2079</v>
      </c>
      <c r="E4" t="s">
        <v>2080</v>
      </c>
      <c r="F4" t="s">
        <v>2081</v>
      </c>
      <c r="G4" t="s">
        <v>410</v>
      </c>
      <c r="H4" t="s">
        <v>2082</v>
      </c>
      <c r="I4" t="s">
        <v>2057</v>
      </c>
    </row>
    <row r="5" spans="1:9" x14ac:dyDescent="0.3">
      <c r="A5" s="16" t="s">
        <v>1048</v>
      </c>
      <c r="B5" s="8">
        <v>0.19047619047619047</v>
      </c>
      <c r="C5" s="8">
        <v>0.15873015873015872</v>
      </c>
      <c r="D5" s="8">
        <v>6.8783068783068779E-2</v>
      </c>
      <c r="E5" s="8">
        <v>0.12169312169312169</v>
      </c>
      <c r="F5" s="8">
        <v>0.12169312169312169</v>
      </c>
      <c r="G5" s="8">
        <v>0.12698412698412698</v>
      </c>
      <c r="H5" s="8">
        <v>0.21164021164021163</v>
      </c>
      <c r="I5" s="8">
        <v>1</v>
      </c>
    </row>
    <row r="6" spans="1:9" x14ac:dyDescent="0.3">
      <c r="A6" s="16" t="s">
        <v>1043</v>
      </c>
      <c r="B6" s="8">
        <v>0.12844036697247707</v>
      </c>
      <c r="C6" s="8">
        <v>0.11009174311926606</v>
      </c>
      <c r="D6" s="8">
        <v>0.20183486238532111</v>
      </c>
      <c r="E6" s="8">
        <v>0.16513761467889909</v>
      </c>
      <c r="F6" s="8">
        <v>0.15137614678899083</v>
      </c>
      <c r="G6" s="8">
        <v>0.13302752293577982</v>
      </c>
      <c r="H6" s="8">
        <v>0.11009174311926606</v>
      </c>
      <c r="I6" s="8">
        <v>1</v>
      </c>
    </row>
    <row r="7" spans="1:9" x14ac:dyDescent="0.3">
      <c r="A7" s="16" t="s">
        <v>1057</v>
      </c>
      <c r="B7" s="8">
        <v>0.14492753623188406</v>
      </c>
      <c r="C7" s="8">
        <v>0.16425120772946861</v>
      </c>
      <c r="D7" s="8">
        <v>0.12560386473429952</v>
      </c>
      <c r="E7" s="8">
        <v>0.18357487922705315</v>
      </c>
      <c r="F7" s="8">
        <v>0.13043478260869565</v>
      </c>
      <c r="G7" s="8">
        <v>0.13043478260869565</v>
      </c>
      <c r="H7" s="8">
        <v>0.12077294685990338</v>
      </c>
      <c r="I7" s="8">
        <v>1</v>
      </c>
    </row>
    <row r="8" spans="1:9" x14ac:dyDescent="0.3">
      <c r="A8" s="16" t="s">
        <v>1053</v>
      </c>
      <c r="B8" s="8">
        <v>0.13440860215053763</v>
      </c>
      <c r="C8" s="8">
        <v>0.12365591397849462</v>
      </c>
      <c r="D8" s="8">
        <v>0.15053763440860216</v>
      </c>
      <c r="E8" s="8">
        <v>0.15591397849462366</v>
      </c>
      <c r="F8" s="8">
        <v>9.6774193548387094E-2</v>
      </c>
      <c r="G8" s="8">
        <v>0.15591397849462366</v>
      </c>
      <c r="H8" s="8">
        <v>0.18279569892473119</v>
      </c>
      <c r="I8" s="8">
        <v>1</v>
      </c>
    </row>
    <row r="9" spans="1:9" x14ac:dyDescent="0.3">
      <c r="A9" s="16" t="s">
        <v>1038</v>
      </c>
      <c r="B9" s="8">
        <v>0.13500000000000001</v>
      </c>
      <c r="C9" s="8">
        <v>0.11</v>
      </c>
      <c r="D9" s="8">
        <v>0.13500000000000001</v>
      </c>
      <c r="E9" s="8">
        <v>0.13500000000000001</v>
      </c>
      <c r="F9" s="8">
        <v>0.13500000000000001</v>
      </c>
      <c r="G9" s="8">
        <v>0.16</v>
      </c>
      <c r="H9" s="8">
        <v>0.19</v>
      </c>
      <c r="I9" s="8">
        <v>1</v>
      </c>
    </row>
    <row r="10" spans="1:9" x14ac:dyDescent="0.3">
      <c r="A10" s="16" t="s">
        <v>2057</v>
      </c>
      <c r="B10" s="8">
        <v>0.14599999999999999</v>
      </c>
      <c r="C10" s="8">
        <v>0.13300000000000001</v>
      </c>
      <c r="D10" s="8">
        <v>0.13800000000000001</v>
      </c>
      <c r="E10" s="8">
        <v>0.153</v>
      </c>
      <c r="F10" s="8">
        <v>0.128</v>
      </c>
      <c r="G10" s="8">
        <v>0.14099999999999999</v>
      </c>
      <c r="H10" s="8">
        <v>0.161</v>
      </c>
      <c r="I10" s="8">
        <v>1</v>
      </c>
    </row>
  </sheetData>
  <conditionalFormatting pivot="1" sqref="B5">
    <cfRule type="dataBar" priority="2">
      <dataBar>
        <cfvo type="min"/>
        <cfvo type="max"/>
        <color rgb="FF63C384"/>
      </dataBar>
      <extLst>
        <ext xmlns:x14="http://schemas.microsoft.com/office/spreadsheetml/2009/9/main" uri="{B025F937-C7B1-47D3-B67F-A62EFF666E3E}">
          <x14:id>{5D073C3B-25EA-4A0D-88C6-FD97731DFC1A}</x14:id>
        </ext>
      </extLst>
    </cfRule>
  </conditionalFormatting>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D073C3B-25EA-4A0D-88C6-FD97731DFC1A}">
            <x14:dataBar minLength="0" maxLength="100" border="1" negativeBarBorderColorSameAsPositive="0">
              <x14:cfvo type="autoMin"/>
              <x14:cfvo type="autoMax"/>
              <x14:borderColor rgb="FF63C384"/>
              <x14:negativeFillColor rgb="FFFF0000"/>
              <x14:negativeBorderColor rgb="FFFF0000"/>
              <x14:axisColor rgb="FF000000"/>
            </x14:dataBar>
          </x14:cfRule>
          <xm:sqref>B5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A92FA-B24F-45F4-8167-BD389957B0BE}">
  <dimension ref="A3:H10"/>
  <sheetViews>
    <sheetView workbookViewId="0">
      <selection activeCell="K18" sqref="K18"/>
    </sheetView>
  </sheetViews>
  <sheetFormatPr defaultRowHeight="14.4" x14ac:dyDescent="0.3"/>
  <cols>
    <col min="1" max="1" width="18.44140625" bestFit="1" customWidth="1"/>
    <col min="2" max="2" width="15.5546875" bestFit="1" customWidth="1"/>
    <col min="3" max="4" width="6.109375" bestFit="1" customWidth="1"/>
    <col min="5" max="7" width="7.109375" bestFit="1" customWidth="1"/>
    <col min="8" max="8" width="10.5546875" bestFit="1" customWidth="1"/>
  </cols>
  <sheetData>
    <row r="3" spans="1:8" x14ac:dyDescent="0.3">
      <c r="A3" s="53" t="s">
        <v>2058</v>
      </c>
      <c r="B3" s="53" t="s">
        <v>2076</v>
      </c>
    </row>
    <row r="4" spans="1:8" x14ac:dyDescent="0.3">
      <c r="A4" s="53" t="s">
        <v>2056</v>
      </c>
      <c r="B4">
        <v>0</v>
      </c>
      <c r="C4">
        <v>1</v>
      </c>
      <c r="D4">
        <v>2</v>
      </c>
      <c r="E4">
        <v>3</v>
      </c>
      <c r="F4">
        <v>4</v>
      </c>
      <c r="G4">
        <v>5</v>
      </c>
      <c r="H4" t="s">
        <v>2057</v>
      </c>
    </row>
    <row r="5" spans="1:8" x14ac:dyDescent="0.3">
      <c r="A5" s="16" t="s">
        <v>2089</v>
      </c>
      <c r="B5" s="8">
        <v>0</v>
      </c>
      <c r="C5" s="8">
        <v>0</v>
      </c>
      <c r="D5" s="8">
        <v>0</v>
      </c>
      <c r="E5" s="8">
        <v>0.22222222222222221</v>
      </c>
      <c r="F5" s="8">
        <v>0.55555555555555558</v>
      </c>
      <c r="G5" s="8">
        <v>0.22222222222222221</v>
      </c>
      <c r="H5" s="8">
        <v>1</v>
      </c>
    </row>
    <row r="6" spans="1:8" x14ac:dyDescent="0.3">
      <c r="A6" s="16" t="s">
        <v>2086</v>
      </c>
      <c r="B6" s="8">
        <v>0</v>
      </c>
      <c r="C6" s="8">
        <v>0</v>
      </c>
      <c r="D6" s="8">
        <v>7.8431372549019607E-2</v>
      </c>
      <c r="E6" s="8">
        <v>0.11764705882352941</v>
      </c>
      <c r="F6" s="8">
        <v>0.50980392156862742</v>
      </c>
      <c r="G6" s="8">
        <v>0.29411764705882354</v>
      </c>
      <c r="H6" s="8">
        <v>1</v>
      </c>
    </row>
    <row r="7" spans="1:8" x14ac:dyDescent="0.3">
      <c r="A7" s="16" t="s">
        <v>2087</v>
      </c>
      <c r="B7" s="8">
        <v>0</v>
      </c>
      <c r="C7" s="8">
        <v>0</v>
      </c>
      <c r="D7" s="8">
        <v>7.2625698324022353E-2</v>
      </c>
      <c r="E7" s="8">
        <v>0.19553072625698323</v>
      </c>
      <c r="F7" s="8">
        <v>0.41899441340782123</v>
      </c>
      <c r="G7" s="8">
        <v>0.31284916201117319</v>
      </c>
      <c r="H7" s="8">
        <v>1</v>
      </c>
    </row>
    <row r="8" spans="1:8" x14ac:dyDescent="0.3">
      <c r="A8" s="16" t="s">
        <v>2085</v>
      </c>
      <c r="B8" s="8">
        <v>0</v>
      </c>
      <c r="C8" s="8">
        <v>9.5419847328244278E-3</v>
      </c>
      <c r="D8" s="8">
        <v>5.3435114503816793E-2</v>
      </c>
      <c r="E8" s="8">
        <v>0.20229007633587787</v>
      </c>
      <c r="F8" s="8">
        <v>0.42938931297709926</v>
      </c>
      <c r="G8" s="8">
        <v>0.30534351145038169</v>
      </c>
      <c r="H8" s="8">
        <v>1</v>
      </c>
    </row>
    <row r="9" spans="1:8" x14ac:dyDescent="0.3">
      <c r="A9" s="16" t="s">
        <v>2088</v>
      </c>
      <c r="B9" s="8">
        <v>4.2194092827004216E-3</v>
      </c>
      <c r="C9" s="8">
        <v>1.2658227848101266E-2</v>
      </c>
      <c r="D9" s="8">
        <v>5.9071729957805907E-2</v>
      </c>
      <c r="E9" s="8">
        <v>0.20253164556962025</v>
      </c>
      <c r="F9" s="8">
        <v>0.40928270042194093</v>
      </c>
      <c r="G9" s="8">
        <v>0.31223628691983124</v>
      </c>
      <c r="H9" s="8">
        <v>1</v>
      </c>
    </row>
    <row r="10" spans="1:8" x14ac:dyDescent="0.3">
      <c r="A10" s="16" t="s">
        <v>2057</v>
      </c>
      <c r="B10" s="8">
        <v>1E-3</v>
      </c>
      <c r="C10" s="8">
        <v>8.0000000000000002E-3</v>
      </c>
      <c r="D10" s="8">
        <v>5.8999999999999997E-2</v>
      </c>
      <c r="E10" s="8">
        <v>0.19700000000000001</v>
      </c>
      <c r="F10" s="8">
        <v>0.42799999999999999</v>
      </c>
      <c r="G10" s="8">
        <v>0.307</v>
      </c>
      <c r="H10" s="8">
        <v>1</v>
      </c>
    </row>
  </sheetData>
  <conditionalFormatting pivot="1" sqref="D6">
    <cfRule type="colorScale" priority="2">
      <colorScale>
        <cfvo type="min"/>
        <cfvo type="max"/>
        <color rgb="FFFCFCFF"/>
        <color rgb="FF63BE7B"/>
      </colorScale>
    </cfRule>
  </conditionalFormatting>
  <conditionalFormatting pivot="1" sqref="B5:G9">
    <cfRule type="colorScale" priority="1">
      <colorScale>
        <cfvo type="min"/>
        <cfvo type="max"/>
        <color rgb="FFFCFCFF"/>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CDE66-315D-4F4F-998A-568BB0A765C9}">
  <dimension ref="A3:N10"/>
  <sheetViews>
    <sheetView workbookViewId="0">
      <selection activeCell="P19" sqref="P19"/>
    </sheetView>
  </sheetViews>
  <sheetFormatPr defaultRowHeight="14.4" x14ac:dyDescent="0.3"/>
  <cols>
    <col min="1" max="1" width="18.44140625" bestFit="1" customWidth="1"/>
    <col min="2" max="2" width="9.77734375" customWidth="1"/>
    <col min="3" max="4" width="4.109375" bestFit="1" customWidth="1"/>
    <col min="5" max="5" width="4" bestFit="1" customWidth="1"/>
    <col min="6" max="6" width="4.33203125" bestFit="1" customWidth="1"/>
    <col min="7" max="7" width="3.6640625" bestFit="1" customWidth="1"/>
    <col min="8" max="8" width="3.21875" bestFit="1" customWidth="1"/>
    <col min="9" max="9" width="6" customWidth="1"/>
    <col min="10" max="10" width="4.21875" bestFit="1" customWidth="1"/>
    <col min="11" max="11" width="4" bestFit="1" customWidth="1"/>
    <col min="12" max="13" width="4.21875" bestFit="1" customWidth="1"/>
    <col min="14" max="14" width="10.5546875" bestFit="1" customWidth="1"/>
  </cols>
  <sheetData>
    <row r="3" spans="1:14" x14ac:dyDescent="0.3">
      <c r="A3" s="53" t="s">
        <v>2058</v>
      </c>
      <c r="B3" s="53" t="s">
        <v>2076</v>
      </c>
    </row>
    <row r="4" spans="1:14" x14ac:dyDescent="0.3">
      <c r="A4" s="53" t="s">
        <v>2056</v>
      </c>
      <c r="B4" t="s">
        <v>2062</v>
      </c>
      <c r="C4" t="s">
        <v>2063</v>
      </c>
      <c r="D4" t="s">
        <v>2064</v>
      </c>
      <c r="E4" t="s">
        <v>2065</v>
      </c>
      <c r="F4" t="s">
        <v>2066</v>
      </c>
      <c r="G4" t="s">
        <v>2067</v>
      </c>
      <c r="H4" t="s">
        <v>2068</v>
      </c>
      <c r="I4" t="s">
        <v>2069</v>
      </c>
      <c r="J4" t="s">
        <v>2070</v>
      </c>
      <c r="K4" t="s">
        <v>2071</v>
      </c>
      <c r="L4" t="s">
        <v>2072</v>
      </c>
      <c r="M4" t="s">
        <v>2073</v>
      </c>
      <c r="N4" t="s">
        <v>2057</v>
      </c>
    </row>
    <row r="5" spans="1:14" x14ac:dyDescent="0.3">
      <c r="A5" s="16" t="s">
        <v>1048</v>
      </c>
      <c r="B5">
        <v>16</v>
      </c>
      <c r="C5">
        <v>14</v>
      </c>
      <c r="D5">
        <v>26</v>
      </c>
      <c r="E5">
        <v>29</v>
      </c>
      <c r="F5">
        <v>17</v>
      </c>
      <c r="G5">
        <v>15</v>
      </c>
      <c r="H5">
        <v>15</v>
      </c>
      <c r="I5">
        <v>7</v>
      </c>
      <c r="J5">
        <v>11</v>
      </c>
      <c r="K5">
        <v>24</v>
      </c>
      <c r="L5">
        <v>9</v>
      </c>
      <c r="M5">
        <v>6</v>
      </c>
      <c r="N5">
        <v>189</v>
      </c>
    </row>
    <row r="6" spans="1:14" x14ac:dyDescent="0.3">
      <c r="A6" s="16" t="s">
        <v>1043</v>
      </c>
      <c r="B6">
        <v>19</v>
      </c>
      <c r="C6">
        <v>10</v>
      </c>
      <c r="D6">
        <v>40</v>
      </c>
      <c r="E6">
        <v>40</v>
      </c>
      <c r="F6">
        <v>13</v>
      </c>
      <c r="G6">
        <v>12</v>
      </c>
      <c r="H6">
        <v>9</v>
      </c>
      <c r="I6">
        <v>13</v>
      </c>
      <c r="J6">
        <v>18</v>
      </c>
      <c r="K6">
        <v>21</v>
      </c>
      <c r="L6">
        <v>14</v>
      </c>
      <c r="M6">
        <v>9</v>
      </c>
      <c r="N6">
        <v>218</v>
      </c>
    </row>
    <row r="7" spans="1:14" x14ac:dyDescent="0.3">
      <c r="A7" s="16" t="s">
        <v>1057</v>
      </c>
      <c r="B7">
        <v>13</v>
      </c>
      <c r="C7">
        <v>13</v>
      </c>
      <c r="D7">
        <v>28</v>
      </c>
      <c r="E7">
        <v>24</v>
      </c>
      <c r="F7">
        <v>23</v>
      </c>
      <c r="G7">
        <v>17</v>
      </c>
      <c r="H7">
        <v>11</v>
      </c>
      <c r="I7">
        <v>11</v>
      </c>
      <c r="J7">
        <v>14</v>
      </c>
      <c r="K7">
        <v>30</v>
      </c>
      <c r="L7">
        <v>14</v>
      </c>
      <c r="M7">
        <v>9</v>
      </c>
      <c r="N7">
        <v>207</v>
      </c>
    </row>
    <row r="8" spans="1:14" x14ac:dyDescent="0.3">
      <c r="A8" s="16" t="s">
        <v>1053</v>
      </c>
      <c r="B8">
        <v>10</v>
      </c>
      <c r="C8">
        <v>11</v>
      </c>
      <c r="D8">
        <v>30</v>
      </c>
      <c r="E8">
        <v>23</v>
      </c>
      <c r="F8">
        <v>22</v>
      </c>
      <c r="G8">
        <v>11</v>
      </c>
      <c r="H8">
        <v>17</v>
      </c>
      <c r="I8">
        <v>12</v>
      </c>
      <c r="J8">
        <v>13</v>
      </c>
      <c r="K8">
        <v>15</v>
      </c>
      <c r="L8">
        <v>8</v>
      </c>
      <c r="M8">
        <v>14</v>
      </c>
      <c r="N8">
        <v>186</v>
      </c>
    </row>
    <row r="9" spans="1:14" x14ac:dyDescent="0.3">
      <c r="A9" s="16" t="s">
        <v>1038</v>
      </c>
      <c r="B9">
        <v>21</v>
      </c>
      <c r="C9">
        <v>18</v>
      </c>
      <c r="D9">
        <v>31</v>
      </c>
      <c r="E9">
        <v>20</v>
      </c>
      <c r="F9">
        <v>8</v>
      </c>
      <c r="G9">
        <v>12</v>
      </c>
      <c r="H9">
        <v>12</v>
      </c>
      <c r="I9">
        <v>7</v>
      </c>
      <c r="J9">
        <v>20</v>
      </c>
      <c r="K9">
        <v>24</v>
      </c>
      <c r="L9">
        <v>12</v>
      </c>
      <c r="M9">
        <v>15</v>
      </c>
      <c r="N9">
        <v>200</v>
      </c>
    </row>
    <row r="10" spans="1:14" x14ac:dyDescent="0.3">
      <c r="A10" s="16" t="s">
        <v>2057</v>
      </c>
      <c r="B10">
        <v>79</v>
      </c>
      <c r="C10">
        <v>66</v>
      </c>
      <c r="D10">
        <v>155</v>
      </c>
      <c r="E10">
        <v>136</v>
      </c>
      <c r="F10">
        <v>83</v>
      </c>
      <c r="G10">
        <v>67</v>
      </c>
      <c r="H10">
        <v>64</v>
      </c>
      <c r="I10">
        <v>50</v>
      </c>
      <c r="J10">
        <v>76</v>
      </c>
      <c r="K10">
        <v>114</v>
      </c>
      <c r="L10">
        <v>57</v>
      </c>
      <c r="M10">
        <v>53</v>
      </c>
      <c r="N10">
        <v>1000</v>
      </c>
    </row>
  </sheetData>
  <conditionalFormatting pivot="1" sqref="B5:M9">
    <cfRule type="colorScale" priority="1">
      <colorScale>
        <cfvo type="min"/>
        <cfvo type="max"/>
        <color rgb="FFFCFCFF"/>
        <color rgb="FF63BE7B"/>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6BF50-E25A-45F4-8CBB-01F274471EAB}">
  <dimension ref="A3:J97"/>
  <sheetViews>
    <sheetView workbookViewId="0">
      <selection activeCell="A80" sqref="A80:G97"/>
    </sheetView>
  </sheetViews>
  <sheetFormatPr defaultRowHeight="14.4" x14ac:dyDescent="0.3"/>
  <cols>
    <col min="1" max="1" width="12.44140625" bestFit="1" customWidth="1"/>
    <col min="2" max="2" width="11.44140625" bestFit="1" customWidth="1"/>
    <col min="3" max="3" width="15.33203125" bestFit="1" customWidth="1"/>
    <col min="4" max="4" width="12.44140625" bestFit="1" customWidth="1"/>
    <col min="5" max="5" width="11.44140625" bestFit="1" customWidth="1"/>
    <col min="6" max="6" width="6.88671875" bestFit="1" customWidth="1"/>
    <col min="7" max="7" width="10.6640625" bestFit="1" customWidth="1"/>
    <col min="8" max="8" width="11.44140625" customWidth="1"/>
  </cols>
  <sheetData>
    <row r="3" spans="1:5" x14ac:dyDescent="0.3">
      <c r="A3" t="s">
        <v>2095</v>
      </c>
      <c r="B3" t="s">
        <v>2096</v>
      </c>
      <c r="C3" t="s">
        <v>2097</v>
      </c>
      <c r="D3" t="s">
        <v>2098</v>
      </c>
      <c r="E3" t="s">
        <v>2099</v>
      </c>
    </row>
    <row r="4" spans="1:5" x14ac:dyDescent="0.3">
      <c r="A4" s="61">
        <v>1000</v>
      </c>
      <c r="B4" s="62">
        <v>96623</v>
      </c>
      <c r="C4" s="25">
        <v>89850</v>
      </c>
      <c r="D4" s="54">
        <v>3.8854000000000033</v>
      </c>
      <c r="E4" s="25">
        <v>307</v>
      </c>
    </row>
    <row r="9" spans="1:5" x14ac:dyDescent="0.3">
      <c r="A9" t="s">
        <v>2095</v>
      </c>
      <c r="B9" t="s">
        <v>2096</v>
      </c>
      <c r="C9" t="s">
        <v>2097</v>
      </c>
      <c r="D9" t="s">
        <v>2098</v>
      </c>
      <c r="E9" t="s">
        <v>2099</v>
      </c>
    </row>
    <row r="10" spans="1:5" x14ac:dyDescent="0.3">
      <c r="A10" s="61">
        <v>218</v>
      </c>
      <c r="B10" s="62">
        <v>20581</v>
      </c>
      <c r="C10" s="25">
        <v>19300</v>
      </c>
      <c r="D10" s="54">
        <v>3.8706422018348627</v>
      </c>
      <c r="E10" s="25">
        <v>74</v>
      </c>
    </row>
    <row r="15" spans="1:5" x14ac:dyDescent="0.3">
      <c r="A15" s="53" t="s">
        <v>2056</v>
      </c>
      <c r="B15" t="s">
        <v>2095</v>
      </c>
      <c r="D15" s="53" t="s">
        <v>2056</v>
      </c>
      <c r="E15" t="s">
        <v>2095</v>
      </c>
    </row>
    <row r="16" spans="1:5" x14ac:dyDescent="0.3">
      <c r="A16" s="16" t="s">
        <v>2062</v>
      </c>
      <c r="B16" s="61">
        <v>19</v>
      </c>
      <c r="D16" s="16" t="s">
        <v>2077</v>
      </c>
      <c r="E16" s="61">
        <v>28</v>
      </c>
    </row>
    <row r="17" spans="1:5" x14ac:dyDescent="0.3">
      <c r="A17" s="16" t="s">
        <v>2063</v>
      </c>
      <c r="B17" s="61">
        <v>10</v>
      </c>
      <c r="D17" s="16" t="s">
        <v>2078</v>
      </c>
      <c r="E17" s="61">
        <v>24</v>
      </c>
    </row>
    <row r="18" spans="1:5" x14ac:dyDescent="0.3">
      <c r="A18" s="16" t="s">
        <v>2064</v>
      </c>
      <c r="B18" s="61">
        <v>40</v>
      </c>
      <c r="D18" s="16" t="s">
        <v>2079</v>
      </c>
      <c r="E18" s="61">
        <v>44</v>
      </c>
    </row>
    <row r="19" spans="1:5" x14ac:dyDescent="0.3">
      <c r="A19" s="16" t="s">
        <v>2065</v>
      </c>
      <c r="B19" s="61">
        <v>40</v>
      </c>
      <c r="D19" s="16" t="s">
        <v>2080</v>
      </c>
      <c r="E19" s="61">
        <v>36</v>
      </c>
    </row>
    <row r="20" spans="1:5" x14ac:dyDescent="0.3">
      <c r="A20" s="16" t="s">
        <v>2066</v>
      </c>
      <c r="B20" s="61">
        <v>13</v>
      </c>
      <c r="D20" s="16" t="s">
        <v>2081</v>
      </c>
      <c r="E20" s="61">
        <v>33</v>
      </c>
    </row>
    <row r="21" spans="1:5" x14ac:dyDescent="0.3">
      <c r="A21" s="16" t="s">
        <v>2067</v>
      </c>
      <c r="B21" s="61">
        <v>12</v>
      </c>
      <c r="D21" s="16" t="s">
        <v>410</v>
      </c>
      <c r="E21" s="61">
        <v>29</v>
      </c>
    </row>
    <row r="22" spans="1:5" x14ac:dyDescent="0.3">
      <c r="A22" s="16" t="s">
        <v>2068</v>
      </c>
      <c r="B22" s="61">
        <v>9</v>
      </c>
      <c r="D22" s="16" t="s">
        <v>2082</v>
      </c>
      <c r="E22" s="61">
        <v>24</v>
      </c>
    </row>
    <row r="23" spans="1:5" x14ac:dyDescent="0.3">
      <c r="A23" s="16" t="s">
        <v>2069</v>
      </c>
      <c r="B23" s="61">
        <v>13</v>
      </c>
      <c r="D23" s="16" t="s">
        <v>2057</v>
      </c>
      <c r="E23" s="61">
        <v>218</v>
      </c>
    </row>
    <row r="24" spans="1:5" x14ac:dyDescent="0.3">
      <c r="A24" s="16" t="s">
        <v>2070</v>
      </c>
      <c r="B24" s="61">
        <v>18</v>
      </c>
    </row>
    <row r="25" spans="1:5" x14ac:dyDescent="0.3">
      <c r="A25" s="16" t="s">
        <v>2071</v>
      </c>
      <c r="B25" s="61">
        <v>21</v>
      </c>
    </row>
    <row r="26" spans="1:5" x14ac:dyDescent="0.3">
      <c r="A26" s="16" t="s">
        <v>2072</v>
      </c>
      <c r="B26" s="61">
        <v>14</v>
      </c>
    </row>
    <row r="27" spans="1:5" x14ac:dyDescent="0.3">
      <c r="A27" s="16" t="s">
        <v>2073</v>
      </c>
      <c r="B27" s="61">
        <v>9</v>
      </c>
    </row>
    <row r="28" spans="1:5" x14ac:dyDescent="0.3">
      <c r="A28" s="16" t="s">
        <v>2057</v>
      </c>
      <c r="B28" s="61">
        <v>218</v>
      </c>
    </row>
    <row r="34" spans="1:10" x14ac:dyDescent="0.3">
      <c r="F34" t="s">
        <v>2100</v>
      </c>
      <c r="G34" t="s">
        <v>2101</v>
      </c>
      <c r="H34" t="s">
        <v>2102</v>
      </c>
      <c r="I34" t="s">
        <v>2103</v>
      </c>
      <c r="J34" t="s">
        <v>2104</v>
      </c>
    </row>
    <row r="36" spans="1:10" x14ac:dyDescent="0.3">
      <c r="F36" s="16" t="str" cm="1">
        <f t="array" ref="F36:H40">A38:C42</f>
        <v>R01</v>
      </c>
      <c r="G36" s="16">
        <v>189</v>
      </c>
      <c r="H36" s="63">
        <v>18415</v>
      </c>
      <c r="I36" t="e">
        <f>IF(A51=F36,G36,NA())</f>
        <v>#N/A</v>
      </c>
      <c r="J36" t="e">
        <f>IF(A51=F36,H36,NA())</f>
        <v>#N/A</v>
      </c>
    </row>
    <row r="37" spans="1:10" x14ac:dyDescent="0.3">
      <c r="A37" s="53" t="s">
        <v>2056</v>
      </c>
      <c r="B37" t="s">
        <v>2058</v>
      </c>
      <c r="C37" t="s">
        <v>2061</v>
      </c>
      <c r="F37" s="16" t="str">
        <v>R02</v>
      </c>
      <c r="G37" s="16">
        <v>218</v>
      </c>
      <c r="H37" s="63">
        <v>20581</v>
      </c>
      <c r="I37">
        <f>IF(A51=F37,G37,NA())</f>
        <v>218</v>
      </c>
      <c r="J37">
        <f>IF(A51=F37,H37,NA())</f>
        <v>20581</v>
      </c>
    </row>
    <row r="38" spans="1:10" x14ac:dyDescent="0.3">
      <c r="A38" s="16" t="s">
        <v>1048</v>
      </c>
      <c r="B38">
        <v>189</v>
      </c>
      <c r="C38">
        <v>18415</v>
      </c>
      <c r="F38" s="16" t="str">
        <v>R03</v>
      </c>
      <c r="G38" s="16">
        <v>207</v>
      </c>
      <c r="H38" s="63">
        <v>20872</v>
      </c>
      <c r="I38" t="e">
        <f>IF(A51=F38,G38,NA())</f>
        <v>#N/A</v>
      </c>
      <c r="J38" t="e">
        <f>IF(A51=F38,H38,NA())</f>
        <v>#N/A</v>
      </c>
    </row>
    <row r="39" spans="1:10" x14ac:dyDescent="0.3">
      <c r="A39" s="16" t="s">
        <v>1043</v>
      </c>
      <c r="B39">
        <v>218</v>
      </c>
      <c r="C39">
        <v>20581</v>
      </c>
      <c r="F39" s="16" t="str">
        <v>R04</v>
      </c>
      <c r="G39" s="16">
        <v>186</v>
      </c>
      <c r="H39" s="63">
        <v>16651</v>
      </c>
      <c r="I39" t="e">
        <f>IF(A51=F39,G39,NA())</f>
        <v>#N/A</v>
      </c>
      <c r="J39" t="e">
        <f>IF(A51=F39,H39,NA())</f>
        <v>#N/A</v>
      </c>
    </row>
    <row r="40" spans="1:10" x14ac:dyDescent="0.3">
      <c r="A40" s="16" t="s">
        <v>1057</v>
      </c>
      <c r="B40">
        <v>207</v>
      </c>
      <c r="C40">
        <v>20872</v>
      </c>
      <c r="F40" s="16" t="str">
        <v>R05</v>
      </c>
      <c r="G40" s="16">
        <v>200</v>
      </c>
      <c r="H40" s="63">
        <v>20104</v>
      </c>
      <c r="I40" t="e">
        <f>IF(A51=F40,G40,NA())</f>
        <v>#N/A</v>
      </c>
      <c r="J40" t="e">
        <f>IF(A51=F40,H40,NA())</f>
        <v>#N/A</v>
      </c>
    </row>
    <row r="41" spans="1:10" x14ac:dyDescent="0.3">
      <c r="A41" s="16" t="s">
        <v>1053</v>
      </c>
      <c r="B41">
        <v>186</v>
      </c>
      <c r="C41">
        <v>16651</v>
      </c>
    </row>
    <row r="42" spans="1:10" x14ac:dyDescent="0.3">
      <c r="A42" s="16" t="s">
        <v>1038</v>
      </c>
      <c r="B42">
        <v>200</v>
      </c>
      <c r="C42">
        <v>20104</v>
      </c>
    </row>
    <row r="43" spans="1:10" x14ac:dyDescent="0.3">
      <c r="A43" s="16" t="s">
        <v>2057</v>
      </c>
      <c r="B43">
        <v>1000</v>
      </c>
      <c r="C43">
        <v>96623</v>
      </c>
    </row>
    <row r="50" spans="1:4" x14ac:dyDescent="0.3">
      <c r="A50" s="53" t="s">
        <v>2056</v>
      </c>
    </row>
    <row r="51" spans="1:4" x14ac:dyDescent="0.3">
      <c r="A51" s="16" t="s">
        <v>1043</v>
      </c>
    </row>
    <row r="52" spans="1:4" x14ac:dyDescent="0.3">
      <c r="A52" s="16" t="s">
        <v>2057</v>
      </c>
    </row>
    <row r="58" spans="1:4" x14ac:dyDescent="0.3">
      <c r="A58" s="53" t="s">
        <v>2058</v>
      </c>
      <c r="B58" s="53" t="s">
        <v>2076</v>
      </c>
    </row>
    <row r="59" spans="1:4" x14ac:dyDescent="0.3">
      <c r="A59" s="53" t="s">
        <v>2056</v>
      </c>
      <c r="B59" t="s">
        <v>11</v>
      </c>
      <c r="C59" t="s">
        <v>24</v>
      </c>
      <c r="D59" t="s">
        <v>2057</v>
      </c>
    </row>
    <row r="60" spans="1:4" x14ac:dyDescent="0.3">
      <c r="A60" s="16" t="s">
        <v>2094</v>
      </c>
      <c r="B60">
        <v>144</v>
      </c>
      <c r="C60">
        <v>132</v>
      </c>
      <c r="D60">
        <v>276</v>
      </c>
    </row>
    <row r="61" spans="1:4" x14ac:dyDescent="0.3">
      <c r="A61" s="16" t="s">
        <v>2093</v>
      </c>
      <c r="B61">
        <v>326</v>
      </c>
      <c r="C61">
        <v>63</v>
      </c>
      <c r="D61">
        <v>389</v>
      </c>
    </row>
    <row r="62" spans="1:4" x14ac:dyDescent="0.3">
      <c r="A62" s="16" t="s">
        <v>2092</v>
      </c>
      <c r="B62">
        <v>129</v>
      </c>
      <c r="C62">
        <v>206</v>
      </c>
      <c r="D62">
        <v>335</v>
      </c>
    </row>
    <row r="63" spans="1:4" x14ac:dyDescent="0.3">
      <c r="A63" s="16" t="s">
        <v>2057</v>
      </c>
      <c r="B63">
        <v>599</v>
      </c>
      <c r="C63">
        <v>401</v>
      </c>
      <c r="D63">
        <v>1000</v>
      </c>
    </row>
    <row r="68" spans="1:7" x14ac:dyDescent="0.3">
      <c r="A68" s="53" t="s">
        <v>2056</v>
      </c>
      <c r="B68" t="s">
        <v>2095</v>
      </c>
    </row>
    <row r="69" spans="1:7" x14ac:dyDescent="0.3">
      <c r="A69" s="16">
        <v>1</v>
      </c>
      <c r="B69" s="61">
        <v>3</v>
      </c>
    </row>
    <row r="70" spans="1:7" x14ac:dyDescent="0.3">
      <c r="A70" s="16">
        <v>2</v>
      </c>
      <c r="B70" s="61">
        <v>19</v>
      </c>
    </row>
    <row r="71" spans="1:7" x14ac:dyDescent="0.3">
      <c r="A71" s="16">
        <v>3</v>
      </c>
      <c r="B71" s="61">
        <v>35</v>
      </c>
    </row>
    <row r="72" spans="1:7" x14ac:dyDescent="0.3">
      <c r="A72" s="16">
        <v>4</v>
      </c>
      <c r="B72" s="61">
        <v>87</v>
      </c>
    </row>
    <row r="73" spans="1:7" x14ac:dyDescent="0.3">
      <c r="A73" s="16">
        <v>5</v>
      </c>
      <c r="B73" s="61">
        <v>74</v>
      </c>
    </row>
    <row r="74" spans="1:7" x14ac:dyDescent="0.3">
      <c r="A74" s="16" t="s">
        <v>2057</v>
      </c>
      <c r="B74" s="61">
        <v>218</v>
      </c>
    </row>
    <row r="78" spans="1:7" x14ac:dyDescent="0.3">
      <c r="A78" s="53" t="s">
        <v>2061</v>
      </c>
      <c r="B78" s="53" t="s">
        <v>2076</v>
      </c>
    </row>
    <row r="79" spans="1:7" x14ac:dyDescent="0.3">
      <c r="A79" s="53" t="s">
        <v>2056</v>
      </c>
      <c r="B79" t="s">
        <v>1048</v>
      </c>
      <c r="C79" t="s">
        <v>1043</v>
      </c>
      <c r="D79" t="s">
        <v>1057</v>
      </c>
      <c r="E79" t="s">
        <v>1053</v>
      </c>
      <c r="F79" t="s">
        <v>1038</v>
      </c>
      <c r="G79" t="s">
        <v>2057</v>
      </c>
    </row>
    <row r="80" spans="1:7" x14ac:dyDescent="0.3">
      <c r="A80" s="16" t="s">
        <v>2094</v>
      </c>
    </row>
    <row r="81" spans="1:7" x14ac:dyDescent="0.3">
      <c r="A81" s="64" t="s">
        <v>1037</v>
      </c>
      <c r="B81" s="65">
        <v>891</v>
      </c>
      <c r="C81" s="65">
        <v>1332</v>
      </c>
      <c r="D81" s="65">
        <v>1282</v>
      </c>
      <c r="E81" s="65">
        <v>739</v>
      </c>
      <c r="F81" s="65">
        <v>560</v>
      </c>
      <c r="G81" s="65">
        <v>4804</v>
      </c>
    </row>
    <row r="82" spans="1:7" x14ac:dyDescent="0.3">
      <c r="A82" s="64" t="s">
        <v>1040</v>
      </c>
      <c r="B82" s="65">
        <v>1991</v>
      </c>
      <c r="C82" s="65">
        <v>1886</v>
      </c>
      <c r="D82" s="65">
        <v>1206</v>
      </c>
      <c r="E82" s="65">
        <v>884</v>
      </c>
      <c r="F82" s="65">
        <v>1722</v>
      </c>
      <c r="G82" s="65">
        <v>7689</v>
      </c>
    </row>
    <row r="83" spans="1:7" x14ac:dyDescent="0.3">
      <c r="A83" s="64" t="s">
        <v>1047</v>
      </c>
      <c r="B83" s="65">
        <v>1163</v>
      </c>
      <c r="C83" s="65">
        <v>1180</v>
      </c>
      <c r="D83" s="65">
        <v>1616</v>
      </c>
      <c r="E83" s="65">
        <v>1043</v>
      </c>
      <c r="F83" s="65">
        <v>1747</v>
      </c>
      <c r="G83" s="65">
        <v>6749</v>
      </c>
    </row>
    <row r="84" spans="1:7" x14ac:dyDescent="0.3">
      <c r="A84" s="64" t="s">
        <v>1079</v>
      </c>
      <c r="B84" s="65">
        <v>1438</v>
      </c>
      <c r="C84" s="65">
        <v>1616</v>
      </c>
      <c r="D84" s="65">
        <v>866</v>
      </c>
      <c r="E84" s="65">
        <v>829</v>
      </c>
      <c r="F84" s="65">
        <v>2070</v>
      </c>
      <c r="G84" s="65">
        <v>6819</v>
      </c>
    </row>
    <row r="85" spans="1:7" x14ac:dyDescent="0.3">
      <c r="A85" s="16" t="s">
        <v>2093</v>
      </c>
      <c r="B85" s="65"/>
      <c r="C85" s="65"/>
      <c r="D85" s="65"/>
      <c r="E85" s="65"/>
      <c r="F85" s="65"/>
      <c r="G85" s="65"/>
    </row>
    <row r="86" spans="1:7" x14ac:dyDescent="0.3">
      <c r="A86" s="64" t="s">
        <v>1062</v>
      </c>
      <c r="B86" s="65">
        <v>1233</v>
      </c>
      <c r="C86" s="65">
        <v>223</v>
      </c>
      <c r="D86" s="65">
        <v>1680</v>
      </c>
      <c r="E86" s="65">
        <v>990</v>
      </c>
      <c r="F86" s="65">
        <v>1508</v>
      </c>
      <c r="G86" s="65">
        <v>5634</v>
      </c>
    </row>
    <row r="87" spans="1:7" x14ac:dyDescent="0.3">
      <c r="A87" s="64" t="s">
        <v>1051</v>
      </c>
      <c r="B87" s="65">
        <v>1598</v>
      </c>
      <c r="C87" s="65">
        <v>1907</v>
      </c>
      <c r="D87" s="65">
        <v>869</v>
      </c>
      <c r="E87" s="65">
        <v>1426</v>
      </c>
      <c r="F87" s="65">
        <v>1416</v>
      </c>
      <c r="G87" s="65">
        <v>7216</v>
      </c>
    </row>
    <row r="88" spans="1:7" x14ac:dyDescent="0.3">
      <c r="A88" s="64" t="s">
        <v>1109</v>
      </c>
      <c r="B88" s="65">
        <v>900</v>
      </c>
      <c r="C88" s="65">
        <v>1016</v>
      </c>
      <c r="D88" s="65">
        <v>960</v>
      </c>
      <c r="E88" s="65">
        <v>940</v>
      </c>
      <c r="F88" s="65">
        <v>1193</v>
      </c>
      <c r="G88" s="65">
        <v>5009</v>
      </c>
    </row>
    <row r="89" spans="1:7" x14ac:dyDescent="0.3">
      <c r="A89" s="64" t="s">
        <v>1056</v>
      </c>
      <c r="B89" s="65">
        <v>900</v>
      </c>
      <c r="C89" s="65">
        <v>1470</v>
      </c>
      <c r="D89" s="65">
        <v>1617</v>
      </c>
      <c r="E89" s="65">
        <v>1314</v>
      </c>
      <c r="F89" s="65">
        <v>941</v>
      </c>
      <c r="G89" s="65">
        <v>6242</v>
      </c>
    </row>
    <row r="90" spans="1:7" x14ac:dyDescent="0.3">
      <c r="A90" s="64" t="s">
        <v>1060</v>
      </c>
      <c r="B90" s="65">
        <v>1255</v>
      </c>
      <c r="C90" s="65">
        <v>516</v>
      </c>
      <c r="D90" s="65">
        <v>1874</v>
      </c>
      <c r="E90" s="65">
        <v>1863</v>
      </c>
      <c r="F90" s="65">
        <v>1722</v>
      </c>
      <c r="G90" s="65">
        <v>7230</v>
      </c>
    </row>
    <row r="91" spans="1:7" x14ac:dyDescent="0.3">
      <c r="A91" s="64" t="s">
        <v>1076</v>
      </c>
      <c r="B91" s="65">
        <v>1138</v>
      </c>
      <c r="C91" s="65">
        <v>1898</v>
      </c>
      <c r="D91" s="65">
        <v>1482</v>
      </c>
      <c r="E91" s="65">
        <v>846</v>
      </c>
      <c r="F91" s="65">
        <v>1154</v>
      </c>
      <c r="G91" s="65">
        <v>6518</v>
      </c>
    </row>
    <row r="92" spans="1:7" x14ac:dyDescent="0.3">
      <c r="A92" s="16" t="s">
        <v>2092</v>
      </c>
      <c r="B92" s="65"/>
      <c r="C92" s="65"/>
      <c r="D92" s="65"/>
      <c r="E92" s="65"/>
      <c r="F92" s="65"/>
      <c r="G92" s="65"/>
    </row>
    <row r="93" spans="1:7" x14ac:dyDescent="0.3">
      <c r="A93" s="64" t="s">
        <v>1089</v>
      </c>
      <c r="B93" s="65">
        <v>1655</v>
      </c>
      <c r="C93" s="65">
        <v>805</v>
      </c>
      <c r="D93" s="65">
        <v>2263</v>
      </c>
      <c r="E93" s="65">
        <v>987</v>
      </c>
      <c r="F93" s="65">
        <v>1075</v>
      </c>
      <c r="G93" s="65">
        <v>6785</v>
      </c>
    </row>
    <row r="94" spans="1:7" x14ac:dyDescent="0.3">
      <c r="A94" s="64" t="s">
        <v>1042</v>
      </c>
      <c r="B94" s="65">
        <v>1104</v>
      </c>
      <c r="C94" s="65">
        <v>2280</v>
      </c>
      <c r="D94" s="65">
        <v>1445</v>
      </c>
      <c r="E94" s="65">
        <v>1722</v>
      </c>
      <c r="F94" s="65">
        <v>1196</v>
      </c>
      <c r="G94" s="65">
        <v>7747</v>
      </c>
    </row>
    <row r="95" spans="1:7" x14ac:dyDescent="0.3">
      <c r="A95" s="64" t="s">
        <v>1071</v>
      </c>
      <c r="B95" s="65">
        <v>372</v>
      </c>
      <c r="C95" s="65">
        <v>1818</v>
      </c>
      <c r="D95" s="65">
        <v>1346</v>
      </c>
      <c r="E95" s="65">
        <v>1156</v>
      </c>
      <c r="F95" s="65">
        <v>1484</v>
      </c>
      <c r="G95" s="65">
        <v>6176</v>
      </c>
    </row>
    <row r="96" spans="1:7" x14ac:dyDescent="0.3">
      <c r="A96" s="64" t="s">
        <v>1068</v>
      </c>
      <c r="B96" s="65">
        <v>1415</v>
      </c>
      <c r="C96" s="65">
        <v>1271</v>
      </c>
      <c r="D96" s="65">
        <v>1214</v>
      </c>
      <c r="E96" s="65">
        <v>1135</v>
      </c>
      <c r="F96" s="65">
        <v>1566</v>
      </c>
      <c r="G96" s="65">
        <v>6601</v>
      </c>
    </row>
    <row r="97" spans="1:7" x14ac:dyDescent="0.3">
      <c r="A97" s="64" t="s">
        <v>1045</v>
      </c>
      <c r="B97" s="65">
        <v>1362</v>
      </c>
      <c r="C97" s="65">
        <v>1363</v>
      </c>
      <c r="D97" s="65">
        <v>1152</v>
      </c>
      <c r="E97" s="65">
        <v>777</v>
      </c>
      <c r="F97" s="65">
        <v>750</v>
      </c>
      <c r="G97" s="65">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62B34-7128-4BDD-AC62-F50B5F628E5E}">
  <dimension ref="A4:P1004"/>
  <sheetViews>
    <sheetView topLeftCell="A5" workbookViewId="0">
      <selection activeCell="I16" sqref="I16"/>
    </sheetView>
  </sheetViews>
  <sheetFormatPr defaultRowHeight="14.4" x14ac:dyDescent="0.3"/>
  <cols>
    <col min="1" max="1" width="13" customWidth="1"/>
    <col min="2" max="2" width="13.109375" customWidth="1"/>
    <col min="3" max="3" width="10" customWidth="1"/>
    <col min="4" max="4" width="15.44140625" customWidth="1"/>
    <col min="5" max="5" width="12.33203125" customWidth="1"/>
    <col min="6" max="6" width="17.33203125" customWidth="1"/>
    <col min="7" max="7" width="19.21875" customWidth="1"/>
    <col min="9" max="9" width="17.44140625" customWidth="1"/>
    <col min="10" max="10" width="23" customWidth="1"/>
    <col min="13" max="13" width="13.109375" customWidth="1"/>
    <col min="14" max="14" width="9" customWidth="1"/>
  </cols>
  <sheetData>
    <row r="4" spans="1:16" x14ac:dyDescent="0.3">
      <c r="A4" s="43" t="s">
        <v>1029</v>
      </c>
      <c r="B4" s="44" t="s">
        <v>1030</v>
      </c>
      <c r="C4" s="45" t="s">
        <v>1031</v>
      </c>
      <c r="D4" s="46" t="s">
        <v>1032</v>
      </c>
      <c r="E4" s="46" t="s">
        <v>1033</v>
      </c>
      <c r="F4" s="44" t="s">
        <v>1034</v>
      </c>
      <c r="G4" s="47" t="s">
        <v>1035</v>
      </c>
      <c r="H4" s="56" t="s">
        <v>2074</v>
      </c>
      <c r="I4" s="57" t="s">
        <v>2075</v>
      </c>
      <c r="J4" s="57" t="s">
        <v>2083</v>
      </c>
      <c r="K4" s="57" t="s">
        <v>2084</v>
      </c>
      <c r="M4" s="43" t="s">
        <v>1030</v>
      </c>
      <c r="N4" s="44" t="s">
        <v>2090</v>
      </c>
      <c r="O4" s="44" t="s">
        <v>311</v>
      </c>
      <c r="P4" s="47" t="s">
        <v>2091</v>
      </c>
    </row>
    <row r="5" spans="1:16" x14ac:dyDescent="0.3">
      <c r="A5" s="41" t="s">
        <v>1036</v>
      </c>
      <c r="B5" s="10" t="s">
        <v>1037</v>
      </c>
      <c r="C5" s="10">
        <v>116</v>
      </c>
      <c r="D5" s="39" t="s">
        <v>1038</v>
      </c>
      <c r="E5" s="40">
        <v>44927</v>
      </c>
      <c r="F5" s="10">
        <v>128</v>
      </c>
      <c r="G5" s="42">
        <v>4.9000000000000004</v>
      </c>
      <c r="H5">
        <f>IF(MONTH(calls[[#This Row],[Date of Call]])&lt;=6,YEAR(calls[[#This Row],[Date of Call]]),YEAR(calls[[#This Row],[Date of Call]])+1)</f>
        <v>2023</v>
      </c>
      <c r="I5" t="str">
        <f>TEXT(calls[[#This Row],[Date of Call]],"DDDD")</f>
        <v>Sunday</v>
      </c>
      <c r="J5" t="str" cm="1">
        <f t="array" ref="J5">_xlfn.IFS(calls[[#This Row],[Duration]]&lt;=10,"UNDER 10 MINS",calls[[#This Row],[Duration]]&lt;=30,"10 TO 30 MINS",calls[[#This Row],[Duration]]&lt;=60,"30 TO 60 MINS",calls[[#This Row],[Duration]]&lt;=120,"1 TO 2 HRS",TRUE,"MORE THAN 2 HRS")</f>
        <v>1 TO 2 HRS</v>
      </c>
      <c r="K5">
        <f>ROUND(calls[[#This Row],[Satisfaction Rating]],0)</f>
        <v>5</v>
      </c>
      <c r="M5" s="41" t="s">
        <v>1089</v>
      </c>
      <c r="N5" s="59" t="s">
        <v>24</v>
      </c>
      <c r="O5" s="10">
        <v>41</v>
      </c>
      <c r="P5" s="42" t="s">
        <v>2092</v>
      </c>
    </row>
    <row r="6" spans="1:16" x14ac:dyDescent="0.3">
      <c r="A6" s="41" t="s">
        <v>1039</v>
      </c>
      <c r="B6" s="10" t="s">
        <v>1040</v>
      </c>
      <c r="C6" s="10">
        <v>119</v>
      </c>
      <c r="D6" s="39" t="s">
        <v>1038</v>
      </c>
      <c r="E6" s="40">
        <v>44927</v>
      </c>
      <c r="F6" s="10">
        <v>135</v>
      </c>
      <c r="G6" s="42">
        <v>2.9</v>
      </c>
      <c r="H6">
        <f>IF(MONTH(calls[[#This Row],[Date of Call]])&lt;=6,YEAR(calls[[#This Row],[Date of Call]]),YEAR(calls[[#This Row],[Date of Call]])+1)</f>
        <v>2023</v>
      </c>
      <c r="I6" t="str">
        <f>TEXT(calls[[#This Row],[Date of Call]],"DDDD")</f>
        <v>Sunday</v>
      </c>
      <c r="J6" t="str" cm="1">
        <f t="array" ref="J6">_xlfn.IFS(calls[[#This Row],[Duration]]&lt;=10,"UNDER 10 MINS",calls[[#This Row],[Duration]]&lt;=30,"10 TO 30 MINS",calls[[#This Row],[Duration]]&lt;=60,"30 TO 60 MINS",calls[[#This Row],[Duration]]&lt;=120,"1 TO 2 HRS",TRUE,"MORE THAN 2 HRS")</f>
        <v>1 TO 2 HRS</v>
      </c>
      <c r="K6">
        <f>ROUND(calls[[#This Row],[Satisfaction Rating]],0)</f>
        <v>3</v>
      </c>
      <c r="M6" s="41" t="s">
        <v>1062</v>
      </c>
      <c r="N6" s="59" t="s">
        <v>24</v>
      </c>
      <c r="O6" s="10">
        <v>31</v>
      </c>
      <c r="P6" s="42" t="s">
        <v>2093</v>
      </c>
    </row>
    <row r="7" spans="1:16" x14ac:dyDescent="0.3">
      <c r="A7" s="41" t="s">
        <v>1041</v>
      </c>
      <c r="B7" s="10" t="s">
        <v>1042</v>
      </c>
      <c r="C7" s="10">
        <v>68</v>
      </c>
      <c r="D7" s="39" t="s">
        <v>1043</v>
      </c>
      <c r="E7" s="40">
        <v>44927</v>
      </c>
      <c r="F7" s="10">
        <v>66</v>
      </c>
      <c r="G7" s="42">
        <v>4.7</v>
      </c>
      <c r="H7">
        <f>IF(MONTH(calls[[#This Row],[Date of Call]])&lt;=6,YEAR(calls[[#This Row],[Date of Call]]),YEAR(calls[[#This Row],[Date of Call]])+1)</f>
        <v>2023</v>
      </c>
      <c r="I7" t="str">
        <f>TEXT(calls[[#This Row],[Date of Call]],"DDDD")</f>
        <v>Sunday</v>
      </c>
      <c r="J7" t="str" cm="1">
        <f t="array" ref="J7">_xlfn.IFS(calls[[#This Row],[Duration]]&lt;=10,"UNDER 10 MINS",calls[[#This Row],[Duration]]&lt;=30,"10 TO 30 MINS",calls[[#This Row],[Duration]]&lt;=60,"30 TO 60 MINS",calls[[#This Row],[Duration]]&lt;=120,"1 TO 2 HRS",TRUE,"MORE THAN 2 HRS")</f>
        <v>1 TO 2 HRS</v>
      </c>
      <c r="K7">
        <f>ROUND(calls[[#This Row],[Satisfaction Rating]],0)</f>
        <v>5</v>
      </c>
      <c r="M7" s="41" t="s">
        <v>1037</v>
      </c>
      <c r="N7" s="59" t="s">
        <v>24</v>
      </c>
      <c r="O7" s="10">
        <v>26</v>
      </c>
      <c r="P7" s="42" t="s">
        <v>2094</v>
      </c>
    </row>
    <row r="8" spans="1:16" x14ac:dyDescent="0.3">
      <c r="A8" s="41" t="s">
        <v>1044</v>
      </c>
      <c r="B8" s="10" t="s">
        <v>1045</v>
      </c>
      <c r="C8" s="10">
        <v>119</v>
      </c>
      <c r="D8" s="39" t="s">
        <v>1043</v>
      </c>
      <c r="E8" s="40">
        <v>44927</v>
      </c>
      <c r="F8" s="10">
        <v>22</v>
      </c>
      <c r="G8" s="42">
        <v>2.9</v>
      </c>
      <c r="H8">
        <f>IF(MONTH(calls[[#This Row],[Date of Call]])&lt;=6,YEAR(calls[[#This Row],[Date of Call]]),YEAR(calls[[#This Row],[Date of Call]])+1)</f>
        <v>2023</v>
      </c>
      <c r="I8" t="str">
        <f>TEXT(calls[[#This Row],[Date of Call]],"DDDD")</f>
        <v>Sunday</v>
      </c>
      <c r="J8" t="str" cm="1">
        <f t="array" ref="J8">_xlfn.IFS(calls[[#This Row],[Duration]]&lt;=10,"UNDER 10 MINS",calls[[#This Row],[Duration]]&lt;=30,"10 TO 30 MINS",calls[[#This Row],[Duration]]&lt;=60,"30 TO 60 MINS",calls[[#This Row],[Duration]]&lt;=120,"1 TO 2 HRS",TRUE,"MORE THAN 2 HRS")</f>
        <v>1 TO 2 HRS</v>
      </c>
      <c r="K8">
        <f>ROUND(calls[[#This Row],[Satisfaction Rating]],0)</f>
        <v>3</v>
      </c>
      <c r="M8" s="41" t="s">
        <v>1040</v>
      </c>
      <c r="N8" s="59" t="s">
        <v>24</v>
      </c>
      <c r="O8" s="10">
        <v>36</v>
      </c>
      <c r="P8" s="42" t="s">
        <v>2094</v>
      </c>
    </row>
    <row r="9" spans="1:16" x14ac:dyDescent="0.3">
      <c r="A9" s="41" t="s">
        <v>1046</v>
      </c>
      <c r="B9" s="10" t="s">
        <v>1047</v>
      </c>
      <c r="C9" s="10">
        <v>128</v>
      </c>
      <c r="D9" s="39" t="s">
        <v>1048</v>
      </c>
      <c r="E9" s="40">
        <v>44928</v>
      </c>
      <c r="F9" s="10">
        <v>31</v>
      </c>
      <c r="G9" s="42">
        <v>2.8</v>
      </c>
      <c r="H9">
        <f>IF(MONTH(calls[[#This Row],[Date of Call]])&lt;=6,YEAR(calls[[#This Row],[Date of Call]]),YEAR(calls[[#This Row],[Date of Call]])+1)</f>
        <v>2023</v>
      </c>
      <c r="I9" t="str">
        <f>TEXT(calls[[#This Row],[Date of Call]],"DDDD")</f>
        <v>Monday</v>
      </c>
      <c r="J9" t="str" cm="1">
        <f t="array" ref="J9">_xlfn.IFS(calls[[#This Row],[Duration]]&lt;=10,"UNDER 10 MINS",calls[[#This Row],[Duration]]&lt;=30,"10 TO 30 MINS",calls[[#This Row],[Duration]]&lt;=60,"30 TO 60 MINS",calls[[#This Row],[Duration]]&lt;=120,"1 TO 2 HRS",TRUE,"MORE THAN 2 HRS")</f>
        <v>MORE THAN 2 HRS</v>
      </c>
      <c r="K9">
        <f>ROUND(calls[[#This Row],[Satisfaction Rating]],0)</f>
        <v>3</v>
      </c>
      <c r="M9" s="41" t="s">
        <v>1042</v>
      </c>
      <c r="N9" s="59" t="s">
        <v>24</v>
      </c>
      <c r="O9" s="10">
        <v>37</v>
      </c>
      <c r="P9" s="42" t="s">
        <v>2092</v>
      </c>
    </row>
    <row r="10" spans="1:16" x14ac:dyDescent="0.3">
      <c r="A10" s="41" t="s">
        <v>1049</v>
      </c>
      <c r="B10" s="10" t="s">
        <v>1047</v>
      </c>
      <c r="C10" s="10">
        <v>49</v>
      </c>
      <c r="D10" s="39" t="s">
        <v>1043</v>
      </c>
      <c r="E10" s="40">
        <v>44929</v>
      </c>
      <c r="F10" s="10">
        <v>135</v>
      </c>
      <c r="G10" s="42">
        <v>4.8</v>
      </c>
      <c r="H10">
        <f>IF(MONTH(calls[[#This Row],[Date of Call]])&lt;=6,YEAR(calls[[#This Row],[Date of Call]]),YEAR(calls[[#This Row],[Date of Call]])+1)</f>
        <v>2023</v>
      </c>
      <c r="I10" t="str">
        <f>TEXT(calls[[#This Row],[Date of Call]],"DDDD")</f>
        <v>Tuesday</v>
      </c>
      <c r="J10" t="str" cm="1">
        <f t="array" ref="J10">_xlfn.IFS(calls[[#This Row],[Duration]]&lt;=10,"UNDER 10 MINS",calls[[#This Row],[Duration]]&lt;=30,"10 TO 30 MINS",calls[[#This Row],[Duration]]&lt;=60,"30 TO 60 MINS",calls[[#This Row],[Duration]]&lt;=120,"1 TO 2 HRS",TRUE,"MORE THAN 2 HRS")</f>
        <v>30 TO 60 MINS</v>
      </c>
      <c r="K10">
        <f>ROUND(calls[[#This Row],[Satisfaction Rating]],0)</f>
        <v>5</v>
      </c>
      <c r="M10" s="41" t="s">
        <v>1071</v>
      </c>
      <c r="N10" s="59" t="s">
        <v>24</v>
      </c>
      <c r="O10" s="10">
        <v>23</v>
      </c>
      <c r="P10" s="42" t="s">
        <v>2092</v>
      </c>
    </row>
    <row r="11" spans="1:16" x14ac:dyDescent="0.3">
      <c r="A11" s="41" t="s">
        <v>1050</v>
      </c>
      <c r="B11" s="10" t="s">
        <v>1051</v>
      </c>
      <c r="C11" s="10">
        <v>84</v>
      </c>
      <c r="D11" s="39" t="s">
        <v>1038</v>
      </c>
      <c r="E11" s="40">
        <v>44929</v>
      </c>
      <c r="F11" s="10">
        <v>60</v>
      </c>
      <c r="G11" s="42">
        <v>4.7</v>
      </c>
      <c r="H11">
        <f>IF(MONTH(calls[[#This Row],[Date of Call]])&lt;=6,YEAR(calls[[#This Row],[Date of Call]]),YEAR(calls[[#This Row],[Date of Call]])+1)</f>
        <v>2023</v>
      </c>
      <c r="I11" t="str">
        <f>TEXT(calls[[#This Row],[Date of Call]],"DDDD")</f>
        <v>Tuesday</v>
      </c>
      <c r="J11" t="str" cm="1">
        <f t="array" ref="J11">_xlfn.IFS(calls[[#This Row],[Duration]]&lt;=10,"UNDER 10 MINS",calls[[#This Row],[Duration]]&lt;=30,"10 TO 30 MINS",calls[[#This Row],[Duration]]&lt;=60,"30 TO 60 MINS",calls[[#This Row],[Duration]]&lt;=120,"1 TO 2 HRS",TRUE,"MORE THAN 2 HRS")</f>
        <v>1 TO 2 HRS</v>
      </c>
      <c r="K11">
        <f>ROUND(calls[[#This Row],[Satisfaction Rating]],0)</f>
        <v>5</v>
      </c>
      <c r="M11" s="41" t="s">
        <v>1051</v>
      </c>
      <c r="N11" s="59" t="s">
        <v>11</v>
      </c>
      <c r="O11" s="10">
        <v>22</v>
      </c>
      <c r="P11" s="42" t="s">
        <v>2093</v>
      </c>
    </row>
    <row r="12" spans="1:16" x14ac:dyDescent="0.3">
      <c r="A12" s="41" t="s">
        <v>1052</v>
      </c>
      <c r="B12" s="10" t="s">
        <v>1037</v>
      </c>
      <c r="C12" s="10">
        <v>103</v>
      </c>
      <c r="D12" s="39" t="s">
        <v>1053</v>
      </c>
      <c r="E12" s="40">
        <v>44929</v>
      </c>
      <c r="F12" s="10">
        <v>148</v>
      </c>
      <c r="G12" s="42">
        <v>4.4000000000000004</v>
      </c>
      <c r="H12">
        <f>IF(MONTH(calls[[#This Row],[Date of Call]])&lt;=6,YEAR(calls[[#This Row],[Date of Call]]),YEAR(calls[[#This Row],[Date of Call]])+1)</f>
        <v>2023</v>
      </c>
      <c r="I12" t="str">
        <f>TEXT(calls[[#This Row],[Date of Call]],"DDDD")</f>
        <v>Tuesday</v>
      </c>
      <c r="J12" t="str" cm="1">
        <f t="array" ref="J12">_xlfn.IFS(calls[[#This Row],[Duration]]&lt;=10,"UNDER 10 MINS",calls[[#This Row],[Duration]]&lt;=30,"10 TO 30 MINS",calls[[#This Row],[Duration]]&lt;=60,"30 TO 60 MINS",calls[[#This Row],[Duration]]&lt;=120,"1 TO 2 HRS",TRUE,"MORE THAN 2 HRS")</f>
        <v>1 TO 2 HRS</v>
      </c>
      <c r="K12">
        <f>ROUND(calls[[#This Row],[Satisfaction Rating]],0)</f>
        <v>4</v>
      </c>
      <c r="M12" s="41" t="s">
        <v>1109</v>
      </c>
      <c r="N12" s="59" t="s">
        <v>11</v>
      </c>
      <c r="O12" s="10">
        <v>42</v>
      </c>
      <c r="P12" s="42" t="s">
        <v>2093</v>
      </c>
    </row>
    <row r="13" spans="1:16" x14ac:dyDescent="0.3">
      <c r="A13" s="41" t="s">
        <v>1054</v>
      </c>
      <c r="B13" s="10" t="s">
        <v>1042</v>
      </c>
      <c r="C13" s="10">
        <v>31</v>
      </c>
      <c r="D13" s="39" t="s">
        <v>1043</v>
      </c>
      <c r="E13" s="40">
        <v>44929</v>
      </c>
      <c r="F13" s="10">
        <v>135</v>
      </c>
      <c r="G13" s="42">
        <v>3.6</v>
      </c>
      <c r="H13">
        <f>IF(MONTH(calls[[#This Row],[Date of Call]])&lt;=6,YEAR(calls[[#This Row],[Date of Call]]),YEAR(calls[[#This Row],[Date of Call]])+1)</f>
        <v>2023</v>
      </c>
      <c r="I13" t="str">
        <f>TEXT(calls[[#This Row],[Date of Call]],"DDDD")</f>
        <v>Tuesday</v>
      </c>
      <c r="J13" t="str" cm="1">
        <f t="array" ref="J13">_xlfn.IFS(calls[[#This Row],[Duration]]&lt;=10,"UNDER 10 MINS",calls[[#This Row],[Duration]]&lt;=30,"10 TO 30 MINS",calls[[#This Row],[Duration]]&lt;=60,"30 TO 60 MINS",calls[[#This Row],[Duration]]&lt;=120,"1 TO 2 HRS",TRUE,"MORE THAN 2 HRS")</f>
        <v>30 TO 60 MINS</v>
      </c>
      <c r="K13">
        <f>ROUND(calls[[#This Row],[Satisfaction Rating]],0)</f>
        <v>4</v>
      </c>
      <c r="M13" s="41" t="s">
        <v>1068</v>
      </c>
      <c r="N13" s="59" t="s">
        <v>11</v>
      </c>
      <c r="O13" s="10">
        <v>25</v>
      </c>
      <c r="P13" s="42" t="s">
        <v>2092</v>
      </c>
    </row>
    <row r="14" spans="1:16" x14ac:dyDescent="0.3">
      <c r="A14" s="41" t="s">
        <v>1055</v>
      </c>
      <c r="B14" s="10" t="s">
        <v>1056</v>
      </c>
      <c r="C14" s="10">
        <v>44</v>
      </c>
      <c r="D14" s="39" t="s">
        <v>1057</v>
      </c>
      <c r="E14" s="40">
        <v>44929</v>
      </c>
      <c r="F14" s="10">
        <v>105</v>
      </c>
      <c r="G14" s="42">
        <v>2.9</v>
      </c>
      <c r="H14">
        <f>IF(MONTH(calls[[#This Row],[Date of Call]])&lt;=6,YEAR(calls[[#This Row],[Date of Call]]),YEAR(calls[[#This Row],[Date of Call]])+1)</f>
        <v>2023</v>
      </c>
      <c r="I14" t="str">
        <f>TEXT(calls[[#This Row],[Date of Call]],"DDDD")</f>
        <v>Tuesday</v>
      </c>
      <c r="J14" t="str" cm="1">
        <f t="array" ref="J14">_xlfn.IFS(calls[[#This Row],[Duration]]&lt;=10,"UNDER 10 MINS",calls[[#This Row],[Duration]]&lt;=30,"10 TO 30 MINS",calls[[#This Row],[Duration]]&lt;=60,"30 TO 60 MINS",calls[[#This Row],[Duration]]&lt;=120,"1 TO 2 HRS",TRUE,"MORE THAN 2 HRS")</f>
        <v>30 TO 60 MINS</v>
      </c>
      <c r="K14">
        <f>ROUND(calls[[#This Row],[Satisfaction Rating]],0)</f>
        <v>3</v>
      </c>
      <c r="M14" s="41" t="s">
        <v>1056</v>
      </c>
      <c r="N14" s="59" t="s">
        <v>11</v>
      </c>
      <c r="O14" s="10">
        <v>30</v>
      </c>
      <c r="P14" s="42" t="s">
        <v>2093</v>
      </c>
    </row>
    <row r="15" spans="1:16" x14ac:dyDescent="0.3">
      <c r="A15" s="41" t="s">
        <v>1058</v>
      </c>
      <c r="B15" s="10" t="s">
        <v>1047</v>
      </c>
      <c r="C15" s="10">
        <v>102</v>
      </c>
      <c r="D15" s="39" t="s">
        <v>1043</v>
      </c>
      <c r="E15" s="40">
        <v>44929</v>
      </c>
      <c r="F15" s="10">
        <v>69</v>
      </c>
      <c r="G15" s="42">
        <v>4.9000000000000004</v>
      </c>
      <c r="H15">
        <f>IF(MONTH(calls[[#This Row],[Date of Call]])&lt;=6,YEAR(calls[[#This Row],[Date of Call]]),YEAR(calls[[#This Row],[Date of Call]])+1)</f>
        <v>2023</v>
      </c>
      <c r="I15" t="str">
        <f>TEXT(calls[[#This Row],[Date of Call]],"DDDD")</f>
        <v>Tuesday</v>
      </c>
      <c r="J15" t="str" cm="1">
        <f t="array" ref="J15">_xlfn.IFS(calls[[#This Row],[Duration]]&lt;=10,"UNDER 10 MINS",calls[[#This Row],[Duration]]&lt;=30,"10 TO 30 MINS",calls[[#This Row],[Duration]]&lt;=60,"30 TO 60 MINS",calls[[#This Row],[Duration]]&lt;=120,"1 TO 2 HRS",TRUE,"MORE THAN 2 HRS")</f>
        <v>1 TO 2 HRS</v>
      </c>
      <c r="K15">
        <f>ROUND(calls[[#This Row],[Satisfaction Rating]],0)</f>
        <v>5</v>
      </c>
      <c r="M15" s="41" t="s">
        <v>1047</v>
      </c>
      <c r="N15" s="59" t="s">
        <v>11</v>
      </c>
      <c r="O15" s="10">
        <v>30</v>
      </c>
      <c r="P15" s="42" t="s">
        <v>2094</v>
      </c>
    </row>
    <row r="16" spans="1:16" x14ac:dyDescent="0.3">
      <c r="A16" s="41" t="s">
        <v>1059</v>
      </c>
      <c r="B16" s="10" t="s">
        <v>1060</v>
      </c>
      <c r="C16" s="10">
        <v>135</v>
      </c>
      <c r="D16" s="39" t="s">
        <v>1038</v>
      </c>
      <c r="E16" s="40">
        <v>44929</v>
      </c>
      <c r="F16" s="10">
        <v>46</v>
      </c>
      <c r="G16" s="42">
        <v>3.4</v>
      </c>
      <c r="H16">
        <f>IF(MONTH(calls[[#This Row],[Date of Call]])&lt;=6,YEAR(calls[[#This Row],[Date of Call]]),YEAR(calls[[#This Row],[Date of Call]])+1)</f>
        <v>2023</v>
      </c>
      <c r="I16" t="str">
        <f>TEXT(calls[[#This Row],[Date of Call]],"DDDD")</f>
        <v>Tuesday</v>
      </c>
      <c r="J16" t="str" cm="1">
        <f t="array" ref="J16">_xlfn.IFS(calls[[#This Row],[Duration]]&lt;=10,"UNDER 10 MINS",calls[[#This Row],[Duration]]&lt;=30,"10 TO 30 MINS",calls[[#This Row],[Duration]]&lt;=60,"30 TO 60 MINS",calls[[#This Row],[Duration]]&lt;=120,"1 TO 2 HRS",TRUE,"MORE THAN 2 HRS")</f>
        <v>MORE THAN 2 HRS</v>
      </c>
      <c r="K16">
        <f>ROUND(calls[[#This Row],[Satisfaction Rating]],0)</f>
        <v>3</v>
      </c>
      <c r="M16" s="41" t="s">
        <v>1079</v>
      </c>
      <c r="N16" s="59" t="s">
        <v>11</v>
      </c>
      <c r="O16" s="10">
        <v>28</v>
      </c>
      <c r="P16" s="42" t="s">
        <v>2094</v>
      </c>
    </row>
    <row r="17" spans="1:16" x14ac:dyDescent="0.3">
      <c r="A17" s="41" t="s">
        <v>1061</v>
      </c>
      <c r="B17" s="10" t="s">
        <v>1062</v>
      </c>
      <c r="C17" s="10">
        <v>98</v>
      </c>
      <c r="D17" s="39" t="s">
        <v>1043</v>
      </c>
      <c r="E17" s="40">
        <v>44930</v>
      </c>
      <c r="F17" s="10">
        <v>108</v>
      </c>
      <c r="G17" s="42">
        <v>3.5</v>
      </c>
      <c r="H17">
        <f>IF(MONTH(calls[[#This Row],[Date of Call]])&lt;=6,YEAR(calls[[#This Row],[Date of Call]]),YEAR(calls[[#This Row],[Date of Call]])+1)</f>
        <v>2023</v>
      </c>
      <c r="I17" t="str">
        <f>TEXT(calls[[#This Row],[Date of Call]],"DDDD")</f>
        <v>Wednesday</v>
      </c>
      <c r="J17" t="str" cm="1">
        <f t="array" ref="J17">_xlfn.IFS(calls[[#This Row],[Duration]]&lt;=10,"UNDER 10 MINS",calls[[#This Row],[Duration]]&lt;=30,"10 TO 30 MINS",calls[[#This Row],[Duration]]&lt;=60,"30 TO 60 MINS",calls[[#This Row],[Duration]]&lt;=120,"1 TO 2 HRS",TRUE,"MORE THAN 2 HRS")</f>
        <v>1 TO 2 HRS</v>
      </c>
      <c r="K17">
        <f>ROUND(calls[[#This Row],[Satisfaction Rating]],0)</f>
        <v>4</v>
      </c>
      <c r="M17" s="41" t="s">
        <v>1060</v>
      </c>
      <c r="N17" s="59" t="s">
        <v>11</v>
      </c>
      <c r="O17" s="10">
        <v>37</v>
      </c>
      <c r="P17" s="42" t="s">
        <v>2093</v>
      </c>
    </row>
    <row r="18" spans="1:16" x14ac:dyDescent="0.3">
      <c r="A18" s="41" t="s">
        <v>1063</v>
      </c>
      <c r="B18" s="10" t="s">
        <v>1056</v>
      </c>
      <c r="C18" s="10">
        <v>139</v>
      </c>
      <c r="D18" s="39" t="s">
        <v>1043</v>
      </c>
      <c r="E18" s="40">
        <v>44930</v>
      </c>
      <c r="F18" s="10">
        <v>96</v>
      </c>
      <c r="G18" s="42">
        <v>4</v>
      </c>
      <c r="H18">
        <f>IF(MONTH(calls[[#This Row],[Date of Call]])&lt;=6,YEAR(calls[[#This Row],[Date of Call]]),YEAR(calls[[#This Row],[Date of Call]])+1)</f>
        <v>2023</v>
      </c>
      <c r="I18" t="str">
        <f>TEXT(calls[[#This Row],[Date of Call]],"DDDD")</f>
        <v>Wednesday</v>
      </c>
      <c r="J18" t="str" cm="1">
        <f t="array" ref="J18">_xlfn.IFS(calls[[#This Row],[Duration]]&lt;=10,"UNDER 10 MINS",calls[[#This Row],[Duration]]&lt;=30,"10 TO 30 MINS",calls[[#This Row],[Duration]]&lt;=60,"30 TO 60 MINS",calls[[#This Row],[Duration]]&lt;=120,"1 TO 2 HRS",TRUE,"MORE THAN 2 HRS")</f>
        <v>MORE THAN 2 HRS</v>
      </c>
      <c r="K18">
        <f>ROUND(calls[[#This Row],[Satisfaction Rating]],0)</f>
        <v>4</v>
      </c>
      <c r="M18" s="41" t="s">
        <v>1045</v>
      </c>
      <c r="N18" s="59" t="s">
        <v>11</v>
      </c>
      <c r="O18" s="10">
        <v>38</v>
      </c>
      <c r="P18" s="42" t="s">
        <v>2092</v>
      </c>
    </row>
    <row r="19" spans="1:16" x14ac:dyDescent="0.3">
      <c r="A19" s="41" t="s">
        <v>1064</v>
      </c>
      <c r="B19" s="10" t="s">
        <v>1060</v>
      </c>
      <c r="C19" s="10">
        <v>48</v>
      </c>
      <c r="D19" s="39" t="s">
        <v>1048</v>
      </c>
      <c r="E19" s="40">
        <v>44930</v>
      </c>
      <c r="F19" s="10">
        <v>68</v>
      </c>
      <c r="G19" s="42">
        <v>4.9000000000000004</v>
      </c>
      <c r="H19">
        <f>IF(MONTH(calls[[#This Row],[Date of Call]])&lt;=6,YEAR(calls[[#This Row],[Date of Call]]),YEAR(calls[[#This Row],[Date of Call]])+1)</f>
        <v>2023</v>
      </c>
      <c r="I19" t="str">
        <f>TEXT(calls[[#This Row],[Date of Call]],"DDDD")</f>
        <v>Wednesday</v>
      </c>
      <c r="J19" t="str" cm="1">
        <f t="array" ref="J19">_xlfn.IFS(calls[[#This Row],[Duration]]&lt;=10,"UNDER 10 MINS",calls[[#This Row],[Duration]]&lt;=30,"10 TO 30 MINS",calls[[#This Row],[Duration]]&lt;=60,"30 TO 60 MINS",calls[[#This Row],[Duration]]&lt;=120,"1 TO 2 HRS",TRUE,"MORE THAN 2 HRS")</f>
        <v>30 TO 60 MINS</v>
      </c>
      <c r="K19">
        <f>ROUND(calls[[#This Row],[Satisfaction Rating]],0)</f>
        <v>5</v>
      </c>
      <c r="M19" s="48" t="s">
        <v>1076</v>
      </c>
      <c r="N19" s="60" t="s">
        <v>11</v>
      </c>
      <c r="O19" s="49">
        <v>43</v>
      </c>
      <c r="P19" s="52" t="s">
        <v>2093</v>
      </c>
    </row>
    <row r="20" spans="1:16" x14ac:dyDescent="0.3">
      <c r="A20" s="41" t="s">
        <v>1065</v>
      </c>
      <c r="B20" s="10" t="s">
        <v>1056</v>
      </c>
      <c r="C20" s="10">
        <v>176</v>
      </c>
      <c r="D20" s="39" t="s">
        <v>1038</v>
      </c>
      <c r="E20" s="40">
        <v>44931</v>
      </c>
      <c r="F20" s="10">
        <v>24</v>
      </c>
      <c r="G20" s="42">
        <v>4.8</v>
      </c>
      <c r="H20">
        <f>IF(MONTH(calls[[#This Row],[Date of Call]])&lt;=6,YEAR(calls[[#This Row],[Date of Call]]),YEAR(calls[[#This Row],[Date of Call]])+1)</f>
        <v>2023</v>
      </c>
      <c r="I20" t="str">
        <f>TEXT(calls[[#This Row],[Date of Call]],"DDDD")</f>
        <v>Thursday</v>
      </c>
      <c r="J20" t="str" cm="1">
        <f t="array" ref="J20">_xlfn.IFS(calls[[#This Row],[Duration]]&lt;=10,"UNDER 10 MINS",calls[[#This Row],[Duration]]&lt;=30,"10 TO 30 MINS",calls[[#This Row],[Duration]]&lt;=60,"30 TO 60 MINS",calls[[#This Row],[Duration]]&lt;=120,"1 TO 2 HRS",TRUE,"MORE THAN 2 HRS")</f>
        <v>MORE THAN 2 HRS</v>
      </c>
      <c r="K20">
        <f>ROUND(calls[[#This Row],[Satisfaction Rating]],0)</f>
        <v>5</v>
      </c>
    </row>
    <row r="21" spans="1:16" x14ac:dyDescent="0.3">
      <c r="A21" s="41" t="s">
        <v>1066</v>
      </c>
      <c r="B21" s="10" t="s">
        <v>1056</v>
      </c>
      <c r="C21" s="10">
        <v>99</v>
      </c>
      <c r="D21" s="39" t="s">
        <v>1048</v>
      </c>
      <c r="E21" s="40">
        <v>44931</v>
      </c>
      <c r="F21" s="10">
        <v>195</v>
      </c>
      <c r="G21" s="42">
        <v>3.9</v>
      </c>
      <c r="H21">
        <f>IF(MONTH(calls[[#This Row],[Date of Call]])&lt;=6,YEAR(calls[[#This Row],[Date of Call]]),YEAR(calls[[#This Row],[Date of Call]])+1)</f>
        <v>2023</v>
      </c>
      <c r="I21" t="str">
        <f>TEXT(calls[[#This Row],[Date of Call]],"DDDD")</f>
        <v>Thursday</v>
      </c>
      <c r="J21" t="str" cm="1">
        <f t="array" ref="J21">_xlfn.IFS(calls[[#This Row],[Duration]]&lt;=10,"UNDER 10 MINS",calls[[#This Row],[Duration]]&lt;=30,"10 TO 30 MINS",calls[[#This Row],[Duration]]&lt;=60,"30 TO 60 MINS",calls[[#This Row],[Duration]]&lt;=120,"1 TO 2 HRS",TRUE,"MORE THAN 2 HRS")</f>
        <v>1 TO 2 HRS</v>
      </c>
      <c r="K21">
        <f>ROUND(calls[[#This Row],[Satisfaction Rating]],0)</f>
        <v>4</v>
      </c>
    </row>
    <row r="22" spans="1:16" x14ac:dyDescent="0.3">
      <c r="A22" s="41" t="s">
        <v>1067</v>
      </c>
      <c r="B22" s="10" t="s">
        <v>1068</v>
      </c>
      <c r="C22" s="10">
        <v>28</v>
      </c>
      <c r="D22" s="39" t="s">
        <v>1057</v>
      </c>
      <c r="E22" s="40">
        <v>44931</v>
      </c>
      <c r="F22" s="10">
        <v>28</v>
      </c>
      <c r="G22" s="42">
        <v>3.8</v>
      </c>
      <c r="H22">
        <f>IF(MONTH(calls[[#This Row],[Date of Call]])&lt;=6,YEAR(calls[[#This Row],[Date of Call]]),YEAR(calls[[#This Row],[Date of Call]])+1)</f>
        <v>2023</v>
      </c>
      <c r="I22" t="str">
        <f>TEXT(calls[[#This Row],[Date of Call]],"DDDD")</f>
        <v>Thursday</v>
      </c>
      <c r="J22" t="str" cm="1">
        <f t="array" ref="J22">_xlfn.IFS(calls[[#This Row],[Duration]]&lt;=10,"UNDER 10 MINS",calls[[#This Row],[Duration]]&lt;=30,"10 TO 30 MINS",calls[[#This Row],[Duration]]&lt;=60,"30 TO 60 MINS",calls[[#This Row],[Duration]]&lt;=120,"1 TO 2 HRS",TRUE,"MORE THAN 2 HRS")</f>
        <v>10 TO 30 MINS</v>
      </c>
      <c r="K22">
        <f>ROUND(calls[[#This Row],[Satisfaction Rating]],0)</f>
        <v>4</v>
      </c>
    </row>
    <row r="23" spans="1:16" x14ac:dyDescent="0.3">
      <c r="A23" s="41" t="s">
        <v>1069</v>
      </c>
      <c r="B23" s="10" t="s">
        <v>1051</v>
      </c>
      <c r="C23" s="10">
        <v>54</v>
      </c>
      <c r="D23" s="39" t="s">
        <v>1043</v>
      </c>
      <c r="E23" s="40">
        <v>44931</v>
      </c>
      <c r="F23" s="10">
        <v>170</v>
      </c>
      <c r="G23" s="42">
        <v>4.3</v>
      </c>
      <c r="H23">
        <f>IF(MONTH(calls[[#This Row],[Date of Call]])&lt;=6,YEAR(calls[[#This Row],[Date of Call]]),YEAR(calls[[#This Row],[Date of Call]])+1)</f>
        <v>2023</v>
      </c>
      <c r="I23" t="str">
        <f>TEXT(calls[[#This Row],[Date of Call]],"DDDD")</f>
        <v>Thursday</v>
      </c>
      <c r="J23" t="str" cm="1">
        <f t="array" ref="J23">_xlfn.IFS(calls[[#This Row],[Duration]]&lt;=10,"UNDER 10 MINS",calls[[#This Row],[Duration]]&lt;=30,"10 TO 30 MINS",calls[[#This Row],[Duration]]&lt;=60,"30 TO 60 MINS",calls[[#This Row],[Duration]]&lt;=120,"1 TO 2 HRS",TRUE,"MORE THAN 2 HRS")</f>
        <v>30 TO 60 MINS</v>
      </c>
      <c r="K23">
        <f>ROUND(calls[[#This Row],[Satisfaction Rating]],0)</f>
        <v>4</v>
      </c>
    </row>
    <row r="24" spans="1:16" x14ac:dyDescent="0.3">
      <c r="A24" s="41" t="s">
        <v>1070</v>
      </c>
      <c r="B24" s="10" t="s">
        <v>1071</v>
      </c>
      <c r="C24" s="10">
        <v>48</v>
      </c>
      <c r="D24" s="39" t="s">
        <v>1038</v>
      </c>
      <c r="E24" s="40">
        <v>44932</v>
      </c>
      <c r="F24" s="10">
        <v>30</v>
      </c>
      <c r="G24" s="42">
        <v>4.4000000000000004</v>
      </c>
      <c r="H24">
        <f>IF(MONTH(calls[[#This Row],[Date of Call]])&lt;=6,YEAR(calls[[#This Row],[Date of Call]]),YEAR(calls[[#This Row],[Date of Call]])+1)</f>
        <v>2023</v>
      </c>
      <c r="I24" t="str">
        <f>TEXT(calls[[#This Row],[Date of Call]],"DDDD")</f>
        <v>Friday</v>
      </c>
      <c r="J24" t="str" cm="1">
        <f t="array" ref="J24">_xlfn.IFS(calls[[#This Row],[Duration]]&lt;=10,"UNDER 10 MINS",calls[[#This Row],[Duration]]&lt;=30,"10 TO 30 MINS",calls[[#This Row],[Duration]]&lt;=60,"30 TO 60 MINS",calls[[#This Row],[Duration]]&lt;=120,"1 TO 2 HRS",TRUE,"MORE THAN 2 HRS")</f>
        <v>30 TO 60 MINS</v>
      </c>
      <c r="K24">
        <f>ROUND(calls[[#This Row],[Satisfaction Rating]],0)</f>
        <v>4</v>
      </c>
    </row>
    <row r="25" spans="1:16" x14ac:dyDescent="0.3">
      <c r="A25" s="41" t="s">
        <v>1072</v>
      </c>
      <c r="B25" s="10" t="s">
        <v>1040</v>
      </c>
      <c r="C25" s="10">
        <v>128</v>
      </c>
      <c r="D25" s="39" t="s">
        <v>1038</v>
      </c>
      <c r="E25" s="40">
        <v>44932</v>
      </c>
      <c r="F25" s="10">
        <v>72</v>
      </c>
      <c r="G25" s="42">
        <v>5</v>
      </c>
      <c r="H25">
        <f>IF(MONTH(calls[[#This Row],[Date of Call]])&lt;=6,YEAR(calls[[#This Row],[Date of Call]]),YEAR(calls[[#This Row],[Date of Call]])+1)</f>
        <v>2023</v>
      </c>
      <c r="I25" t="str">
        <f>TEXT(calls[[#This Row],[Date of Call]],"DDDD")</f>
        <v>Friday</v>
      </c>
      <c r="J25" t="str" cm="1">
        <f t="array" ref="J25">_xlfn.IFS(calls[[#This Row],[Duration]]&lt;=10,"UNDER 10 MINS",calls[[#This Row],[Duration]]&lt;=30,"10 TO 30 MINS",calls[[#This Row],[Duration]]&lt;=60,"30 TO 60 MINS",calls[[#This Row],[Duration]]&lt;=120,"1 TO 2 HRS",TRUE,"MORE THAN 2 HRS")</f>
        <v>MORE THAN 2 HRS</v>
      </c>
      <c r="K25">
        <f>ROUND(calls[[#This Row],[Satisfaction Rating]],0)</f>
        <v>5</v>
      </c>
    </row>
    <row r="26" spans="1:16" x14ac:dyDescent="0.3">
      <c r="A26" s="41" t="s">
        <v>1073</v>
      </c>
      <c r="B26" s="10" t="s">
        <v>1040</v>
      </c>
      <c r="C26" s="10">
        <v>38</v>
      </c>
      <c r="D26" s="39" t="s">
        <v>1053</v>
      </c>
      <c r="E26" s="40">
        <v>44933</v>
      </c>
      <c r="F26" s="10">
        <v>92</v>
      </c>
      <c r="G26" s="42">
        <v>4.9000000000000004</v>
      </c>
      <c r="H26">
        <f>IF(MONTH(calls[[#This Row],[Date of Call]])&lt;=6,YEAR(calls[[#This Row],[Date of Call]]),YEAR(calls[[#This Row],[Date of Call]])+1)</f>
        <v>2023</v>
      </c>
      <c r="I26" t="str">
        <f>TEXT(calls[[#This Row],[Date of Call]],"DDDD")</f>
        <v>Saturday</v>
      </c>
      <c r="J26" t="str" cm="1">
        <f t="array" ref="J26">_xlfn.IFS(calls[[#This Row],[Duration]]&lt;=10,"UNDER 10 MINS",calls[[#This Row],[Duration]]&lt;=30,"10 TO 30 MINS",calls[[#This Row],[Duration]]&lt;=60,"30 TO 60 MINS",calls[[#This Row],[Duration]]&lt;=120,"1 TO 2 HRS",TRUE,"MORE THAN 2 HRS")</f>
        <v>30 TO 60 MINS</v>
      </c>
      <c r="K26">
        <f>ROUND(calls[[#This Row],[Satisfaction Rating]],0)</f>
        <v>5</v>
      </c>
    </row>
    <row r="27" spans="1:16" x14ac:dyDescent="0.3">
      <c r="A27" s="41" t="s">
        <v>1074</v>
      </c>
      <c r="B27" s="10" t="s">
        <v>1037</v>
      </c>
      <c r="C27" s="10">
        <v>67</v>
      </c>
      <c r="D27" s="39" t="s">
        <v>1053</v>
      </c>
      <c r="E27" s="40">
        <v>44934</v>
      </c>
      <c r="F27" s="10">
        <v>165</v>
      </c>
      <c r="G27" s="42">
        <v>4.5</v>
      </c>
      <c r="H27">
        <f>IF(MONTH(calls[[#This Row],[Date of Call]])&lt;=6,YEAR(calls[[#This Row],[Date of Call]]),YEAR(calls[[#This Row],[Date of Call]])+1)</f>
        <v>2023</v>
      </c>
      <c r="I27" t="str">
        <f>TEXT(calls[[#This Row],[Date of Call]],"DDDD")</f>
        <v>Sunday</v>
      </c>
      <c r="J27" t="str" cm="1">
        <f t="array" ref="J27">_xlfn.IFS(calls[[#This Row],[Duration]]&lt;=10,"UNDER 10 MINS",calls[[#This Row],[Duration]]&lt;=30,"10 TO 30 MINS",calls[[#This Row],[Duration]]&lt;=60,"30 TO 60 MINS",calls[[#This Row],[Duration]]&lt;=120,"1 TO 2 HRS",TRUE,"MORE THAN 2 HRS")</f>
        <v>1 TO 2 HRS</v>
      </c>
      <c r="K27">
        <f>ROUND(calls[[#This Row],[Satisfaction Rating]],0)</f>
        <v>5</v>
      </c>
    </row>
    <row r="28" spans="1:16" x14ac:dyDescent="0.3">
      <c r="A28" s="41" t="s">
        <v>1075</v>
      </c>
      <c r="B28" s="10" t="s">
        <v>1076</v>
      </c>
      <c r="C28" s="10">
        <v>58</v>
      </c>
      <c r="D28" s="39" t="s">
        <v>1043</v>
      </c>
      <c r="E28" s="40">
        <v>44934</v>
      </c>
      <c r="F28" s="10">
        <v>140</v>
      </c>
      <c r="G28" s="42">
        <v>2.1</v>
      </c>
      <c r="H28">
        <f>IF(MONTH(calls[[#This Row],[Date of Call]])&lt;=6,YEAR(calls[[#This Row],[Date of Call]]),YEAR(calls[[#This Row],[Date of Call]])+1)</f>
        <v>2023</v>
      </c>
      <c r="I28" t="str">
        <f>TEXT(calls[[#This Row],[Date of Call]],"DDDD")</f>
        <v>Sunday</v>
      </c>
      <c r="J28" t="str" cm="1">
        <f t="array" ref="J28">_xlfn.IFS(calls[[#This Row],[Duration]]&lt;=10,"UNDER 10 MINS",calls[[#This Row],[Duration]]&lt;=30,"10 TO 30 MINS",calls[[#This Row],[Duration]]&lt;=60,"30 TO 60 MINS",calls[[#This Row],[Duration]]&lt;=120,"1 TO 2 HRS",TRUE,"MORE THAN 2 HRS")</f>
        <v>30 TO 60 MINS</v>
      </c>
      <c r="K28">
        <f>ROUND(calls[[#This Row],[Satisfaction Rating]],0)</f>
        <v>2</v>
      </c>
    </row>
    <row r="29" spans="1:16" x14ac:dyDescent="0.3">
      <c r="A29" s="41" t="s">
        <v>1077</v>
      </c>
      <c r="B29" s="10" t="s">
        <v>1056</v>
      </c>
      <c r="C29" s="10">
        <v>54</v>
      </c>
      <c r="D29" s="39" t="s">
        <v>1048</v>
      </c>
      <c r="E29" s="40">
        <v>44934</v>
      </c>
      <c r="F29" s="10">
        <v>111</v>
      </c>
      <c r="G29" s="42">
        <v>3.3</v>
      </c>
      <c r="H29">
        <f>IF(MONTH(calls[[#This Row],[Date of Call]])&lt;=6,YEAR(calls[[#This Row],[Date of Call]]),YEAR(calls[[#This Row],[Date of Call]])+1)</f>
        <v>2023</v>
      </c>
      <c r="I29" t="str">
        <f>TEXT(calls[[#This Row],[Date of Call]],"DDDD")</f>
        <v>Sunday</v>
      </c>
      <c r="J29" t="str" cm="1">
        <f t="array" ref="J29">_xlfn.IFS(calls[[#This Row],[Duration]]&lt;=10,"UNDER 10 MINS",calls[[#This Row],[Duration]]&lt;=30,"10 TO 30 MINS",calls[[#This Row],[Duration]]&lt;=60,"30 TO 60 MINS",calls[[#This Row],[Duration]]&lt;=120,"1 TO 2 HRS",TRUE,"MORE THAN 2 HRS")</f>
        <v>30 TO 60 MINS</v>
      </c>
      <c r="K29">
        <f>ROUND(calls[[#This Row],[Satisfaction Rating]],0)</f>
        <v>3</v>
      </c>
    </row>
    <row r="30" spans="1:16" x14ac:dyDescent="0.3">
      <c r="A30" s="41" t="s">
        <v>1078</v>
      </c>
      <c r="B30" s="10" t="s">
        <v>1079</v>
      </c>
      <c r="C30" s="10">
        <v>28</v>
      </c>
      <c r="D30" s="39" t="s">
        <v>1038</v>
      </c>
      <c r="E30" s="40">
        <v>44935</v>
      </c>
      <c r="F30" s="10">
        <v>63</v>
      </c>
      <c r="G30" s="42">
        <v>4.0999999999999996</v>
      </c>
      <c r="H30">
        <f>IF(MONTH(calls[[#This Row],[Date of Call]])&lt;=6,YEAR(calls[[#This Row],[Date of Call]]),YEAR(calls[[#This Row],[Date of Call]])+1)</f>
        <v>2023</v>
      </c>
      <c r="I30" t="str">
        <f>TEXT(calls[[#This Row],[Date of Call]],"DDDD")</f>
        <v>Monday</v>
      </c>
      <c r="J30" t="str" cm="1">
        <f t="array" ref="J30">_xlfn.IFS(calls[[#This Row],[Duration]]&lt;=10,"UNDER 10 MINS",calls[[#This Row],[Duration]]&lt;=30,"10 TO 30 MINS",calls[[#This Row],[Duration]]&lt;=60,"30 TO 60 MINS",calls[[#This Row],[Duration]]&lt;=120,"1 TO 2 HRS",TRUE,"MORE THAN 2 HRS")</f>
        <v>10 TO 30 MINS</v>
      </c>
      <c r="K30">
        <f>ROUND(calls[[#This Row],[Satisfaction Rating]],0)</f>
        <v>4</v>
      </c>
    </row>
    <row r="31" spans="1:16" x14ac:dyDescent="0.3">
      <c r="A31" s="41" t="s">
        <v>1080</v>
      </c>
      <c r="B31" s="10" t="s">
        <v>1062</v>
      </c>
      <c r="C31" s="10">
        <v>73</v>
      </c>
      <c r="D31" s="39" t="s">
        <v>1038</v>
      </c>
      <c r="E31" s="40">
        <v>44935</v>
      </c>
      <c r="F31" s="10">
        <v>80</v>
      </c>
      <c r="G31" s="42">
        <v>4.2</v>
      </c>
      <c r="H31">
        <f>IF(MONTH(calls[[#This Row],[Date of Call]])&lt;=6,YEAR(calls[[#This Row],[Date of Call]]),YEAR(calls[[#This Row],[Date of Call]])+1)</f>
        <v>2023</v>
      </c>
      <c r="I31" t="str">
        <f>TEXT(calls[[#This Row],[Date of Call]],"DDDD")</f>
        <v>Monday</v>
      </c>
      <c r="J31" t="str" cm="1">
        <f t="array" ref="J31">_xlfn.IFS(calls[[#This Row],[Duration]]&lt;=10,"UNDER 10 MINS",calls[[#This Row],[Duration]]&lt;=30,"10 TO 30 MINS",calls[[#This Row],[Duration]]&lt;=60,"30 TO 60 MINS",calls[[#This Row],[Duration]]&lt;=120,"1 TO 2 HRS",TRUE,"MORE THAN 2 HRS")</f>
        <v>1 TO 2 HRS</v>
      </c>
      <c r="K31">
        <f>ROUND(calls[[#This Row],[Satisfaction Rating]],0)</f>
        <v>4</v>
      </c>
    </row>
    <row r="32" spans="1:16" x14ac:dyDescent="0.3">
      <c r="A32" s="41" t="s">
        <v>1081</v>
      </c>
      <c r="B32" s="10" t="s">
        <v>1047</v>
      </c>
      <c r="C32" s="10">
        <v>81</v>
      </c>
      <c r="D32" s="39" t="s">
        <v>1038</v>
      </c>
      <c r="E32" s="40">
        <v>44936</v>
      </c>
      <c r="F32" s="10">
        <v>50</v>
      </c>
      <c r="G32" s="42">
        <v>4.5999999999999996</v>
      </c>
      <c r="H32">
        <f>IF(MONTH(calls[[#This Row],[Date of Call]])&lt;=6,YEAR(calls[[#This Row],[Date of Call]]),YEAR(calls[[#This Row],[Date of Call]])+1)</f>
        <v>2023</v>
      </c>
      <c r="I32" t="str">
        <f>TEXT(calls[[#This Row],[Date of Call]],"DDDD")</f>
        <v>Tuesday</v>
      </c>
      <c r="J32" t="str" cm="1">
        <f t="array" ref="J32">_xlfn.IFS(calls[[#This Row],[Duration]]&lt;=10,"UNDER 10 MINS",calls[[#This Row],[Duration]]&lt;=30,"10 TO 30 MINS",calls[[#This Row],[Duration]]&lt;=60,"30 TO 60 MINS",calls[[#This Row],[Duration]]&lt;=120,"1 TO 2 HRS",TRUE,"MORE THAN 2 HRS")</f>
        <v>1 TO 2 HRS</v>
      </c>
      <c r="K32">
        <f>ROUND(calls[[#This Row],[Satisfaction Rating]],0)</f>
        <v>5</v>
      </c>
    </row>
    <row r="33" spans="1:11" x14ac:dyDescent="0.3">
      <c r="A33" s="41" t="s">
        <v>1082</v>
      </c>
      <c r="B33" s="10" t="s">
        <v>1068</v>
      </c>
      <c r="C33" s="10">
        <v>31</v>
      </c>
      <c r="D33" s="39" t="s">
        <v>1053</v>
      </c>
      <c r="E33" s="40">
        <v>44936</v>
      </c>
      <c r="F33" s="10">
        <v>123</v>
      </c>
      <c r="G33" s="42">
        <v>2.9</v>
      </c>
      <c r="H33">
        <f>IF(MONTH(calls[[#This Row],[Date of Call]])&lt;=6,YEAR(calls[[#This Row],[Date of Call]]),YEAR(calls[[#This Row],[Date of Call]])+1)</f>
        <v>2023</v>
      </c>
      <c r="I33" t="str">
        <f>TEXT(calls[[#This Row],[Date of Call]],"DDDD")</f>
        <v>Tuesday</v>
      </c>
      <c r="J33" t="str" cm="1">
        <f t="array" ref="J33">_xlfn.IFS(calls[[#This Row],[Duration]]&lt;=10,"UNDER 10 MINS",calls[[#This Row],[Duration]]&lt;=30,"10 TO 30 MINS",calls[[#This Row],[Duration]]&lt;=60,"30 TO 60 MINS",calls[[#This Row],[Duration]]&lt;=120,"1 TO 2 HRS",TRUE,"MORE THAN 2 HRS")</f>
        <v>30 TO 60 MINS</v>
      </c>
      <c r="K33">
        <f>ROUND(calls[[#This Row],[Satisfaction Rating]],0)</f>
        <v>3</v>
      </c>
    </row>
    <row r="34" spans="1:11" x14ac:dyDescent="0.3">
      <c r="A34" s="41" t="s">
        <v>1083</v>
      </c>
      <c r="B34" s="10" t="s">
        <v>1076</v>
      </c>
      <c r="C34" s="10">
        <v>155</v>
      </c>
      <c r="D34" s="39" t="s">
        <v>1048</v>
      </c>
      <c r="E34" s="40">
        <v>44936</v>
      </c>
      <c r="F34" s="10">
        <v>110</v>
      </c>
      <c r="G34" s="42">
        <v>4.8</v>
      </c>
      <c r="H34">
        <f>IF(MONTH(calls[[#This Row],[Date of Call]])&lt;=6,YEAR(calls[[#This Row],[Date of Call]]),YEAR(calls[[#This Row],[Date of Call]])+1)</f>
        <v>2023</v>
      </c>
      <c r="I34" t="str">
        <f>TEXT(calls[[#This Row],[Date of Call]],"DDDD")</f>
        <v>Tuesday</v>
      </c>
      <c r="J34" t="str" cm="1">
        <f t="array" ref="J34">_xlfn.IFS(calls[[#This Row],[Duration]]&lt;=10,"UNDER 10 MINS",calls[[#This Row],[Duration]]&lt;=30,"10 TO 30 MINS",calls[[#This Row],[Duration]]&lt;=60,"30 TO 60 MINS",calls[[#This Row],[Duration]]&lt;=120,"1 TO 2 HRS",TRUE,"MORE THAN 2 HRS")</f>
        <v>MORE THAN 2 HRS</v>
      </c>
      <c r="K34">
        <f>ROUND(calls[[#This Row],[Satisfaction Rating]],0)</f>
        <v>5</v>
      </c>
    </row>
    <row r="35" spans="1:11" x14ac:dyDescent="0.3">
      <c r="A35" s="41" t="s">
        <v>1084</v>
      </c>
      <c r="B35" s="10" t="s">
        <v>1068</v>
      </c>
      <c r="C35" s="10">
        <v>80</v>
      </c>
      <c r="D35" s="39" t="s">
        <v>1038</v>
      </c>
      <c r="E35" s="40">
        <v>44936</v>
      </c>
      <c r="F35" s="10">
        <v>140</v>
      </c>
      <c r="G35" s="42">
        <v>4.2</v>
      </c>
      <c r="H35">
        <f>IF(MONTH(calls[[#This Row],[Date of Call]])&lt;=6,YEAR(calls[[#This Row],[Date of Call]]),YEAR(calls[[#This Row],[Date of Call]])+1)</f>
        <v>2023</v>
      </c>
      <c r="I35" t="str">
        <f>TEXT(calls[[#This Row],[Date of Call]],"DDDD")</f>
        <v>Tuesday</v>
      </c>
      <c r="J35" t="str" cm="1">
        <f t="array" ref="J35">_xlfn.IFS(calls[[#This Row],[Duration]]&lt;=10,"UNDER 10 MINS",calls[[#This Row],[Duration]]&lt;=30,"10 TO 30 MINS",calls[[#This Row],[Duration]]&lt;=60,"30 TO 60 MINS",calls[[#This Row],[Duration]]&lt;=120,"1 TO 2 HRS",TRUE,"MORE THAN 2 HRS")</f>
        <v>1 TO 2 HRS</v>
      </c>
      <c r="K35">
        <f>ROUND(calls[[#This Row],[Satisfaction Rating]],0)</f>
        <v>4</v>
      </c>
    </row>
    <row r="36" spans="1:11" x14ac:dyDescent="0.3">
      <c r="A36" s="41" t="s">
        <v>1085</v>
      </c>
      <c r="B36" s="10" t="s">
        <v>1047</v>
      </c>
      <c r="C36" s="10">
        <v>82</v>
      </c>
      <c r="D36" s="39" t="s">
        <v>1038</v>
      </c>
      <c r="E36" s="40">
        <v>44938</v>
      </c>
      <c r="F36" s="10">
        <v>42</v>
      </c>
      <c r="G36" s="42">
        <v>3.7</v>
      </c>
      <c r="H36">
        <f>IF(MONTH(calls[[#This Row],[Date of Call]])&lt;=6,YEAR(calls[[#This Row],[Date of Call]]),YEAR(calls[[#This Row],[Date of Call]])+1)</f>
        <v>2023</v>
      </c>
      <c r="I36" t="str">
        <f>TEXT(calls[[#This Row],[Date of Call]],"DDDD")</f>
        <v>Thursday</v>
      </c>
      <c r="J36" t="str" cm="1">
        <f t="array" ref="J36">_xlfn.IFS(calls[[#This Row],[Duration]]&lt;=10,"UNDER 10 MINS",calls[[#This Row],[Duration]]&lt;=30,"10 TO 30 MINS",calls[[#This Row],[Duration]]&lt;=60,"30 TO 60 MINS",calls[[#This Row],[Duration]]&lt;=120,"1 TO 2 HRS",TRUE,"MORE THAN 2 HRS")</f>
        <v>1 TO 2 HRS</v>
      </c>
      <c r="K36">
        <f>ROUND(calls[[#This Row],[Satisfaction Rating]],0)</f>
        <v>4</v>
      </c>
    </row>
    <row r="37" spans="1:11" x14ac:dyDescent="0.3">
      <c r="A37" s="41" t="s">
        <v>1086</v>
      </c>
      <c r="B37" s="10" t="s">
        <v>1047</v>
      </c>
      <c r="C37" s="10">
        <v>29</v>
      </c>
      <c r="D37" s="39" t="s">
        <v>1048</v>
      </c>
      <c r="E37" s="40">
        <v>44938</v>
      </c>
      <c r="F37" s="10">
        <v>170</v>
      </c>
      <c r="G37" s="42">
        <v>5</v>
      </c>
      <c r="H37">
        <f>IF(MONTH(calls[[#This Row],[Date of Call]])&lt;=6,YEAR(calls[[#This Row],[Date of Call]]),YEAR(calls[[#This Row],[Date of Call]])+1)</f>
        <v>2023</v>
      </c>
      <c r="I37" t="str">
        <f>TEXT(calls[[#This Row],[Date of Call]],"DDDD")</f>
        <v>Thursday</v>
      </c>
      <c r="J37" t="str" cm="1">
        <f t="array" ref="J37">_xlfn.IFS(calls[[#This Row],[Duration]]&lt;=10,"UNDER 10 MINS",calls[[#This Row],[Duration]]&lt;=30,"10 TO 30 MINS",calls[[#This Row],[Duration]]&lt;=60,"30 TO 60 MINS",calls[[#This Row],[Duration]]&lt;=120,"1 TO 2 HRS",TRUE,"MORE THAN 2 HRS")</f>
        <v>10 TO 30 MINS</v>
      </c>
      <c r="K37">
        <f>ROUND(calls[[#This Row],[Satisfaction Rating]],0)</f>
        <v>5</v>
      </c>
    </row>
    <row r="38" spans="1:11" x14ac:dyDescent="0.3">
      <c r="A38" s="41" t="s">
        <v>1087</v>
      </c>
      <c r="B38" s="10" t="s">
        <v>1071</v>
      </c>
      <c r="C38" s="10">
        <v>160</v>
      </c>
      <c r="D38" s="39" t="s">
        <v>1043</v>
      </c>
      <c r="E38" s="40">
        <v>44940</v>
      </c>
      <c r="F38" s="10">
        <v>105</v>
      </c>
      <c r="G38" s="42">
        <v>5</v>
      </c>
      <c r="H38">
        <f>IF(MONTH(calls[[#This Row],[Date of Call]])&lt;=6,YEAR(calls[[#This Row],[Date of Call]]),YEAR(calls[[#This Row],[Date of Call]])+1)</f>
        <v>2023</v>
      </c>
      <c r="I38" t="str">
        <f>TEXT(calls[[#This Row],[Date of Call]],"DDDD")</f>
        <v>Saturday</v>
      </c>
      <c r="J38" t="str" cm="1">
        <f t="array" ref="J38">_xlfn.IFS(calls[[#This Row],[Duration]]&lt;=10,"UNDER 10 MINS",calls[[#This Row],[Duration]]&lt;=30,"10 TO 30 MINS",calls[[#This Row],[Duration]]&lt;=60,"30 TO 60 MINS",calls[[#This Row],[Duration]]&lt;=120,"1 TO 2 HRS",TRUE,"MORE THAN 2 HRS")</f>
        <v>MORE THAN 2 HRS</v>
      </c>
      <c r="K38">
        <f>ROUND(calls[[#This Row],[Satisfaction Rating]],0)</f>
        <v>5</v>
      </c>
    </row>
    <row r="39" spans="1:11" x14ac:dyDescent="0.3">
      <c r="A39" s="41" t="s">
        <v>1088</v>
      </c>
      <c r="B39" s="10" t="s">
        <v>1089</v>
      </c>
      <c r="C39" s="10">
        <v>105</v>
      </c>
      <c r="D39" s="39" t="s">
        <v>1038</v>
      </c>
      <c r="E39" s="40">
        <v>44941</v>
      </c>
      <c r="F39" s="10">
        <v>125</v>
      </c>
      <c r="G39" s="42">
        <v>4.8</v>
      </c>
      <c r="H39">
        <f>IF(MONTH(calls[[#This Row],[Date of Call]])&lt;=6,YEAR(calls[[#This Row],[Date of Call]]),YEAR(calls[[#This Row],[Date of Call]])+1)</f>
        <v>2023</v>
      </c>
      <c r="I39" t="str">
        <f>TEXT(calls[[#This Row],[Date of Call]],"DDDD")</f>
        <v>Sunday</v>
      </c>
      <c r="J39" t="str" cm="1">
        <f t="array" ref="J39">_xlfn.IFS(calls[[#This Row],[Duration]]&lt;=10,"UNDER 10 MINS",calls[[#This Row],[Duration]]&lt;=30,"10 TO 30 MINS",calls[[#This Row],[Duration]]&lt;=60,"30 TO 60 MINS",calls[[#This Row],[Duration]]&lt;=120,"1 TO 2 HRS",TRUE,"MORE THAN 2 HRS")</f>
        <v>1 TO 2 HRS</v>
      </c>
      <c r="K39">
        <f>ROUND(calls[[#This Row],[Satisfaction Rating]],0)</f>
        <v>5</v>
      </c>
    </row>
    <row r="40" spans="1:11" x14ac:dyDescent="0.3">
      <c r="A40" s="41" t="s">
        <v>1090</v>
      </c>
      <c r="B40" s="10" t="s">
        <v>1068</v>
      </c>
      <c r="C40" s="10">
        <v>75</v>
      </c>
      <c r="D40" s="39" t="s">
        <v>1057</v>
      </c>
      <c r="E40" s="40">
        <v>44941</v>
      </c>
      <c r="F40" s="10">
        <v>26</v>
      </c>
      <c r="G40" s="42">
        <v>2.4</v>
      </c>
      <c r="H40">
        <f>IF(MONTH(calls[[#This Row],[Date of Call]])&lt;=6,YEAR(calls[[#This Row],[Date of Call]]),YEAR(calls[[#This Row],[Date of Call]])+1)</f>
        <v>2023</v>
      </c>
      <c r="I40" t="str">
        <f>TEXT(calls[[#This Row],[Date of Call]],"DDDD")</f>
        <v>Sunday</v>
      </c>
      <c r="J40" t="str" cm="1">
        <f t="array" ref="J40">_xlfn.IFS(calls[[#This Row],[Duration]]&lt;=10,"UNDER 10 MINS",calls[[#This Row],[Duration]]&lt;=30,"10 TO 30 MINS",calls[[#This Row],[Duration]]&lt;=60,"30 TO 60 MINS",calls[[#This Row],[Duration]]&lt;=120,"1 TO 2 HRS",TRUE,"MORE THAN 2 HRS")</f>
        <v>1 TO 2 HRS</v>
      </c>
      <c r="K40">
        <f>ROUND(calls[[#This Row],[Satisfaction Rating]],0)</f>
        <v>2</v>
      </c>
    </row>
    <row r="41" spans="1:11" x14ac:dyDescent="0.3">
      <c r="A41" s="41" t="s">
        <v>1091</v>
      </c>
      <c r="B41" s="10" t="s">
        <v>1076</v>
      </c>
      <c r="C41" s="10">
        <v>94</v>
      </c>
      <c r="D41" s="39" t="s">
        <v>1057</v>
      </c>
      <c r="E41" s="40">
        <v>44942</v>
      </c>
      <c r="F41" s="10">
        <v>120</v>
      </c>
      <c r="G41" s="42">
        <v>3.1</v>
      </c>
      <c r="H41">
        <f>IF(MONTH(calls[[#This Row],[Date of Call]])&lt;=6,YEAR(calls[[#This Row],[Date of Call]]),YEAR(calls[[#This Row],[Date of Call]])+1)</f>
        <v>2023</v>
      </c>
      <c r="I41" t="str">
        <f>TEXT(calls[[#This Row],[Date of Call]],"DDDD")</f>
        <v>Monday</v>
      </c>
      <c r="J41" t="str" cm="1">
        <f t="array" ref="J41">_xlfn.IFS(calls[[#This Row],[Duration]]&lt;=10,"UNDER 10 MINS",calls[[#This Row],[Duration]]&lt;=30,"10 TO 30 MINS",calls[[#This Row],[Duration]]&lt;=60,"30 TO 60 MINS",calls[[#This Row],[Duration]]&lt;=120,"1 TO 2 HRS",TRUE,"MORE THAN 2 HRS")</f>
        <v>1 TO 2 HRS</v>
      </c>
      <c r="K41">
        <f>ROUND(calls[[#This Row],[Satisfaction Rating]],0)</f>
        <v>3</v>
      </c>
    </row>
    <row r="42" spans="1:11" x14ac:dyDescent="0.3">
      <c r="A42" s="41" t="s">
        <v>1092</v>
      </c>
      <c r="B42" s="10" t="s">
        <v>1040</v>
      </c>
      <c r="C42" s="10">
        <v>90</v>
      </c>
      <c r="D42" s="39" t="s">
        <v>1043</v>
      </c>
      <c r="E42" s="40">
        <v>44942</v>
      </c>
      <c r="F42" s="10">
        <v>132</v>
      </c>
      <c r="G42" s="42">
        <v>3.2</v>
      </c>
      <c r="H42">
        <f>IF(MONTH(calls[[#This Row],[Date of Call]])&lt;=6,YEAR(calls[[#This Row],[Date of Call]]),YEAR(calls[[#This Row],[Date of Call]])+1)</f>
        <v>2023</v>
      </c>
      <c r="I42" t="str">
        <f>TEXT(calls[[#This Row],[Date of Call]],"DDDD")</f>
        <v>Monday</v>
      </c>
      <c r="J42" t="str" cm="1">
        <f t="array" ref="J42">_xlfn.IFS(calls[[#This Row],[Duration]]&lt;=10,"UNDER 10 MINS",calls[[#This Row],[Duration]]&lt;=30,"10 TO 30 MINS",calls[[#This Row],[Duration]]&lt;=60,"30 TO 60 MINS",calls[[#This Row],[Duration]]&lt;=120,"1 TO 2 HRS",TRUE,"MORE THAN 2 HRS")</f>
        <v>1 TO 2 HRS</v>
      </c>
      <c r="K42">
        <f>ROUND(calls[[#This Row],[Satisfaction Rating]],0)</f>
        <v>3</v>
      </c>
    </row>
    <row r="43" spans="1:11" x14ac:dyDescent="0.3">
      <c r="A43" s="41" t="s">
        <v>1093</v>
      </c>
      <c r="B43" s="10" t="s">
        <v>1076</v>
      </c>
      <c r="C43" s="10">
        <v>81</v>
      </c>
      <c r="D43" s="39" t="s">
        <v>1053</v>
      </c>
      <c r="E43" s="40">
        <v>44943</v>
      </c>
      <c r="F43" s="10">
        <v>86</v>
      </c>
      <c r="G43" s="42">
        <v>2.4</v>
      </c>
      <c r="H43">
        <f>IF(MONTH(calls[[#This Row],[Date of Call]])&lt;=6,YEAR(calls[[#This Row],[Date of Call]]),YEAR(calls[[#This Row],[Date of Call]])+1)</f>
        <v>2023</v>
      </c>
      <c r="I43" t="str">
        <f>TEXT(calls[[#This Row],[Date of Call]],"DDDD")</f>
        <v>Tuesday</v>
      </c>
      <c r="J43" t="str" cm="1">
        <f t="array" ref="J43">_xlfn.IFS(calls[[#This Row],[Duration]]&lt;=10,"UNDER 10 MINS",calls[[#This Row],[Duration]]&lt;=30,"10 TO 30 MINS",calls[[#This Row],[Duration]]&lt;=60,"30 TO 60 MINS",calls[[#This Row],[Duration]]&lt;=120,"1 TO 2 HRS",TRUE,"MORE THAN 2 HRS")</f>
        <v>1 TO 2 HRS</v>
      </c>
      <c r="K43">
        <f>ROUND(calls[[#This Row],[Satisfaction Rating]],0)</f>
        <v>2</v>
      </c>
    </row>
    <row r="44" spans="1:11" x14ac:dyDescent="0.3">
      <c r="A44" s="41" t="s">
        <v>1094</v>
      </c>
      <c r="B44" s="10" t="s">
        <v>1068</v>
      </c>
      <c r="C44" s="10">
        <v>106</v>
      </c>
      <c r="D44" s="39" t="s">
        <v>1038</v>
      </c>
      <c r="E44" s="40">
        <v>44943</v>
      </c>
      <c r="F44" s="10">
        <v>108</v>
      </c>
      <c r="G44" s="42">
        <v>5</v>
      </c>
      <c r="H44">
        <f>IF(MONTH(calls[[#This Row],[Date of Call]])&lt;=6,YEAR(calls[[#This Row],[Date of Call]]),YEAR(calls[[#This Row],[Date of Call]])+1)</f>
        <v>2023</v>
      </c>
      <c r="I44" t="str">
        <f>TEXT(calls[[#This Row],[Date of Call]],"DDDD")</f>
        <v>Tuesday</v>
      </c>
      <c r="J44" t="str" cm="1">
        <f t="array" ref="J44">_xlfn.IFS(calls[[#This Row],[Duration]]&lt;=10,"UNDER 10 MINS",calls[[#This Row],[Duration]]&lt;=30,"10 TO 30 MINS",calls[[#This Row],[Duration]]&lt;=60,"30 TO 60 MINS",calls[[#This Row],[Duration]]&lt;=120,"1 TO 2 HRS",TRUE,"MORE THAN 2 HRS")</f>
        <v>1 TO 2 HRS</v>
      </c>
      <c r="K44">
        <f>ROUND(calls[[#This Row],[Satisfaction Rating]],0)</f>
        <v>5</v>
      </c>
    </row>
    <row r="45" spans="1:11" x14ac:dyDescent="0.3">
      <c r="A45" s="41" t="s">
        <v>1095</v>
      </c>
      <c r="B45" s="10" t="s">
        <v>1040</v>
      </c>
      <c r="C45" s="10">
        <v>74</v>
      </c>
      <c r="D45" s="39" t="s">
        <v>1053</v>
      </c>
      <c r="E45" s="40">
        <v>44943</v>
      </c>
      <c r="F45" s="10">
        <v>96</v>
      </c>
      <c r="G45" s="42">
        <v>4.7</v>
      </c>
      <c r="H45">
        <f>IF(MONTH(calls[[#This Row],[Date of Call]])&lt;=6,YEAR(calls[[#This Row],[Date of Call]]),YEAR(calls[[#This Row],[Date of Call]])+1)</f>
        <v>2023</v>
      </c>
      <c r="I45" t="str">
        <f>TEXT(calls[[#This Row],[Date of Call]],"DDDD")</f>
        <v>Tuesday</v>
      </c>
      <c r="J45" t="str" cm="1">
        <f t="array" ref="J45">_xlfn.IFS(calls[[#This Row],[Duration]]&lt;=10,"UNDER 10 MINS",calls[[#This Row],[Duration]]&lt;=30,"10 TO 30 MINS",calls[[#This Row],[Duration]]&lt;=60,"30 TO 60 MINS",calls[[#This Row],[Duration]]&lt;=120,"1 TO 2 HRS",TRUE,"MORE THAN 2 HRS")</f>
        <v>1 TO 2 HRS</v>
      </c>
      <c r="K45">
        <f>ROUND(calls[[#This Row],[Satisfaction Rating]],0)</f>
        <v>5</v>
      </c>
    </row>
    <row r="46" spans="1:11" x14ac:dyDescent="0.3">
      <c r="A46" s="41" t="s">
        <v>1096</v>
      </c>
      <c r="B46" s="10" t="s">
        <v>1056</v>
      </c>
      <c r="C46" s="10">
        <v>105</v>
      </c>
      <c r="D46" s="39" t="s">
        <v>1043</v>
      </c>
      <c r="E46" s="40">
        <v>44944</v>
      </c>
      <c r="F46" s="10">
        <v>80</v>
      </c>
      <c r="G46" s="42">
        <v>4.7</v>
      </c>
      <c r="H46">
        <f>IF(MONTH(calls[[#This Row],[Date of Call]])&lt;=6,YEAR(calls[[#This Row],[Date of Call]]),YEAR(calls[[#This Row],[Date of Call]])+1)</f>
        <v>2023</v>
      </c>
      <c r="I46" t="str">
        <f>TEXT(calls[[#This Row],[Date of Call]],"DDDD")</f>
        <v>Wednesday</v>
      </c>
      <c r="J46" t="str" cm="1">
        <f t="array" ref="J46">_xlfn.IFS(calls[[#This Row],[Duration]]&lt;=10,"UNDER 10 MINS",calls[[#This Row],[Duration]]&lt;=30,"10 TO 30 MINS",calls[[#This Row],[Duration]]&lt;=60,"30 TO 60 MINS",calls[[#This Row],[Duration]]&lt;=120,"1 TO 2 HRS",TRUE,"MORE THAN 2 HRS")</f>
        <v>1 TO 2 HRS</v>
      </c>
      <c r="K46">
        <f>ROUND(calls[[#This Row],[Satisfaction Rating]],0)</f>
        <v>5</v>
      </c>
    </row>
    <row r="47" spans="1:11" x14ac:dyDescent="0.3">
      <c r="A47" s="41" t="s">
        <v>1097</v>
      </c>
      <c r="B47" s="10" t="s">
        <v>1068</v>
      </c>
      <c r="C47" s="10">
        <v>89</v>
      </c>
      <c r="D47" s="39" t="s">
        <v>1038</v>
      </c>
      <c r="E47" s="40">
        <v>44944</v>
      </c>
      <c r="F47" s="10">
        <v>155</v>
      </c>
      <c r="G47" s="42">
        <v>4.0999999999999996</v>
      </c>
      <c r="H47">
        <f>IF(MONTH(calls[[#This Row],[Date of Call]])&lt;=6,YEAR(calls[[#This Row],[Date of Call]]),YEAR(calls[[#This Row],[Date of Call]])+1)</f>
        <v>2023</v>
      </c>
      <c r="I47" t="str">
        <f>TEXT(calls[[#This Row],[Date of Call]],"DDDD")</f>
        <v>Wednesday</v>
      </c>
      <c r="J47" t="str" cm="1">
        <f t="array" ref="J47">_xlfn.IFS(calls[[#This Row],[Duration]]&lt;=10,"UNDER 10 MINS",calls[[#This Row],[Duration]]&lt;=30,"10 TO 30 MINS",calls[[#This Row],[Duration]]&lt;=60,"30 TO 60 MINS",calls[[#This Row],[Duration]]&lt;=120,"1 TO 2 HRS",TRUE,"MORE THAN 2 HRS")</f>
        <v>1 TO 2 HRS</v>
      </c>
      <c r="K47">
        <f>ROUND(calls[[#This Row],[Satisfaction Rating]],0)</f>
        <v>4</v>
      </c>
    </row>
    <row r="48" spans="1:11" x14ac:dyDescent="0.3">
      <c r="A48" s="41" t="s">
        <v>1098</v>
      </c>
      <c r="B48" s="10" t="s">
        <v>1060</v>
      </c>
      <c r="C48" s="10">
        <v>132</v>
      </c>
      <c r="D48" s="39" t="s">
        <v>1057</v>
      </c>
      <c r="E48" s="40">
        <v>44944</v>
      </c>
      <c r="F48" s="10">
        <v>168</v>
      </c>
      <c r="G48" s="42">
        <v>4.0999999999999996</v>
      </c>
      <c r="H48">
        <f>IF(MONTH(calls[[#This Row],[Date of Call]])&lt;=6,YEAR(calls[[#This Row],[Date of Call]]),YEAR(calls[[#This Row],[Date of Call]])+1)</f>
        <v>2023</v>
      </c>
      <c r="I48" t="str">
        <f>TEXT(calls[[#This Row],[Date of Call]],"DDDD")</f>
        <v>Wednesday</v>
      </c>
      <c r="J48" t="str" cm="1">
        <f t="array" ref="J48">_xlfn.IFS(calls[[#This Row],[Duration]]&lt;=10,"UNDER 10 MINS",calls[[#This Row],[Duration]]&lt;=30,"10 TO 30 MINS",calls[[#This Row],[Duration]]&lt;=60,"30 TO 60 MINS",calls[[#This Row],[Duration]]&lt;=120,"1 TO 2 HRS",TRUE,"MORE THAN 2 HRS")</f>
        <v>MORE THAN 2 HRS</v>
      </c>
      <c r="K48">
        <f>ROUND(calls[[#This Row],[Satisfaction Rating]],0)</f>
        <v>4</v>
      </c>
    </row>
    <row r="49" spans="1:11" x14ac:dyDescent="0.3">
      <c r="A49" s="41" t="s">
        <v>1099</v>
      </c>
      <c r="B49" s="10" t="s">
        <v>1089</v>
      </c>
      <c r="C49" s="10">
        <v>105</v>
      </c>
      <c r="D49" s="39" t="s">
        <v>1048</v>
      </c>
      <c r="E49" s="40">
        <v>44944</v>
      </c>
      <c r="F49" s="10">
        <v>56</v>
      </c>
      <c r="G49" s="42">
        <v>3.6</v>
      </c>
      <c r="H49">
        <f>IF(MONTH(calls[[#This Row],[Date of Call]])&lt;=6,YEAR(calls[[#This Row],[Date of Call]]),YEAR(calls[[#This Row],[Date of Call]])+1)</f>
        <v>2023</v>
      </c>
      <c r="I49" t="str">
        <f>TEXT(calls[[#This Row],[Date of Call]],"DDDD")</f>
        <v>Wednesday</v>
      </c>
      <c r="J49" t="str" cm="1">
        <f t="array" ref="J49">_xlfn.IFS(calls[[#This Row],[Duration]]&lt;=10,"UNDER 10 MINS",calls[[#This Row],[Duration]]&lt;=30,"10 TO 30 MINS",calls[[#This Row],[Duration]]&lt;=60,"30 TO 60 MINS",calls[[#This Row],[Duration]]&lt;=120,"1 TO 2 HRS",TRUE,"MORE THAN 2 HRS")</f>
        <v>1 TO 2 HRS</v>
      </c>
      <c r="K49">
        <f>ROUND(calls[[#This Row],[Satisfaction Rating]],0)</f>
        <v>4</v>
      </c>
    </row>
    <row r="50" spans="1:11" x14ac:dyDescent="0.3">
      <c r="A50" s="41" t="s">
        <v>1100</v>
      </c>
      <c r="B50" s="10" t="s">
        <v>1047</v>
      </c>
      <c r="C50" s="10">
        <v>13</v>
      </c>
      <c r="D50" s="39" t="s">
        <v>1057</v>
      </c>
      <c r="E50" s="40">
        <v>44945</v>
      </c>
      <c r="F50" s="10">
        <v>32</v>
      </c>
      <c r="G50" s="42">
        <v>4.4000000000000004</v>
      </c>
      <c r="H50">
        <f>IF(MONTH(calls[[#This Row],[Date of Call]])&lt;=6,YEAR(calls[[#This Row],[Date of Call]]),YEAR(calls[[#This Row],[Date of Call]])+1)</f>
        <v>2023</v>
      </c>
      <c r="I50" t="str">
        <f>TEXT(calls[[#This Row],[Date of Call]],"DDDD")</f>
        <v>Thursday</v>
      </c>
      <c r="J50" t="str" cm="1">
        <f t="array" ref="J50">_xlfn.IFS(calls[[#This Row],[Duration]]&lt;=10,"UNDER 10 MINS",calls[[#This Row],[Duration]]&lt;=30,"10 TO 30 MINS",calls[[#This Row],[Duration]]&lt;=60,"30 TO 60 MINS",calls[[#This Row],[Duration]]&lt;=120,"1 TO 2 HRS",TRUE,"MORE THAN 2 HRS")</f>
        <v>10 TO 30 MINS</v>
      </c>
      <c r="K50">
        <f>ROUND(calls[[#This Row],[Satisfaction Rating]],0)</f>
        <v>4</v>
      </c>
    </row>
    <row r="51" spans="1:11" x14ac:dyDescent="0.3">
      <c r="A51" s="41" t="s">
        <v>1101</v>
      </c>
      <c r="B51" s="10" t="s">
        <v>1045</v>
      </c>
      <c r="C51" s="10">
        <v>131</v>
      </c>
      <c r="D51" s="39" t="s">
        <v>1048</v>
      </c>
      <c r="E51" s="40">
        <v>44945</v>
      </c>
      <c r="F51" s="10">
        <v>78</v>
      </c>
      <c r="G51" s="42">
        <v>4.4000000000000004</v>
      </c>
      <c r="H51">
        <f>IF(MONTH(calls[[#This Row],[Date of Call]])&lt;=6,YEAR(calls[[#This Row],[Date of Call]]),YEAR(calls[[#This Row],[Date of Call]])+1)</f>
        <v>2023</v>
      </c>
      <c r="I51" t="str">
        <f>TEXT(calls[[#This Row],[Date of Call]],"DDDD")</f>
        <v>Thursday</v>
      </c>
      <c r="J51" t="str" cm="1">
        <f t="array" ref="J51">_xlfn.IFS(calls[[#This Row],[Duration]]&lt;=10,"UNDER 10 MINS",calls[[#This Row],[Duration]]&lt;=30,"10 TO 30 MINS",calls[[#This Row],[Duration]]&lt;=60,"30 TO 60 MINS",calls[[#This Row],[Duration]]&lt;=120,"1 TO 2 HRS",TRUE,"MORE THAN 2 HRS")</f>
        <v>MORE THAN 2 HRS</v>
      </c>
      <c r="K51">
        <f>ROUND(calls[[#This Row],[Satisfaction Rating]],0)</f>
        <v>4</v>
      </c>
    </row>
    <row r="52" spans="1:11" x14ac:dyDescent="0.3">
      <c r="A52" s="41" t="s">
        <v>1102</v>
      </c>
      <c r="B52" s="10" t="s">
        <v>1040</v>
      </c>
      <c r="C52" s="10">
        <v>104</v>
      </c>
      <c r="D52" s="39" t="s">
        <v>1038</v>
      </c>
      <c r="E52" s="40">
        <v>44945</v>
      </c>
      <c r="F52" s="10">
        <v>86</v>
      </c>
      <c r="G52" s="42">
        <v>4</v>
      </c>
      <c r="H52">
        <f>IF(MONTH(calls[[#This Row],[Date of Call]])&lt;=6,YEAR(calls[[#This Row],[Date of Call]]),YEAR(calls[[#This Row],[Date of Call]])+1)</f>
        <v>2023</v>
      </c>
      <c r="I52" t="str">
        <f>TEXT(calls[[#This Row],[Date of Call]],"DDDD")</f>
        <v>Thursday</v>
      </c>
      <c r="J52" t="str" cm="1">
        <f t="array" ref="J52">_xlfn.IFS(calls[[#This Row],[Duration]]&lt;=10,"UNDER 10 MINS",calls[[#This Row],[Duration]]&lt;=30,"10 TO 30 MINS",calls[[#This Row],[Duration]]&lt;=60,"30 TO 60 MINS",calls[[#This Row],[Duration]]&lt;=120,"1 TO 2 HRS",TRUE,"MORE THAN 2 HRS")</f>
        <v>1 TO 2 HRS</v>
      </c>
      <c r="K52">
        <f>ROUND(calls[[#This Row],[Satisfaction Rating]],0)</f>
        <v>4</v>
      </c>
    </row>
    <row r="53" spans="1:11" x14ac:dyDescent="0.3">
      <c r="A53" s="41" t="s">
        <v>1103</v>
      </c>
      <c r="B53" s="10" t="s">
        <v>1037</v>
      </c>
      <c r="C53" s="10">
        <v>90</v>
      </c>
      <c r="D53" s="39" t="s">
        <v>1043</v>
      </c>
      <c r="E53" s="40">
        <v>44946</v>
      </c>
      <c r="F53" s="10">
        <v>64</v>
      </c>
      <c r="G53" s="42">
        <v>3.8</v>
      </c>
      <c r="H53">
        <f>IF(MONTH(calls[[#This Row],[Date of Call]])&lt;=6,YEAR(calls[[#This Row],[Date of Call]]),YEAR(calls[[#This Row],[Date of Call]])+1)</f>
        <v>2023</v>
      </c>
      <c r="I53" t="str">
        <f>TEXT(calls[[#This Row],[Date of Call]],"DDDD")</f>
        <v>Friday</v>
      </c>
      <c r="J53" t="str" cm="1">
        <f t="array" ref="J53">_xlfn.IFS(calls[[#This Row],[Duration]]&lt;=10,"UNDER 10 MINS",calls[[#This Row],[Duration]]&lt;=30,"10 TO 30 MINS",calls[[#This Row],[Duration]]&lt;=60,"30 TO 60 MINS",calls[[#This Row],[Duration]]&lt;=120,"1 TO 2 HRS",TRUE,"MORE THAN 2 HRS")</f>
        <v>1 TO 2 HRS</v>
      </c>
      <c r="K53">
        <f>ROUND(calls[[#This Row],[Satisfaction Rating]],0)</f>
        <v>4</v>
      </c>
    </row>
    <row r="54" spans="1:11" x14ac:dyDescent="0.3">
      <c r="A54" s="41" t="s">
        <v>1104</v>
      </c>
      <c r="B54" s="10" t="s">
        <v>1079</v>
      </c>
      <c r="C54" s="10">
        <v>37</v>
      </c>
      <c r="D54" s="39" t="s">
        <v>1043</v>
      </c>
      <c r="E54" s="40">
        <v>44946</v>
      </c>
      <c r="F54" s="10">
        <v>96</v>
      </c>
      <c r="G54" s="42">
        <v>3.6</v>
      </c>
      <c r="H54">
        <f>IF(MONTH(calls[[#This Row],[Date of Call]])&lt;=6,YEAR(calls[[#This Row],[Date of Call]]),YEAR(calls[[#This Row],[Date of Call]])+1)</f>
        <v>2023</v>
      </c>
      <c r="I54" t="str">
        <f>TEXT(calls[[#This Row],[Date of Call]],"DDDD")</f>
        <v>Friday</v>
      </c>
      <c r="J54" t="str" cm="1">
        <f t="array" ref="J54">_xlfn.IFS(calls[[#This Row],[Duration]]&lt;=10,"UNDER 10 MINS",calls[[#This Row],[Duration]]&lt;=30,"10 TO 30 MINS",calls[[#This Row],[Duration]]&lt;=60,"30 TO 60 MINS",calls[[#This Row],[Duration]]&lt;=120,"1 TO 2 HRS",TRUE,"MORE THAN 2 HRS")</f>
        <v>30 TO 60 MINS</v>
      </c>
      <c r="K54">
        <f>ROUND(calls[[#This Row],[Satisfaction Rating]],0)</f>
        <v>4</v>
      </c>
    </row>
    <row r="55" spans="1:11" x14ac:dyDescent="0.3">
      <c r="A55" s="41" t="s">
        <v>1105</v>
      </c>
      <c r="B55" s="10" t="s">
        <v>1062</v>
      </c>
      <c r="C55" s="10">
        <v>149</v>
      </c>
      <c r="D55" s="39" t="s">
        <v>1048</v>
      </c>
      <c r="E55" s="40">
        <v>44946</v>
      </c>
      <c r="F55" s="10">
        <v>72</v>
      </c>
      <c r="G55" s="42">
        <v>4.3</v>
      </c>
      <c r="H55">
        <f>IF(MONTH(calls[[#This Row],[Date of Call]])&lt;=6,YEAR(calls[[#This Row],[Date of Call]]),YEAR(calls[[#This Row],[Date of Call]])+1)</f>
        <v>2023</v>
      </c>
      <c r="I55" t="str">
        <f>TEXT(calls[[#This Row],[Date of Call]],"DDDD")</f>
        <v>Friday</v>
      </c>
      <c r="J55" t="str" cm="1">
        <f t="array" ref="J55">_xlfn.IFS(calls[[#This Row],[Duration]]&lt;=10,"UNDER 10 MINS",calls[[#This Row],[Duration]]&lt;=30,"10 TO 30 MINS",calls[[#This Row],[Duration]]&lt;=60,"30 TO 60 MINS",calls[[#This Row],[Duration]]&lt;=120,"1 TO 2 HRS",TRUE,"MORE THAN 2 HRS")</f>
        <v>MORE THAN 2 HRS</v>
      </c>
      <c r="K55">
        <f>ROUND(calls[[#This Row],[Satisfaction Rating]],0)</f>
        <v>4</v>
      </c>
    </row>
    <row r="56" spans="1:11" x14ac:dyDescent="0.3">
      <c r="A56" s="41" t="s">
        <v>1106</v>
      </c>
      <c r="B56" s="10" t="s">
        <v>1060</v>
      </c>
      <c r="C56" s="10">
        <v>100</v>
      </c>
      <c r="D56" s="39" t="s">
        <v>1053</v>
      </c>
      <c r="E56" s="40">
        <v>44947</v>
      </c>
      <c r="F56" s="10">
        <v>135</v>
      </c>
      <c r="G56" s="42">
        <v>3.8</v>
      </c>
      <c r="H56">
        <f>IF(MONTH(calls[[#This Row],[Date of Call]])&lt;=6,YEAR(calls[[#This Row],[Date of Call]]),YEAR(calls[[#This Row],[Date of Call]])+1)</f>
        <v>2023</v>
      </c>
      <c r="I56" t="str">
        <f>TEXT(calls[[#This Row],[Date of Call]],"DDDD")</f>
        <v>Saturday</v>
      </c>
      <c r="J56" t="str" cm="1">
        <f t="array" ref="J56">_xlfn.IFS(calls[[#This Row],[Duration]]&lt;=10,"UNDER 10 MINS",calls[[#This Row],[Duration]]&lt;=30,"10 TO 30 MINS",calls[[#This Row],[Duration]]&lt;=60,"30 TO 60 MINS",calls[[#This Row],[Duration]]&lt;=120,"1 TO 2 HRS",TRUE,"MORE THAN 2 HRS")</f>
        <v>1 TO 2 HRS</v>
      </c>
      <c r="K56">
        <f>ROUND(calls[[#This Row],[Satisfaction Rating]],0)</f>
        <v>4</v>
      </c>
    </row>
    <row r="57" spans="1:11" x14ac:dyDescent="0.3">
      <c r="A57" s="41" t="s">
        <v>1107</v>
      </c>
      <c r="B57" s="10" t="s">
        <v>1060</v>
      </c>
      <c r="C57" s="10">
        <v>79</v>
      </c>
      <c r="D57" s="39" t="s">
        <v>1057</v>
      </c>
      <c r="E57" s="40">
        <v>44947</v>
      </c>
      <c r="F57" s="10">
        <v>140</v>
      </c>
      <c r="G57" s="42">
        <v>4.5</v>
      </c>
      <c r="H57">
        <f>IF(MONTH(calls[[#This Row],[Date of Call]])&lt;=6,YEAR(calls[[#This Row],[Date of Call]]),YEAR(calls[[#This Row],[Date of Call]])+1)</f>
        <v>2023</v>
      </c>
      <c r="I57" t="str">
        <f>TEXT(calls[[#This Row],[Date of Call]],"DDDD")</f>
        <v>Saturday</v>
      </c>
      <c r="J57" t="str" cm="1">
        <f t="array" ref="J57">_xlfn.IFS(calls[[#This Row],[Duration]]&lt;=10,"UNDER 10 MINS",calls[[#This Row],[Duration]]&lt;=30,"10 TO 30 MINS",calls[[#This Row],[Duration]]&lt;=60,"30 TO 60 MINS",calls[[#This Row],[Duration]]&lt;=120,"1 TO 2 HRS",TRUE,"MORE THAN 2 HRS")</f>
        <v>1 TO 2 HRS</v>
      </c>
      <c r="K57">
        <f>ROUND(calls[[#This Row],[Satisfaction Rating]],0)</f>
        <v>5</v>
      </c>
    </row>
    <row r="58" spans="1:11" x14ac:dyDescent="0.3">
      <c r="A58" s="41" t="s">
        <v>1108</v>
      </c>
      <c r="B58" s="10" t="s">
        <v>1109</v>
      </c>
      <c r="C58" s="10">
        <v>157</v>
      </c>
      <c r="D58" s="39" t="s">
        <v>1048</v>
      </c>
      <c r="E58" s="40">
        <v>44947</v>
      </c>
      <c r="F58" s="10">
        <v>69</v>
      </c>
      <c r="G58" s="42">
        <v>4.5</v>
      </c>
      <c r="H58">
        <f>IF(MONTH(calls[[#This Row],[Date of Call]])&lt;=6,YEAR(calls[[#This Row],[Date of Call]]),YEAR(calls[[#This Row],[Date of Call]])+1)</f>
        <v>2023</v>
      </c>
      <c r="I58" t="str">
        <f>TEXT(calls[[#This Row],[Date of Call]],"DDDD")</f>
        <v>Saturday</v>
      </c>
      <c r="J58" t="str" cm="1">
        <f t="array" ref="J58">_xlfn.IFS(calls[[#This Row],[Duration]]&lt;=10,"UNDER 10 MINS",calls[[#This Row],[Duration]]&lt;=30,"10 TO 30 MINS",calls[[#This Row],[Duration]]&lt;=60,"30 TO 60 MINS",calls[[#This Row],[Duration]]&lt;=120,"1 TO 2 HRS",TRUE,"MORE THAN 2 HRS")</f>
        <v>MORE THAN 2 HRS</v>
      </c>
      <c r="K58">
        <f>ROUND(calls[[#This Row],[Satisfaction Rating]],0)</f>
        <v>5</v>
      </c>
    </row>
    <row r="59" spans="1:11" x14ac:dyDescent="0.3">
      <c r="A59" s="41" t="s">
        <v>1110</v>
      </c>
      <c r="B59" s="10" t="s">
        <v>1060</v>
      </c>
      <c r="C59" s="10">
        <v>59</v>
      </c>
      <c r="D59" s="39" t="s">
        <v>1038</v>
      </c>
      <c r="E59" s="40">
        <v>44948</v>
      </c>
      <c r="F59" s="10">
        <v>136</v>
      </c>
      <c r="G59" s="42">
        <v>4.5999999999999996</v>
      </c>
      <c r="H59">
        <f>IF(MONTH(calls[[#This Row],[Date of Call]])&lt;=6,YEAR(calls[[#This Row],[Date of Call]]),YEAR(calls[[#This Row],[Date of Call]])+1)</f>
        <v>2023</v>
      </c>
      <c r="I59" t="str">
        <f>TEXT(calls[[#This Row],[Date of Call]],"DDDD")</f>
        <v>Sunday</v>
      </c>
      <c r="J59" t="str" cm="1">
        <f t="array" ref="J59">_xlfn.IFS(calls[[#This Row],[Duration]]&lt;=10,"UNDER 10 MINS",calls[[#This Row],[Duration]]&lt;=30,"10 TO 30 MINS",calls[[#This Row],[Duration]]&lt;=60,"30 TO 60 MINS",calls[[#This Row],[Duration]]&lt;=120,"1 TO 2 HRS",TRUE,"MORE THAN 2 HRS")</f>
        <v>30 TO 60 MINS</v>
      </c>
      <c r="K59">
        <f>ROUND(calls[[#This Row],[Satisfaction Rating]],0)</f>
        <v>5</v>
      </c>
    </row>
    <row r="60" spans="1:11" x14ac:dyDescent="0.3">
      <c r="A60" s="41" t="s">
        <v>1111</v>
      </c>
      <c r="B60" s="10" t="s">
        <v>1079</v>
      </c>
      <c r="C60" s="10">
        <v>83</v>
      </c>
      <c r="D60" s="39" t="s">
        <v>1048</v>
      </c>
      <c r="E60" s="40">
        <v>44948</v>
      </c>
      <c r="F60" s="10">
        <v>28</v>
      </c>
      <c r="G60" s="42">
        <v>4.5</v>
      </c>
      <c r="H60">
        <f>IF(MONTH(calls[[#This Row],[Date of Call]])&lt;=6,YEAR(calls[[#This Row],[Date of Call]]),YEAR(calls[[#This Row],[Date of Call]])+1)</f>
        <v>2023</v>
      </c>
      <c r="I60" t="str">
        <f>TEXT(calls[[#This Row],[Date of Call]],"DDDD")</f>
        <v>Sunday</v>
      </c>
      <c r="J60" t="str" cm="1">
        <f t="array" ref="J60">_xlfn.IFS(calls[[#This Row],[Duration]]&lt;=10,"UNDER 10 MINS",calls[[#This Row],[Duration]]&lt;=30,"10 TO 30 MINS",calls[[#This Row],[Duration]]&lt;=60,"30 TO 60 MINS",calls[[#This Row],[Duration]]&lt;=120,"1 TO 2 HRS",TRUE,"MORE THAN 2 HRS")</f>
        <v>1 TO 2 HRS</v>
      </c>
      <c r="K60">
        <f>ROUND(calls[[#This Row],[Satisfaction Rating]],0)</f>
        <v>5</v>
      </c>
    </row>
    <row r="61" spans="1:11" x14ac:dyDescent="0.3">
      <c r="A61" s="41" t="s">
        <v>1112</v>
      </c>
      <c r="B61" s="10" t="s">
        <v>1109</v>
      </c>
      <c r="C61" s="10">
        <v>58</v>
      </c>
      <c r="D61" s="39" t="s">
        <v>1043</v>
      </c>
      <c r="E61" s="40">
        <v>44949</v>
      </c>
      <c r="F61" s="10">
        <v>135</v>
      </c>
      <c r="G61" s="42">
        <v>3.3</v>
      </c>
      <c r="H61">
        <f>IF(MONTH(calls[[#This Row],[Date of Call]])&lt;=6,YEAR(calls[[#This Row],[Date of Call]]),YEAR(calls[[#This Row],[Date of Call]])+1)</f>
        <v>2023</v>
      </c>
      <c r="I61" t="str">
        <f>TEXT(calls[[#This Row],[Date of Call]],"DDDD")</f>
        <v>Monday</v>
      </c>
      <c r="J61" t="str" cm="1">
        <f t="array" ref="J61">_xlfn.IFS(calls[[#This Row],[Duration]]&lt;=10,"UNDER 10 MINS",calls[[#This Row],[Duration]]&lt;=30,"10 TO 30 MINS",calls[[#This Row],[Duration]]&lt;=60,"30 TO 60 MINS",calls[[#This Row],[Duration]]&lt;=120,"1 TO 2 HRS",TRUE,"MORE THAN 2 HRS")</f>
        <v>30 TO 60 MINS</v>
      </c>
      <c r="K61">
        <f>ROUND(calls[[#This Row],[Satisfaction Rating]],0)</f>
        <v>3</v>
      </c>
    </row>
    <row r="62" spans="1:11" x14ac:dyDescent="0.3">
      <c r="A62" s="41" t="s">
        <v>1113</v>
      </c>
      <c r="B62" s="10" t="s">
        <v>1076</v>
      </c>
      <c r="C62" s="10">
        <v>118</v>
      </c>
      <c r="D62" s="39" t="s">
        <v>1043</v>
      </c>
      <c r="E62" s="40">
        <v>44949</v>
      </c>
      <c r="F62" s="10">
        <v>126</v>
      </c>
      <c r="G62" s="42">
        <v>2.2999999999999998</v>
      </c>
      <c r="H62">
        <f>IF(MONTH(calls[[#This Row],[Date of Call]])&lt;=6,YEAR(calls[[#This Row],[Date of Call]]),YEAR(calls[[#This Row],[Date of Call]])+1)</f>
        <v>2023</v>
      </c>
      <c r="I62" t="str">
        <f>TEXT(calls[[#This Row],[Date of Call]],"DDDD")</f>
        <v>Monday</v>
      </c>
      <c r="J62" t="str" cm="1">
        <f t="array" ref="J62">_xlfn.IFS(calls[[#This Row],[Duration]]&lt;=10,"UNDER 10 MINS",calls[[#This Row],[Duration]]&lt;=30,"10 TO 30 MINS",calls[[#This Row],[Duration]]&lt;=60,"30 TO 60 MINS",calls[[#This Row],[Duration]]&lt;=120,"1 TO 2 HRS",TRUE,"MORE THAN 2 HRS")</f>
        <v>1 TO 2 HRS</v>
      </c>
      <c r="K62">
        <f>ROUND(calls[[#This Row],[Satisfaction Rating]],0)</f>
        <v>2</v>
      </c>
    </row>
    <row r="63" spans="1:11" x14ac:dyDescent="0.3">
      <c r="A63" s="41" t="s">
        <v>1114</v>
      </c>
      <c r="B63" s="10" t="s">
        <v>1047</v>
      </c>
      <c r="C63" s="10">
        <v>63</v>
      </c>
      <c r="D63" s="39" t="s">
        <v>1038</v>
      </c>
      <c r="E63" s="40">
        <v>44949</v>
      </c>
      <c r="F63" s="10">
        <v>160</v>
      </c>
      <c r="G63" s="42">
        <v>4.3</v>
      </c>
      <c r="H63">
        <f>IF(MONTH(calls[[#This Row],[Date of Call]])&lt;=6,YEAR(calls[[#This Row],[Date of Call]]),YEAR(calls[[#This Row],[Date of Call]])+1)</f>
        <v>2023</v>
      </c>
      <c r="I63" t="str">
        <f>TEXT(calls[[#This Row],[Date of Call]],"DDDD")</f>
        <v>Monday</v>
      </c>
      <c r="J63" t="str" cm="1">
        <f t="array" ref="J63">_xlfn.IFS(calls[[#This Row],[Duration]]&lt;=10,"UNDER 10 MINS",calls[[#This Row],[Duration]]&lt;=30,"10 TO 30 MINS",calls[[#This Row],[Duration]]&lt;=60,"30 TO 60 MINS",calls[[#This Row],[Duration]]&lt;=120,"1 TO 2 HRS",TRUE,"MORE THAN 2 HRS")</f>
        <v>1 TO 2 HRS</v>
      </c>
      <c r="K63">
        <f>ROUND(calls[[#This Row],[Satisfaction Rating]],0)</f>
        <v>4</v>
      </c>
    </row>
    <row r="64" spans="1:11" x14ac:dyDescent="0.3">
      <c r="A64" s="41" t="s">
        <v>1115</v>
      </c>
      <c r="B64" s="10" t="s">
        <v>1109</v>
      </c>
      <c r="C64" s="10">
        <v>95</v>
      </c>
      <c r="D64" s="39" t="s">
        <v>1043</v>
      </c>
      <c r="E64" s="40">
        <v>44950</v>
      </c>
      <c r="F64" s="10">
        <v>48</v>
      </c>
      <c r="G64" s="42">
        <v>4.5999999999999996</v>
      </c>
      <c r="H64">
        <f>IF(MONTH(calls[[#This Row],[Date of Call]])&lt;=6,YEAR(calls[[#This Row],[Date of Call]]),YEAR(calls[[#This Row],[Date of Call]])+1)</f>
        <v>2023</v>
      </c>
      <c r="I64" t="str">
        <f>TEXT(calls[[#This Row],[Date of Call]],"DDDD")</f>
        <v>Tuesday</v>
      </c>
      <c r="J64" t="str" cm="1">
        <f t="array" ref="J64">_xlfn.IFS(calls[[#This Row],[Duration]]&lt;=10,"UNDER 10 MINS",calls[[#This Row],[Duration]]&lt;=30,"10 TO 30 MINS",calls[[#This Row],[Duration]]&lt;=60,"30 TO 60 MINS",calls[[#This Row],[Duration]]&lt;=120,"1 TO 2 HRS",TRUE,"MORE THAN 2 HRS")</f>
        <v>1 TO 2 HRS</v>
      </c>
      <c r="K64">
        <f>ROUND(calls[[#This Row],[Satisfaction Rating]],0)</f>
        <v>5</v>
      </c>
    </row>
    <row r="65" spans="1:11" x14ac:dyDescent="0.3">
      <c r="A65" s="41" t="s">
        <v>1116</v>
      </c>
      <c r="B65" s="10" t="s">
        <v>1060</v>
      </c>
      <c r="C65" s="10">
        <v>74</v>
      </c>
      <c r="D65" s="39" t="s">
        <v>1048</v>
      </c>
      <c r="E65" s="40">
        <v>44950</v>
      </c>
      <c r="F65" s="10">
        <v>66</v>
      </c>
      <c r="G65" s="42">
        <v>4</v>
      </c>
      <c r="H65">
        <f>IF(MONTH(calls[[#This Row],[Date of Call]])&lt;=6,YEAR(calls[[#This Row],[Date of Call]]),YEAR(calls[[#This Row],[Date of Call]])+1)</f>
        <v>2023</v>
      </c>
      <c r="I65" t="str">
        <f>TEXT(calls[[#This Row],[Date of Call]],"DDDD")</f>
        <v>Tuesday</v>
      </c>
      <c r="J65" t="str" cm="1">
        <f t="array" ref="J65">_xlfn.IFS(calls[[#This Row],[Duration]]&lt;=10,"UNDER 10 MINS",calls[[#This Row],[Duration]]&lt;=30,"10 TO 30 MINS",calls[[#This Row],[Duration]]&lt;=60,"30 TO 60 MINS",calls[[#This Row],[Duration]]&lt;=120,"1 TO 2 HRS",TRUE,"MORE THAN 2 HRS")</f>
        <v>1 TO 2 HRS</v>
      </c>
      <c r="K65">
        <f>ROUND(calls[[#This Row],[Satisfaction Rating]],0)</f>
        <v>4</v>
      </c>
    </row>
    <row r="66" spans="1:11" x14ac:dyDescent="0.3">
      <c r="A66" s="41" t="s">
        <v>1117</v>
      </c>
      <c r="B66" s="10" t="s">
        <v>1056</v>
      </c>
      <c r="C66" s="10">
        <v>130</v>
      </c>
      <c r="D66" s="39" t="s">
        <v>1053</v>
      </c>
      <c r="E66" s="40">
        <v>44950</v>
      </c>
      <c r="F66" s="10">
        <v>126</v>
      </c>
      <c r="G66" s="42">
        <v>2.5</v>
      </c>
      <c r="H66">
        <f>IF(MONTH(calls[[#This Row],[Date of Call]])&lt;=6,YEAR(calls[[#This Row],[Date of Call]]),YEAR(calls[[#This Row],[Date of Call]])+1)</f>
        <v>2023</v>
      </c>
      <c r="I66" t="str">
        <f>TEXT(calls[[#This Row],[Date of Call]],"DDDD")</f>
        <v>Tuesday</v>
      </c>
      <c r="J66" t="str" cm="1">
        <f t="array" ref="J66">_xlfn.IFS(calls[[#This Row],[Duration]]&lt;=10,"UNDER 10 MINS",calls[[#This Row],[Duration]]&lt;=30,"10 TO 30 MINS",calls[[#This Row],[Duration]]&lt;=60,"30 TO 60 MINS",calls[[#This Row],[Duration]]&lt;=120,"1 TO 2 HRS",TRUE,"MORE THAN 2 HRS")</f>
        <v>MORE THAN 2 HRS</v>
      </c>
      <c r="K66">
        <f>ROUND(calls[[#This Row],[Satisfaction Rating]],0)</f>
        <v>3</v>
      </c>
    </row>
    <row r="67" spans="1:11" x14ac:dyDescent="0.3">
      <c r="A67" s="41" t="s">
        <v>1118</v>
      </c>
      <c r="B67" s="10" t="s">
        <v>1076</v>
      </c>
      <c r="C67" s="10">
        <v>110</v>
      </c>
      <c r="D67" s="39" t="s">
        <v>1057</v>
      </c>
      <c r="E67" s="40">
        <v>44950</v>
      </c>
      <c r="F67" s="10">
        <v>96</v>
      </c>
      <c r="G67" s="42">
        <v>5</v>
      </c>
      <c r="H67">
        <f>IF(MONTH(calls[[#This Row],[Date of Call]])&lt;=6,YEAR(calls[[#This Row],[Date of Call]]),YEAR(calls[[#This Row],[Date of Call]])+1)</f>
        <v>2023</v>
      </c>
      <c r="I67" t="str">
        <f>TEXT(calls[[#This Row],[Date of Call]],"DDDD")</f>
        <v>Tuesday</v>
      </c>
      <c r="J67" t="str" cm="1">
        <f t="array" ref="J67">_xlfn.IFS(calls[[#This Row],[Duration]]&lt;=10,"UNDER 10 MINS",calls[[#This Row],[Duration]]&lt;=30,"10 TO 30 MINS",calls[[#This Row],[Duration]]&lt;=60,"30 TO 60 MINS",calls[[#This Row],[Duration]]&lt;=120,"1 TO 2 HRS",TRUE,"MORE THAN 2 HRS")</f>
        <v>1 TO 2 HRS</v>
      </c>
      <c r="K67">
        <f>ROUND(calls[[#This Row],[Satisfaction Rating]],0)</f>
        <v>5</v>
      </c>
    </row>
    <row r="68" spans="1:11" x14ac:dyDescent="0.3">
      <c r="A68" s="41" t="s">
        <v>1119</v>
      </c>
      <c r="B68" s="10" t="s">
        <v>1060</v>
      </c>
      <c r="C68" s="10">
        <v>71</v>
      </c>
      <c r="D68" s="39" t="s">
        <v>1038</v>
      </c>
      <c r="E68" s="40">
        <v>44951</v>
      </c>
      <c r="F68" s="10">
        <v>90</v>
      </c>
      <c r="G68" s="42">
        <v>3.8</v>
      </c>
      <c r="H68">
        <f>IF(MONTH(calls[[#This Row],[Date of Call]])&lt;=6,YEAR(calls[[#This Row],[Date of Call]]),YEAR(calls[[#This Row],[Date of Call]])+1)</f>
        <v>2023</v>
      </c>
      <c r="I68" t="str">
        <f>TEXT(calls[[#This Row],[Date of Call]],"DDDD")</f>
        <v>Wednesday</v>
      </c>
      <c r="J68" t="str" cm="1">
        <f t="array" ref="J68">_xlfn.IFS(calls[[#This Row],[Duration]]&lt;=10,"UNDER 10 MINS",calls[[#This Row],[Duration]]&lt;=30,"10 TO 30 MINS",calls[[#This Row],[Duration]]&lt;=60,"30 TO 60 MINS",calls[[#This Row],[Duration]]&lt;=120,"1 TO 2 HRS",TRUE,"MORE THAN 2 HRS")</f>
        <v>1 TO 2 HRS</v>
      </c>
      <c r="K68">
        <f>ROUND(calls[[#This Row],[Satisfaction Rating]],0)</f>
        <v>4</v>
      </c>
    </row>
    <row r="69" spans="1:11" x14ac:dyDescent="0.3">
      <c r="A69" s="41" t="s">
        <v>1120</v>
      </c>
      <c r="B69" s="10" t="s">
        <v>1089</v>
      </c>
      <c r="C69" s="10">
        <v>147</v>
      </c>
      <c r="D69" s="39" t="s">
        <v>1053</v>
      </c>
      <c r="E69" s="40">
        <v>44951</v>
      </c>
      <c r="F69" s="10">
        <v>105</v>
      </c>
      <c r="G69" s="42">
        <v>4.4000000000000004</v>
      </c>
      <c r="H69">
        <f>IF(MONTH(calls[[#This Row],[Date of Call]])&lt;=6,YEAR(calls[[#This Row],[Date of Call]]),YEAR(calls[[#This Row],[Date of Call]])+1)</f>
        <v>2023</v>
      </c>
      <c r="I69" t="str">
        <f>TEXT(calls[[#This Row],[Date of Call]],"DDDD")</f>
        <v>Wednesday</v>
      </c>
      <c r="J69" t="str" cm="1">
        <f t="array" ref="J69">_xlfn.IFS(calls[[#This Row],[Duration]]&lt;=10,"UNDER 10 MINS",calls[[#This Row],[Duration]]&lt;=30,"10 TO 30 MINS",calls[[#This Row],[Duration]]&lt;=60,"30 TO 60 MINS",calls[[#This Row],[Duration]]&lt;=120,"1 TO 2 HRS",TRUE,"MORE THAN 2 HRS")</f>
        <v>MORE THAN 2 HRS</v>
      </c>
      <c r="K69">
        <f>ROUND(calls[[#This Row],[Satisfaction Rating]],0)</f>
        <v>4</v>
      </c>
    </row>
    <row r="70" spans="1:11" x14ac:dyDescent="0.3">
      <c r="A70" s="41" t="s">
        <v>1121</v>
      </c>
      <c r="B70" s="10" t="s">
        <v>1040</v>
      </c>
      <c r="C70" s="10">
        <v>69</v>
      </c>
      <c r="D70" s="39" t="s">
        <v>1043</v>
      </c>
      <c r="E70" s="40">
        <v>44952</v>
      </c>
      <c r="F70" s="10">
        <v>40</v>
      </c>
      <c r="G70" s="42">
        <v>3.8</v>
      </c>
      <c r="H70">
        <f>IF(MONTH(calls[[#This Row],[Date of Call]])&lt;=6,YEAR(calls[[#This Row],[Date of Call]]),YEAR(calls[[#This Row],[Date of Call]])+1)</f>
        <v>2023</v>
      </c>
      <c r="I70" t="str">
        <f>TEXT(calls[[#This Row],[Date of Call]],"DDDD")</f>
        <v>Thursday</v>
      </c>
      <c r="J70" t="str" cm="1">
        <f t="array" ref="J70">_xlfn.IFS(calls[[#This Row],[Duration]]&lt;=10,"UNDER 10 MINS",calls[[#This Row],[Duration]]&lt;=30,"10 TO 30 MINS",calls[[#This Row],[Duration]]&lt;=60,"30 TO 60 MINS",calls[[#This Row],[Duration]]&lt;=120,"1 TO 2 HRS",TRUE,"MORE THAN 2 HRS")</f>
        <v>1 TO 2 HRS</v>
      </c>
      <c r="K70">
        <f>ROUND(calls[[#This Row],[Satisfaction Rating]],0)</f>
        <v>4</v>
      </c>
    </row>
    <row r="71" spans="1:11" x14ac:dyDescent="0.3">
      <c r="A71" s="41" t="s">
        <v>1122</v>
      </c>
      <c r="B71" s="10" t="s">
        <v>1076</v>
      </c>
      <c r="C71" s="10">
        <v>50</v>
      </c>
      <c r="D71" s="39" t="s">
        <v>1038</v>
      </c>
      <c r="E71" s="40">
        <v>44952</v>
      </c>
      <c r="F71" s="10">
        <v>60</v>
      </c>
      <c r="G71" s="42">
        <v>2</v>
      </c>
      <c r="H71">
        <f>IF(MONTH(calls[[#This Row],[Date of Call]])&lt;=6,YEAR(calls[[#This Row],[Date of Call]]),YEAR(calls[[#This Row],[Date of Call]])+1)</f>
        <v>2023</v>
      </c>
      <c r="I71" t="str">
        <f>TEXT(calls[[#This Row],[Date of Call]],"DDDD")</f>
        <v>Thursday</v>
      </c>
      <c r="J71" t="str" cm="1">
        <f t="array" ref="J71">_xlfn.IFS(calls[[#This Row],[Duration]]&lt;=10,"UNDER 10 MINS",calls[[#This Row],[Duration]]&lt;=30,"10 TO 30 MINS",calls[[#This Row],[Duration]]&lt;=60,"30 TO 60 MINS",calls[[#This Row],[Duration]]&lt;=120,"1 TO 2 HRS",TRUE,"MORE THAN 2 HRS")</f>
        <v>30 TO 60 MINS</v>
      </c>
      <c r="K71">
        <f>ROUND(calls[[#This Row],[Satisfaction Rating]],0)</f>
        <v>2</v>
      </c>
    </row>
    <row r="72" spans="1:11" x14ac:dyDescent="0.3">
      <c r="A72" s="41" t="s">
        <v>1123</v>
      </c>
      <c r="B72" s="10" t="s">
        <v>1056</v>
      </c>
      <c r="C72" s="10">
        <v>124</v>
      </c>
      <c r="D72" s="39" t="s">
        <v>1053</v>
      </c>
      <c r="E72" s="40">
        <v>44953</v>
      </c>
      <c r="F72" s="10">
        <v>215</v>
      </c>
      <c r="G72" s="42">
        <v>4.0999999999999996</v>
      </c>
      <c r="H72">
        <f>IF(MONTH(calls[[#This Row],[Date of Call]])&lt;=6,YEAR(calls[[#This Row],[Date of Call]]),YEAR(calls[[#This Row],[Date of Call]])+1)</f>
        <v>2023</v>
      </c>
      <c r="I72" t="str">
        <f>TEXT(calls[[#This Row],[Date of Call]],"DDDD")</f>
        <v>Friday</v>
      </c>
      <c r="J72" t="str" cm="1">
        <f t="array" ref="J72">_xlfn.IFS(calls[[#This Row],[Duration]]&lt;=10,"UNDER 10 MINS",calls[[#This Row],[Duration]]&lt;=30,"10 TO 30 MINS",calls[[#This Row],[Duration]]&lt;=60,"30 TO 60 MINS",calls[[#This Row],[Duration]]&lt;=120,"1 TO 2 HRS",TRUE,"MORE THAN 2 HRS")</f>
        <v>MORE THAN 2 HRS</v>
      </c>
      <c r="K72">
        <f>ROUND(calls[[#This Row],[Satisfaction Rating]],0)</f>
        <v>4</v>
      </c>
    </row>
    <row r="73" spans="1:11" x14ac:dyDescent="0.3">
      <c r="A73" s="41" t="s">
        <v>1124</v>
      </c>
      <c r="B73" s="10" t="s">
        <v>1042</v>
      </c>
      <c r="C73" s="10">
        <v>81</v>
      </c>
      <c r="D73" s="39" t="s">
        <v>1048</v>
      </c>
      <c r="E73" s="40">
        <v>44953</v>
      </c>
      <c r="F73" s="10">
        <v>156</v>
      </c>
      <c r="G73" s="42">
        <v>2.6</v>
      </c>
      <c r="H73">
        <f>IF(MONTH(calls[[#This Row],[Date of Call]])&lt;=6,YEAR(calls[[#This Row],[Date of Call]]),YEAR(calls[[#This Row],[Date of Call]])+1)</f>
        <v>2023</v>
      </c>
      <c r="I73" t="str">
        <f>TEXT(calls[[#This Row],[Date of Call]],"DDDD")</f>
        <v>Friday</v>
      </c>
      <c r="J73" t="str" cm="1">
        <f t="array" ref="J73">_xlfn.IFS(calls[[#This Row],[Duration]]&lt;=10,"UNDER 10 MINS",calls[[#This Row],[Duration]]&lt;=30,"10 TO 30 MINS",calls[[#This Row],[Duration]]&lt;=60,"30 TO 60 MINS",calls[[#This Row],[Duration]]&lt;=120,"1 TO 2 HRS",TRUE,"MORE THAN 2 HRS")</f>
        <v>1 TO 2 HRS</v>
      </c>
      <c r="K73">
        <f>ROUND(calls[[#This Row],[Satisfaction Rating]],0)</f>
        <v>3</v>
      </c>
    </row>
    <row r="74" spans="1:11" x14ac:dyDescent="0.3">
      <c r="A74" s="41" t="s">
        <v>1125</v>
      </c>
      <c r="B74" s="10" t="s">
        <v>1071</v>
      </c>
      <c r="C74" s="10">
        <v>141</v>
      </c>
      <c r="D74" s="39" t="s">
        <v>1057</v>
      </c>
      <c r="E74" s="40">
        <v>44953</v>
      </c>
      <c r="F74" s="10">
        <v>54</v>
      </c>
      <c r="G74" s="42">
        <v>0</v>
      </c>
      <c r="H74">
        <f>IF(MONTH(calls[[#This Row],[Date of Call]])&lt;=6,YEAR(calls[[#This Row],[Date of Call]]),YEAR(calls[[#This Row],[Date of Call]])+1)</f>
        <v>2023</v>
      </c>
      <c r="I74" t="str">
        <f>TEXT(calls[[#This Row],[Date of Call]],"DDDD")</f>
        <v>Friday</v>
      </c>
      <c r="J74" t="str" cm="1">
        <f t="array" ref="J74">_xlfn.IFS(calls[[#This Row],[Duration]]&lt;=10,"UNDER 10 MINS",calls[[#This Row],[Duration]]&lt;=30,"10 TO 30 MINS",calls[[#This Row],[Duration]]&lt;=60,"30 TO 60 MINS",calls[[#This Row],[Duration]]&lt;=120,"1 TO 2 HRS",TRUE,"MORE THAN 2 HRS")</f>
        <v>MORE THAN 2 HRS</v>
      </c>
      <c r="K74">
        <f>ROUND(calls[[#This Row],[Satisfaction Rating]],0)</f>
        <v>0</v>
      </c>
    </row>
    <row r="75" spans="1:11" x14ac:dyDescent="0.3">
      <c r="A75" s="41" t="s">
        <v>1126</v>
      </c>
      <c r="B75" s="10" t="s">
        <v>1071</v>
      </c>
      <c r="C75" s="10">
        <v>168</v>
      </c>
      <c r="D75" s="39" t="s">
        <v>1057</v>
      </c>
      <c r="E75" s="40">
        <v>44954</v>
      </c>
      <c r="F75" s="10">
        <v>160</v>
      </c>
      <c r="G75" s="42">
        <v>3.9</v>
      </c>
      <c r="H75">
        <f>IF(MONTH(calls[[#This Row],[Date of Call]])&lt;=6,YEAR(calls[[#This Row],[Date of Call]]),YEAR(calls[[#This Row],[Date of Call]])+1)</f>
        <v>2023</v>
      </c>
      <c r="I75" t="str">
        <f>TEXT(calls[[#This Row],[Date of Call]],"DDDD")</f>
        <v>Saturday</v>
      </c>
      <c r="J75" t="str" cm="1">
        <f t="array" ref="J75">_xlfn.IFS(calls[[#This Row],[Duration]]&lt;=10,"UNDER 10 MINS",calls[[#This Row],[Duration]]&lt;=30,"10 TO 30 MINS",calls[[#This Row],[Duration]]&lt;=60,"30 TO 60 MINS",calls[[#This Row],[Duration]]&lt;=120,"1 TO 2 HRS",TRUE,"MORE THAN 2 HRS")</f>
        <v>MORE THAN 2 HRS</v>
      </c>
      <c r="K75">
        <f>ROUND(calls[[#This Row],[Satisfaction Rating]],0)</f>
        <v>4</v>
      </c>
    </row>
    <row r="76" spans="1:11" x14ac:dyDescent="0.3">
      <c r="A76" s="41" t="s">
        <v>1127</v>
      </c>
      <c r="B76" s="10" t="s">
        <v>1089</v>
      </c>
      <c r="C76" s="10">
        <v>101</v>
      </c>
      <c r="D76" s="39" t="s">
        <v>1048</v>
      </c>
      <c r="E76" s="40">
        <v>44954</v>
      </c>
      <c r="F76" s="10">
        <v>80</v>
      </c>
      <c r="G76" s="42">
        <v>4.8</v>
      </c>
      <c r="H76">
        <f>IF(MONTH(calls[[#This Row],[Date of Call]])&lt;=6,YEAR(calls[[#This Row],[Date of Call]]),YEAR(calls[[#This Row],[Date of Call]])+1)</f>
        <v>2023</v>
      </c>
      <c r="I76" t="str">
        <f>TEXT(calls[[#This Row],[Date of Call]],"DDDD")</f>
        <v>Saturday</v>
      </c>
      <c r="J76" t="str" cm="1">
        <f t="array" ref="J76">_xlfn.IFS(calls[[#This Row],[Duration]]&lt;=10,"UNDER 10 MINS",calls[[#This Row],[Duration]]&lt;=30,"10 TO 30 MINS",calls[[#This Row],[Duration]]&lt;=60,"30 TO 60 MINS",calls[[#This Row],[Duration]]&lt;=120,"1 TO 2 HRS",TRUE,"MORE THAN 2 HRS")</f>
        <v>1 TO 2 HRS</v>
      </c>
      <c r="K76">
        <f>ROUND(calls[[#This Row],[Satisfaction Rating]],0)</f>
        <v>5</v>
      </c>
    </row>
    <row r="77" spans="1:11" x14ac:dyDescent="0.3">
      <c r="A77" s="41" t="s">
        <v>1128</v>
      </c>
      <c r="B77" s="10" t="s">
        <v>1060</v>
      </c>
      <c r="C77" s="10">
        <v>67</v>
      </c>
      <c r="D77" s="39" t="s">
        <v>1048</v>
      </c>
      <c r="E77" s="40">
        <v>44954</v>
      </c>
      <c r="F77" s="10">
        <v>168</v>
      </c>
      <c r="G77" s="42">
        <v>2.6</v>
      </c>
      <c r="H77">
        <f>IF(MONTH(calls[[#This Row],[Date of Call]])&lt;=6,YEAR(calls[[#This Row],[Date of Call]]),YEAR(calls[[#This Row],[Date of Call]])+1)</f>
        <v>2023</v>
      </c>
      <c r="I77" t="str">
        <f>TEXT(calls[[#This Row],[Date of Call]],"DDDD")</f>
        <v>Saturday</v>
      </c>
      <c r="J77" t="str" cm="1">
        <f t="array" ref="J77">_xlfn.IFS(calls[[#This Row],[Duration]]&lt;=10,"UNDER 10 MINS",calls[[#This Row],[Duration]]&lt;=30,"10 TO 30 MINS",calls[[#This Row],[Duration]]&lt;=60,"30 TO 60 MINS",calls[[#This Row],[Duration]]&lt;=120,"1 TO 2 HRS",TRUE,"MORE THAN 2 HRS")</f>
        <v>1 TO 2 HRS</v>
      </c>
      <c r="K77">
        <f>ROUND(calls[[#This Row],[Satisfaction Rating]],0)</f>
        <v>3</v>
      </c>
    </row>
    <row r="78" spans="1:11" x14ac:dyDescent="0.3">
      <c r="A78" s="41" t="s">
        <v>1129</v>
      </c>
      <c r="B78" s="10" t="s">
        <v>1109</v>
      </c>
      <c r="C78" s="10">
        <v>114</v>
      </c>
      <c r="D78" s="39" t="s">
        <v>1057</v>
      </c>
      <c r="E78" s="40">
        <v>44956</v>
      </c>
      <c r="F78" s="10">
        <v>42</v>
      </c>
      <c r="G78" s="42">
        <v>2.6</v>
      </c>
      <c r="H78">
        <f>IF(MONTH(calls[[#This Row],[Date of Call]])&lt;=6,YEAR(calls[[#This Row],[Date of Call]]),YEAR(calls[[#This Row],[Date of Call]])+1)</f>
        <v>2023</v>
      </c>
      <c r="I78" t="str">
        <f>TEXT(calls[[#This Row],[Date of Call]],"DDDD")</f>
        <v>Monday</v>
      </c>
      <c r="J78" t="str" cm="1">
        <f t="array" ref="J78">_xlfn.IFS(calls[[#This Row],[Duration]]&lt;=10,"UNDER 10 MINS",calls[[#This Row],[Duration]]&lt;=30,"10 TO 30 MINS",calls[[#This Row],[Duration]]&lt;=60,"30 TO 60 MINS",calls[[#This Row],[Duration]]&lt;=120,"1 TO 2 HRS",TRUE,"MORE THAN 2 HRS")</f>
        <v>1 TO 2 HRS</v>
      </c>
      <c r="K78">
        <f>ROUND(calls[[#This Row],[Satisfaction Rating]],0)</f>
        <v>3</v>
      </c>
    </row>
    <row r="79" spans="1:11" x14ac:dyDescent="0.3">
      <c r="A79" s="41" t="s">
        <v>1130</v>
      </c>
      <c r="B79" s="10" t="s">
        <v>1042</v>
      </c>
      <c r="C79" s="10">
        <v>42</v>
      </c>
      <c r="D79" s="39" t="s">
        <v>1048</v>
      </c>
      <c r="E79" s="40">
        <v>44956</v>
      </c>
      <c r="F79" s="10">
        <v>205</v>
      </c>
      <c r="G79" s="42">
        <v>3.6</v>
      </c>
      <c r="H79">
        <f>IF(MONTH(calls[[#This Row],[Date of Call]])&lt;=6,YEAR(calls[[#This Row],[Date of Call]]),YEAR(calls[[#This Row],[Date of Call]])+1)</f>
        <v>2023</v>
      </c>
      <c r="I79" t="str">
        <f>TEXT(calls[[#This Row],[Date of Call]],"DDDD")</f>
        <v>Monday</v>
      </c>
      <c r="J79" t="str" cm="1">
        <f t="array" ref="J79">_xlfn.IFS(calls[[#This Row],[Duration]]&lt;=10,"UNDER 10 MINS",calls[[#This Row],[Duration]]&lt;=30,"10 TO 30 MINS",calls[[#This Row],[Duration]]&lt;=60,"30 TO 60 MINS",calls[[#This Row],[Duration]]&lt;=120,"1 TO 2 HRS",TRUE,"MORE THAN 2 HRS")</f>
        <v>30 TO 60 MINS</v>
      </c>
      <c r="K79">
        <f>ROUND(calls[[#This Row],[Satisfaction Rating]],0)</f>
        <v>4</v>
      </c>
    </row>
    <row r="80" spans="1:11" x14ac:dyDescent="0.3">
      <c r="A80" s="41" t="s">
        <v>1131</v>
      </c>
      <c r="B80" s="10" t="s">
        <v>1047</v>
      </c>
      <c r="C80" s="10">
        <v>69</v>
      </c>
      <c r="D80" s="39" t="s">
        <v>1057</v>
      </c>
      <c r="E80" s="40">
        <v>44956</v>
      </c>
      <c r="F80" s="10">
        <v>108</v>
      </c>
      <c r="G80" s="42">
        <v>3.3</v>
      </c>
      <c r="H80">
        <f>IF(MONTH(calls[[#This Row],[Date of Call]])&lt;=6,YEAR(calls[[#This Row],[Date of Call]]),YEAR(calls[[#This Row],[Date of Call]])+1)</f>
        <v>2023</v>
      </c>
      <c r="I80" t="str">
        <f>TEXT(calls[[#This Row],[Date of Call]],"DDDD")</f>
        <v>Monday</v>
      </c>
      <c r="J80" t="str" cm="1">
        <f t="array" ref="J80">_xlfn.IFS(calls[[#This Row],[Duration]]&lt;=10,"UNDER 10 MINS",calls[[#This Row],[Duration]]&lt;=30,"10 TO 30 MINS",calls[[#This Row],[Duration]]&lt;=60,"30 TO 60 MINS",calls[[#This Row],[Duration]]&lt;=120,"1 TO 2 HRS",TRUE,"MORE THAN 2 HRS")</f>
        <v>1 TO 2 HRS</v>
      </c>
      <c r="K80">
        <f>ROUND(calls[[#This Row],[Satisfaction Rating]],0)</f>
        <v>3</v>
      </c>
    </row>
    <row r="81" spans="1:11" x14ac:dyDescent="0.3">
      <c r="A81" s="41" t="s">
        <v>1132</v>
      </c>
      <c r="B81" s="10" t="s">
        <v>1056</v>
      </c>
      <c r="C81" s="10">
        <v>145</v>
      </c>
      <c r="D81" s="39" t="s">
        <v>1043</v>
      </c>
      <c r="E81" s="40">
        <v>44956</v>
      </c>
      <c r="F81" s="10">
        <v>78</v>
      </c>
      <c r="G81" s="42">
        <v>1.9</v>
      </c>
      <c r="H81">
        <f>IF(MONTH(calls[[#This Row],[Date of Call]])&lt;=6,YEAR(calls[[#This Row],[Date of Call]]),YEAR(calls[[#This Row],[Date of Call]])+1)</f>
        <v>2023</v>
      </c>
      <c r="I81" t="str">
        <f>TEXT(calls[[#This Row],[Date of Call]],"DDDD")</f>
        <v>Monday</v>
      </c>
      <c r="J81" t="str" cm="1">
        <f t="array" ref="J81">_xlfn.IFS(calls[[#This Row],[Duration]]&lt;=10,"UNDER 10 MINS",calls[[#This Row],[Duration]]&lt;=30,"10 TO 30 MINS",calls[[#This Row],[Duration]]&lt;=60,"30 TO 60 MINS",calls[[#This Row],[Duration]]&lt;=120,"1 TO 2 HRS",TRUE,"MORE THAN 2 HRS")</f>
        <v>MORE THAN 2 HRS</v>
      </c>
      <c r="K81">
        <f>ROUND(calls[[#This Row],[Satisfaction Rating]],0)</f>
        <v>2</v>
      </c>
    </row>
    <row r="82" spans="1:11" x14ac:dyDescent="0.3">
      <c r="A82" s="41" t="s">
        <v>1133</v>
      </c>
      <c r="B82" s="10" t="s">
        <v>1040</v>
      </c>
      <c r="C82" s="10">
        <v>43</v>
      </c>
      <c r="D82" s="39" t="s">
        <v>1057</v>
      </c>
      <c r="E82" s="40">
        <v>44956</v>
      </c>
      <c r="F82" s="10">
        <v>23</v>
      </c>
      <c r="G82" s="42">
        <v>4.9000000000000004</v>
      </c>
      <c r="H82">
        <f>IF(MONTH(calls[[#This Row],[Date of Call]])&lt;=6,YEAR(calls[[#This Row],[Date of Call]]),YEAR(calls[[#This Row],[Date of Call]])+1)</f>
        <v>2023</v>
      </c>
      <c r="I82" t="str">
        <f>TEXT(calls[[#This Row],[Date of Call]],"DDDD")</f>
        <v>Monday</v>
      </c>
      <c r="J82" t="str" cm="1">
        <f t="array" ref="J82">_xlfn.IFS(calls[[#This Row],[Duration]]&lt;=10,"UNDER 10 MINS",calls[[#This Row],[Duration]]&lt;=30,"10 TO 30 MINS",calls[[#This Row],[Duration]]&lt;=60,"30 TO 60 MINS",calls[[#This Row],[Duration]]&lt;=120,"1 TO 2 HRS",TRUE,"MORE THAN 2 HRS")</f>
        <v>30 TO 60 MINS</v>
      </c>
      <c r="K82">
        <f>ROUND(calls[[#This Row],[Satisfaction Rating]],0)</f>
        <v>5</v>
      </c>
    </row>
    <row r="83" spans="1:11" x14ac:dyDescent="0.3">
      <c r="A83" s="41" t="s">
        <v>1134</v>
      </c>
      <c r="B83" s="10" t="s">
        <v>1047</v>
      </c>
      <c r="C83" s="10">
        <v>62</v>
      </c>
      <c r="D83" s="39" t="s">
        <v>1038</v>
      </c>
      <c r="E83" s="40">
        <v>44957</v>
      </c>
      <c r="F83" s="10">
        <v>99</v>
      </c>
      <c r="G83" s="42">
        <v>3.6</v>
      </c>
      <c r="H83">
        <f>IF(MONTH(calls[[#This Row],[Date of Call]])&lt;=6,YEAR(calls[[#This Row],[Date of Call]]),YEAR(calls[[#This Row],[Date of Call]])+1)</f>
        <v>2023</v>
      </c>
      <c r="I83" t="str">
        <f>TEXT(calls[[#This Row],[Date of Call]],"DDDD")</f>
        <v>Tuesday</v>
      </c>
      <c r="J83" t="str" cm="1">
        <f t="array" ref="J83">_xlfn.IFS(calls[[#This Row],[Duration]]&lt;=10,"UNDER 10 MINS",calls[[#This Row],[Duration]]&lt;=30,"10 TO 30 MINS",calls[[#This Row],[Duration]]&lt;=60,"30 TO 60 MINS",calls[[#This Row],[Duration]]&lt;=120,"1 TO 2 HRS",TRUE,"MORE THAN 2 HRS")</f>
        <v>1 TO 2 HRS</v>
      </c>
      <c r="K83">
        <f>ROUND(calls[[#This Row],[Satisfaction Rating]],0)</f>
        <v>4</v>
      </c>
    </row>
    <row r="84" spans="1:11" x14ac:dyDescent="0.3">
      <c r="A84" s="41" t="s">
        <v>1135</v>
      </c>
      <c r="B84" s="10" t="s">
        <v>1068</v>
      </c>
      <c r="C84" s="10">
        <v>79</v>
      </c>
      <c r="D84" s="39" t="s">
        <v>1057</v>
      </c>
      <c r="E84" s="40">
        <v>44958</v>
      </c>
      <c r="F84" s="10">
        <v>148</v>
      </c>
      <c r="G84" s="42">
        <v>4.5</v>
      </c>
      <c r="H84">
        <f>IF(MONTH(calls[[#This Row],[Date of Call]])&lt;=6,YEAR(calls[[#This Row],[Date of Call]]),YEAR(calls[[#This Row],[Date of Call]])+1)</f>
        <v>2023</v>
      </c>
      <c r="I84" t="str">
        <f>TEXT(calls[[#This Row],[Date of Call]],"DDDD")</f>
        <v>Wednesday</v>
      </c>
      <c r="J84" t="str" cm="1">
        <f t="array" ref="J84">_xlfn.IFS(calls[[#This Row],[Duration]]&lt;=10,"UNDER 10 MINS",calls[[#This Row],[Duration]]&lt;=30,"10 TO 30 MINS",calls[[#This Row],[Duration]]&lt;=60,"30 TO 60 MINS",calls[[#This Row],[Duration]]&lt;=120,"1 TO 2 HRS",TRUE,"MORE THAN 2 HRS")</f>
        <v>1 TO 2 HRS</v>
      </c>
      <c r="K84">
        <f>ROUND(calls[[#This Row],[Satisfaction Rating]],0)</f>
        <v>5</v>
      </c>
    </row>
    <row r="85" spans="1:11" x14ac:dyDescent="0.3">
      <c r="A85" s="41" t="s">
        <v>1136</v>
      </c>
      <c r="B85" s="10" t="s">
        <v>1056</v>
      </c>
      <c r="C85" s="10">
        <v>45</v>
      </c>
      <c r="D85" s="39" t="s">
        <v>1053</v>
      </c>
      <c r="E85" s="40">
        <v>44958</v>
      </c>
      <c r="F85" s="10">
        <v>34</v>
      </c>
      <c r="G85" s="42">
        <v>3.7</v>
      </c>
      <c r="H85">
        <f>IF(MONTH(calls[[#This Row],[Date of Call]])&lt;=6,YEAR(calls[[#This Row],[Date of Call]]),YEAR(calls[[#This Row],[Date of Call]])+1)</f>
        <v>2023</v>
      </c>
      <c r="I85" t="str">
        <f>TEXT(calls[[#This Row],[Date of Call]],"DDDD")</f>
        <v>Wednesday</v>
      </c>
      <c r="J85" t="str" cm="1">
        <f t="array" ref="J85">_xlfn.IFS(calls[[#This Row],[Duration]]&lt;=10,"UNDER 10 MINS",calls[[#This Row],[Duration]]&lt;=30,"10 TO 30 MINS",calls[[#This Row],[Duration]]&lt;=60,"30 TO 60 MINS",calls[[#This Row],[Duration]]&lt;=120,"1 TO 2 HRS",TRUE,"MORE THAN 2 HRS")</f>
        <v>30 TO 60 MINS</v>
      </c>
      <c r="K85">
        <f>ROUND(calls[[#This Row],[Satisfaction Rating]],0)</f>
        <v>4</v>
      </c>
    </row>
    <row r="86" spans="1:11" x14ac:dyDescent="0.3">
      <c r="A86" s="41" t="s">
        <v>1137</v>
      </c>
      <c r="B86" s="10" t="s">
        <v>1047</v>
      </c>
      <c r="C86" s="10">
        <v>137</v>
      </c>
      <c r="D86" s="39" t="s">
        <v>1057</v>
      </c>
      <c r="E86" s="40">
        <v>44958</v>
      </c>
      <c r="F86" s="10">
        <v>86</v>
      </c>
      <c r="G86" s="42">
        <v>4.8</v>
      </c>
      <c r="H86">
        <f>IF(MONTH(calls[[#This Row],[Date of Call]])&lt;=6,YEAR(calls[[#This Row],[Date of Call]]),YEAR(calls[[#This Row],[Date of Call]])+1)</f>
        <v>2023</v>
      </c>
      <c r="I86" t="str">
        <f>TEXT(calls[[#This Row],[Date of Call]],"DDDD")</f>
        <v>Wednesday</v>
      </c>
      <c r="J86" t="str" cm="1">
        <f t="array" ref="J86">_xlfn.IFS(calls[[#This Row],[Duration]]&lt;=10,"UNDER 10 MINS",calls[[#This Row],[Duration]]&lt;=30,"10 TO 30 MINS",calls[[#This Row],[Duration]]&lt;=60,"30 TO 60 MINS",calls[[#This Row],[Duration]]&lt;=120,"1 TO 2 HRS",TRUE,"MORE THAN 2 HRS")</f>
        <v>MORE THAN 2 HRS</v>
      </c>
      <c r="K86">
        <f>ROUND(calls[[#This Row],[Satisfaction Rating]],0)</f>
        <v>5</v>
      </c>
    </row>
    <row r="87" spans="1:11" x14ac:dyDescent="0.3">
      <c r="A87" s="41" t="s">
        <v>1138</v>
      </c>
      <c r="B87" s="10" t="s">
        <v>1109</v>
      </c>
      <c r="C87" s="10">
        <v>109</v>
      </c>
      <c r="D87" s="39" t="s">
        <v>1038</v>
      </c>
      <c r="E87" s="40">
        <v>44958</v>
      </c>
      <c r="F87" s="10">
        <v>105</v>
      </c>
      <c r="G87" s="42">
        <v>3.3</v>
      </c>
      <c r="H87">
        <f>IF(MONTH(calls[[#This Row],[Date of Call]])&lt;=6,YEAR(calls[[#This Row],[Date of Call]]),YEAR(calls[[#This Row],[Date of Call]])+1)</f>
        <v>2023</v>
      </c>
      <c r="I87" t="str">
        <f>TEXT(calls[[#This Row],[Date of Call]],"DDDD")</f>
        <v>Wednesday</v>
      </c>
      <c r="J87" t="str" cm="1">
        <f t="array" ref="J87">_xlfn.IFS(calls[[#This Row],[Duration]]&lt;=10,"UNDER 10 MINS",calls[[#This Row],[Duration]]&lt;=30,"10 TO 30 MINS",calls[[#This Row],[Duration]]&lt;=60,"30 TO 60 MINS",calls[[#This Row],[Duration]]&lt;=120,"1 TO 2 HRS",TRUE,"MORE THAN 2 HRS")</f>
        <v>1 TO 2 HRS</v>
      </c>
      <c r="K87">
        <f>ROUND(calls[[#This Row],[Satisfaction Rating]],0)</f>
        <v>3</v>
      </c>
    </row>
    <row r="88" spans="1:11" x14ac:dyDescent="0.3">
      <c r="A88" s="41" t="s">
        <v>1139</v>
      </c>
      <c r="B88" s="10" t="s">
        <v>1040</v>
      </c>
      <c r="C88" s="10">
        <v>78</v>
      </c>
      <c r="D88" s="39" t="s">
        <v>1038</v>
      </c>
      <c r="E88" s="40">
        <v>44958</v>
      </c>
      <c r="F88" s="10">
        <v>62</v>
      </c>
      <c r="G88" s="42">
        <v>3.1</v>
      </c>
      <c r="H88">
        <f>IF(MONTH(calls[[#This Row],[Date of Call]])&lt;=6,YEAR(calls[[#This Row],[Date of Call]]),YEAR(calls[[#This Row],[Date of Call]])+1)</f>
        <v>2023</v>
      </c>
      <c r="I88" t="str">
        <f>TEXT(calls[[#This Row],[Date of Call]],"DDDD")</f>
        <v>Wednesday</v>
      </c>
      <c r="J88" t="str" cm="1">
        <f t="array" ref="J88">_xlfn.IFS(calls[[#This Row],[Duration]]&lt;=10,"UNDER 10 MINS",calls[[#This Row],[Duration]]&lt;=30,"10 TO 30 MINS",calls[[#This Row],[Duration]]&lt;=60,"30 TO 60 MINS",calls[[#This Row],[Duration]]&lt;=120,"1 TO 2 HRS",TRUE,"MORE THAN 2 HRS")</f>
        <v>1 TO 2 HRS</v>
      </c>
      <c r="K88">
        <f>ROUND(calls[[#This Row],[Satisfaction Rating]],0)</f>
        <v>3</v>
      </c>
    </row>
    <row r="89" spans="1:11" x14ac:dyDescent="0.3">
      <c r="A89" s="41" t="s">
        <v>1140</v>
      </c>
      <c r="B89" s="10" t="s">
        <v>1047</v>
      </c>
      <c r="C89" s="10">
        <v>137</v>
      </c>
      <c r="D89" s="39" t="s">
        <v>1053</v>
      </c>
      <c r="E89" s="40">
        <v>44958</v>
      </c>
      <c r="F89" s="10">
        <v>90</v>
      </c>
      <c r="G89" s="42">
        <v>4.0999999999999996</v>
      </c>
      <c r="H89">
        <f>IF(MONTH(calls[[#This Row],[Date of Call]])&lt;=6,YEAR(calls[[#This Row],[Date of Call]]),YEAR(calls[[#This Row],[Date of Call]])+1)</f>
        <v>2023</v>
      </c>
      <c r="I89" t="str">
        <f>TEXT(calls[[#This Row],[Date of Call]],"DDDD")</f>
        <v>Wednesday</v>
      </c>
      <c r="J89" t="str" cm="1">
        <f t="array" ref="J89">_xlfn.IFS(calls[[#This Row],[Duration]]&lt;=10,"UNDER 10 MINS",calls[[#This Row],[Duration]]&lt;=30,"10 TO 30 MINS",calls[[#This Row],[Duration]]&lt;=60,"30 TO 60 MINS",calls[[#This Row],[Duration]]&lt;=120,"1 TO 2 HRS",TRUE,"MORE THAN 2 HRS")</f>
        <v>MORE THAN 2 HRS</v>
      </c>
      <c r="K89">
        <f>ROUND(calls[[#This Row],[Satisfaction Rating]],0)</f>
        <v>4</v>
      </c>
    </row>
    <row r="90" spans="1:11" x14ac:dyDescent="0.3">
      <c r="A90" s="41" t="s">
        <v>1141</v>
      </c>
      <c r="B90" s="10" t="s">
        <v>1045</v>
      </c>
      <c r="C90" s="10">
        <v>99</v>
      </c>
      <c r="D90" s="39" t="s">
        <v>1038</v>
      </c>
      <c r="E90" s="40">
        <v>44959</v>
      </c>
      <c r="F90" s="10">
        <v>112</v>
      </c>
      <c r="G90" s="42">
        <v>4.9000000000000004</v>
      </c>
      <c r="H90">
        <f>IF(MONTH(calls[[#This Row],[Date of Call]])&lt;=6,YEAR(calls[[#This Row],[Date of Call]]),YEAR(calls[[#This Row],[Date of Call]])+1)</f>
        <v>2023</v>
      </c>
      <c r="I90" t="str">
        <f>TEXT(calls[[#This Row],[Date of Call]],"DDDD")</f>
        <v>Thursday</v>
      </c>
      <c r="J90" t="str" cm="1">
        <f t="array" ref="J90">_xlfn.IFS(calls[[#This Row],[Duration]]&lt;=10,"UNDER 10 MINS",calls[[#This Row],[Duration]]&lt;=30,"10 TO 30 MINS",calls[[#This Row],[Duration]]&lt;=60,"30 TO 60 MINS",calls[[#This Row],[Duration]]&lt;=120,"1 TO 2 HRS",TRUE,"MORE THAN 2 HRS")</f>
        <v>1 TO 2 HRS</v>
      </c>
      <c r="K90">
        <f>ROUND(calls[[#This Row],[Satisfaction Rating]],0)</f>
        <v>5</v>
      </c>
    </row>
    <row r="91" spans="1:11" x14ac:dyDescent="0.3">
      <c r="A91" s="41" t="s">
        <v>1142</v>
      </c>
      <c r="B91" s="10" t="s">
        <v>1076</v>
      </c>
      <c r="C91" s="10">
        <v>100</v>
      </c>
      <c r="D91" s="39" t="s">
        <v>1038</v>
      </c>
      <c r="E91" s="40">
        <v>44959</v>
      </c>
      <c r="F91" s="10">
        <v>135</v>
      </c>
      <c r="G91" s="42">
        <v>4</v>
      </c>
      <c r="H91">
        <f>IF(MONTH(calls[[#This Row],[Date of Call]])&lt;=6,YEAR(calls[[#This Row],[Date of Call]]),YEAR(calls[[#This Row],[Date of Call]])+1)</f>
        <v>2023</v>
      </c>
      <c r="I91" t="str">
        <f>TEXT(calls[[#This Row],[Date of Call]],"DDDD")</f>
        <v>Thursday</v>
      </c>
      <c r="J91" t="str" cm="1">
        <f t="array" ref="J91">_xlfn.IFS(calls[[#This Row],[Duration]]&lt;=10,"UNDER 10 MINS",calls[[#This Row],[Duration]]&lt;=30,"10 TO 30 MINS",calls[[#This Row],[Duration]]&lt;=60,"30 TO 60 MINS",calls[[#This Row],[Duration]]&lt;=120,"1 TO 2 HRS",TRUE,"MORE THAN 2 HRS")</f>
        <v>1 TO 2 HRS</v>
      </c>
      <c r="K91">
        <f>ROUND(calls[[#This Row],[Satisfaction Rating]],0)</f>
        <v>4</v>
      </c>
    </row>
    <row r="92" spans="1:11" x14ac:dyDescent="0.3">
      <c r="A92" s="41" t="s">
        <v>1143</v>
      </c>
      <c r="B92" s="10" t="s">
        <v>1040</v>
      </c>
      <c r="C92" s="10">
        <v>47</v>
      </c>
      <c r="D92" s="39" t="s">
        <v>1043</v>
      </c>
      <c r="E92" s="40">
        <v>44959</v>
      </c>
      <c r="F92" s="10">
        <v>34</v>
      </c>
      <c r="G92" s="42">
        <v>2.1</v>
      </c>
      <c r="H92">
        <f>IF(MONTH(calls[[#This Row],[Date of Call]])&lt;=6,YEAR(calls[[#This Row],[Date of Call]]),YEAR(calls[[#This Row],[Date of Call]])+1)</f>
        <v>2023</v>
      </c>
      <c r="I92" t="str">
        <f>TEXT(calls[[#This Row],[Date of Call]],"DDDD")</f>
        <v>Thursday</v>
      </c>
      <c r="J92" t="str" cm="1">
        <f t="array" ref="J92">_xlfn.IFS(calls[[#This Row],[Duration]]&lt;=10,"UNDER 10 MINS",calls[[#This Row],[Duration]]&lt;=30,"10 TO 30 MINS",calls[[#This Row],[Duration]]&lt;=60,"30 TO 60 MINS",calls[[#This Row],[Duration]]&lt;=120,"1 TO 2 HRS",TRUE,"MORE THAN 2 HRS")</f>
        <v>30 TO 60 MINS</v>
      </c>
      <c r="K92">
        <f>ROUND(calls[[#This Row],[Satisfaction Rating]],0)</f>
        <v>2</v>
      </c>
    </row>
    <row r="93" spans="1:11" x14ac:dyDescent="0.3">
      <c r="A93" s="41" t="s">
        <v>1144</v>
      </c>
      <c r="B93" s="10" t="s">
        <v>1109</v>
      </c>
      <c r="C93" s="10">
        <v>87</v>
      </c>
      <c r="D93" s="39" t="s">
        <v>1048</v>
      </c>
      <c r="E93" s="40">
        <v>44959</v>
      </c>
      <c r="F93" s="10">
        <v>155</v>
      </c>
      <c r="G93" s="42">
        <v>4.5</v>
      </c>
      <c r="H93">
        <f>IF(MONTH(calls[[#This Row],[Date of Call]])&lt;=6,YEAR(calls[[#This Row],[Date of Call]]),YEAR(calls[[#This Row],[Date of Call]])+1)</f>
        <v>2023</v>
      </c>
      <c r="I93" t="str">
        <f>TEXT(calls[[#This Row],[Date of Call]],"DDDD")</f>
        <v>Thursday</v>
      </c>
      <c r="J93" t="str" cm="1">
        <f t="array" ref="J93">_xlfn.IFS(calls[[#This Row],[Duration]]&lt;=10,"UNDER 10 MINS",calls[[#This Row],[Duration]]&lt;=30,"10 TO 30 MINS",calls[[#This Row],[Duration]]&lt;=60,"30 TO 60 MINS",calls[[#This Row],[Duration]]&lt;=120,"1 TO 2 HRS",TRUE,"MORE THAN 2 HRS")</f>
        <v>1 TO 2 HRS</v>
      </c>
      <c r="K93">
        <f>ROUND(calls[[#This Row],[Satisfaction Rating]],0)</f>
        <v>5</v>
      </c>
    </row>
    <row r="94" spans="1:11" x14ac:dyDescent="0.3">
      <c r="A94" s="41" t="s">
        <v>1145</v>
      </c>
      <c r="B94" s="10" t="s">
        <v>1045</v>
      </c>
      <c r="C94" s="10">
        <v>143</v>
      </c>
      <c r="D94" s="39" t="s">
        <v>1048</v>
      </c>
      <c r="E94" s="40">
        <v>44961</v>
      </c>
      <c r="F94" s="10">
        <v>124</v>
      </c>
      <c r="G94" s="42">
        <v>4.9000000000000004</v>
      </c>
      <c r="H94">
        <f>IF(MONTH(calls[[#This Row],[Date of Call]])&lt;=6,YEAR(calls[[#This Row],[Date of Call]]),YEAR(calls[[#This Row],[Date of Call]])+1)</f>
        <v>2023</v>
      </c>
      <c r="I94" t="str">
        <f>TEXT(calls[[#This Row],[Date of Call]],"DDDD")</f>
        <v>Saturday</v>
      </c>
      <c r="J94" t="str" cm="1">
        <f t="array" ref="J94">_xlfn.IFS(calls[[#This Row],[Duration]]&lt;=10,"UNDER 10 MINS",calls[[#This Row],[Duration]]&lt;=30,"10 TO 30 MINS",calls[[#This Row],[Duration]]&lt;=60,"30 TO 60 MINS",calls[[#This Row],[Duration]]&lt;=120,"1 TO 2 HRS",TRUE,"MORE THAN 2 HRS")</f>
        <v>MORE THAN 2 HRS</v>
      </c>
      <c r="K94">
        <f>ROUND(calls[[#This Row],[Satisfaction Rating]],0)</f>
        <v>5</v>
      </c>
    </row>
    <row r="95" spans="1:11" x14ac:dyDescent="0.3">
      <c r="A95" s="41" t="s">
        <v>1146</v>
      </c>
      <c r="B95" s="10" t="s">
        <v>1076</v>
      </c>
      <c r="C95" s="10">
        <v>84</v>
      </c>
      <c r="D95" s="39" t="s">
        <v>1038</v>
      </c>
      <c r="E95" s="40">
        <v>44961</v>
      </c>
      <c r="F95" s="10">
        <v>195</v>
      </c>
      <c r="G95" s="42">
        <v>4.0999999999999996</v>
      </c>
      <c r="H95">
        <f>IF(MONTH(calls[[#This Row],[Date of Call]])&lt;=6,YEAR(calls[[#This Row],[Date of Call]]),YEAR(calls[[#This Row],[Date of Call]])+1)</f>
        <v>2023</v>
      </c>
      <c r="I95" t="str">
        <f>TEXT(calls[[#This Row],[Date of Call]],"DDDD")</f>
        <v>Saturday</v>
      </c>
      <c r="J95" t="str" cm="1">
        <f t="array" ref="J95">_xlfn.IFS(calls[[#This Row],[Duration]]&lt;=10,"UNDER 10 MINS",calls[[#This Row],[Duration]]&lt;=30,"10 TO 30 MINS",calls[[#This Row],[Duration]]&lt;=60,"30 TO 60 MINS",calls[[#This Row],[Duration]]&lt;=120,"1 TO 2 HRS",TRUE,"MORE THAN 2 HRS")</f>
        <v>1 TO 2 HRS</v>
      </c>
      <c r="K95">
        <f>ROUND(calls[[#This Row],[Satisfaction Rating]],0)</f>
        <v>4</v>
      </c>
    </row>
    <row r="96" spans="1:11" x14ac:dyDescent="0.3">
      <c r="A96" s="41" t="s">
        <v>1147</v>
      </c>
      <c r="B96" s="10" t="s">
        <v>1089</v>
      </c>
      <c r="C96" s="10">
        <v>55</v>
      </c>
      <c r="D96" s="39" t="s">
        <v>1048</v>
      </c>
      <c r="E96" s="40">
        <v>44962</v>
      </c>
      <c r="F96" s="10">
        <v>78</v>
      </c>
      <c r="G96" s="42">
        <v>4.5</v>
      </c>
      <c r="H96">
        <f>IF(MONTH(calls[[#This Row],[Date of Call]])&lt;=6,YEAR(calls[[#This Row],[Date of Call]]),YEAR(calls[[#This Row],[Date of Call]])+1)</f>
        <v>2023</v>
      </c>
      <c r="I96" t="str">
        <f>TEXT(calls[[#This Row],[Date of Call]],"DDDD")</f>
        <v>Sunday</v>
      </c>
      <c r="J96" t="str" cm="1">
        <f t="array" ref="J96">_xlfn.IFS(calls[[#This Row],[Duration]]&lt;=10,"UNDER 10 MINS",calls[[#This Row],[Duration]]&lt;=30,"10 TO 30 MINS",calls[[#This Row],[Duration]]&lt;=60,"30 TO 60 MINS",calls[[#This Row],[Duration]]&lt;=120,"1 TO 2 HRS",TRUE,"MORE THAN 2 HRS")</f>
        <v>30 TO 60 MINS</v>
      </c>
      <c r="K96">
        <f>ROUND(calls[[#This Row],[Satisfaction Rating]],0)</f>
        <v>5</v>
      </c>
    </row>
    <row r="97" spans="1:11" x14ac:dyDescent="0.3">
      <c r="A97" s="41" t="s">
        <v>1148</v>
      </c>
      <c r="B97" s="10" t="s">
        <v>1051</v>
      </c>
      <c r="C97" s="10">
        <v>135</v>
      </c>
      <c r="D97" s="39" t="s">
        <v>1053</v>
      </c>
      <c r="E97" s="40">
        <v>44964</v>
      </c>
      <c r="F97" s="10">
        <v>35</v>
      </c>
      <c r="G97" s="42">
        <v>4.8</v>
      </c>
      <c r="H97">
        <f>IF(MONTH(calls[[#This Row],[Date of Call]])&lt;=6,YEAR(calls[[#This Row],[Date of Call]]),YEAR(calls[[#This Row],[Date of Call]])+1)</f>
        <v>2023</v>
      </c>
      <c r="I97" t="str">
        <f>TEXT(calls[[#This Row],[Date of Call]],"DDDD")</f>
        <v>Tuesday</v>
      </c>
      <c r="J97" t="str" cm="1">
        <f t="array" ref="J97">_xlfn.IFS(calls[[#This Row],[Duration]]&lt;=10,"UNDER 10 MINS",calls[[#This Row],[Duration]]&lt;=30,"10 TO 30 MINS",calls[[#This Row],[Duration]]&lt;=60,"30 TO 60 MINS",calls[[#This Row],[Duration]]&lt;=120,"1 TO 2 HRS",TRUE,"MORE THAN 2 HRS")</f>
        <v>MORE THAN 2 HRS</v>
      </c>
      <c r="K97">
        <f>ROUND(calls[[#This Row],[Satisfaction Rating]],0)</f>
        <v>5</v>
      </c>
    </row>
    <row r="98" spans="1:11" x14ac:dyDescent="0.3">
      <c r="A98" s="41" t="s">
        <v>1149</v>
      </c>
      <c r="B98" s="10" t="s">
        <v>1079</v>
      </c>
      <c r="C98" s="10">
        <v>152</v>
      </c>
      <c r="D98" s="39" t="s">
        <v>1043</v>
      </c>
      <c r="E98" s="40">
        <v>44964</v>
      </c>
      <c r="F98" s="10">
        <v>123</v>
      </c>
      <c r="G98" s="42">
        <v>4.5999999999999996</v>
      </c>
      <c r="H98">
        <f>IF(MONTH(calls[[#This Row],[Date of Call]])&lt;=6,YEAR(calls[[#This Row],[Date of Call]]),YEAR(calls[[#This Row],[Date of Call]])+1)</f>
        <v>2023</v>
      </c>
      <c r="I98" t="str">
        <f>TEXT(calls[[#This Row],[Date of Call]],"DDDD")</f>
        <v>Tuesday</v>
      </c>
      <c r="J98" t="str" cm="1">
        <f t="array" ref="J98">_xlfn.IFS(calls[[#This Row],[Duration]]&lt;=10,"UNDER 10 MINS",calls[[#This Row],[Duration]]&lt;=30,"10 TO 30 MINS",calls[[#This Row],[Duration]]&lt;=60,"30 TO 60 MINS",calls[[#This Row],[Duration]]&lt;=120,"1 TO 2 HRS",TRUE,"MORE THAN 2 HRS")</f>
        <v>MORE THAN 2 HRS</v>
      </c>
      <c r="K98">
        <f>ROUND(calls[[#This Row],[Satisfaction Rating]],0)</f>
        <v>5</v>
      </c>
    </row>
    <row r="99" spans="1:11" x14ac:dyDescent="0.3">
      <c r="A99" s="41" t="s">
        <v>1150</v>
      </c>
      <c r="B99" s="10" t="s">
        <v>1042</v>
      </c>
      <c r="C99" s="10">
        <v>132</v>
      </c>
      <c r="D99" s="39" t="s">
        <v>1043</v>
      </c>
      <c r="E99" s="40">
        <v>44964</v>
      </c>
      <c r="F99" s="10">
        <v>43</v>
      </c>
      <c r="G99" s="42">
        <v>4.5999999999999996</v>
      </c>
      <c r="H99">
        <f>IF(MONTH(calls[[#This Row],[Date of Call]])&lt;=6,YEAR(calls[[#This Row],[Date of Call]]),YEAR(calls[[#This Row],[Date of Call]])+1)</f>
        <v>2023</v>
      </c>
      <c r="I99" t="str">
        <f>TEXT(calls[[#This Row],[Date of Call]],"DDDD")</f>
        <v>Tuesday</v>
      </c>
      <c r="J99" t="str" cm="1">
        <f t="array" ref="J99">_xlfn.IFS(calls[[#This Row],[Duration]]&lt;=10,"UNDER 10 MINS",calls[[#This Row],[Duration]]&lt;=30,"10 TO 30 MINS",calls[[#This Row],[Duration]]&lt;=60,"30 TO 60 MINS",calls[[#This Row],[Duration]]&lt;=120,"1 TO 2 HRS",TRUE,"MORE THAN 2 HRS")</f>
        <v>MORE THAN 2 HRS</v>
      </c>
      <c r="K99">
        <f>ROUND(calls[[#This Row],[Satisfaction Rating]],0)</f>
        <v>5</v>
      </c>
    </row>
    <row r="100" spans="1:11" x14ac:dyDescent="0.3">
      <c r="A100" s="41" t="s">
        <v>1151</v>
      </c>
      <c r="B100" s="10" t="s">
        <v>1071</v>
      </c>
      <c r="C100" s="10">
        <v>60</v>
      </c>
      <c r="D100" s="39" t="s">
        <v>1038</v>
      </c>
      <c r="E100" s="40">
        <v>44965</v>
      </c>
      <c r="F100" s="10">
        <v>69</v>
      </c>
      <c r="G100" s="42">
        <v>4.3</v>
      </c>
      <c r="H100">
        <f>IF(MONTH(calls[[#This Row],[Date of Call]])&lt;=6,YEAR(calls[[#This Row],[Date of Call]]),YEAR(calls[[#This Row],[Date of Call]])+1)</f>
        <v>2023</v>
      </c>
      <c r="I100" t="str">
        <f>TEXT(calls[[#This Row],[Date of Call]],"DDDD")</f>
        <v>Wednesday</v>
      </c>
      <c r="J100" t="str" cm="1">
        <f t="array" ref="J100">_xlfn.IFS(calls[[#This Row],[Duration]]&lt;=10,"UNDER 10 MINS",calls[[#This Row],[Duration]]&lt;=30,"10 TO 30 MINS",calls[[#This Row],[Duration]]&lt;=60,"30 TO 60 MINS",calls[[#This Row],[Duration]]&lt;=120,"1 TO 2 HRS",TRUE,"MORE THAN 2 HRS")</f>
        <v>30 TO 60 MINS</v>
      </c>
      <c r="K100">
        <f>ROUND(calls[[#This Row],[Satisfaction Rating]],0)</f>
        <v>4</v>
      </c>
    </row>
    <row r="101" spans="1:11" x14ac:dyDescent="0.3">
      <c r="A101" s="41" t="s">
        <v>1152</v>
      </c>
      <c r="B101" s="10" t="s">
        <v>1079</v>
      </c>
      <c r="C101" s="10">
        <v>95</v>
      </c>
      <c r="D101" s="39" t="s">
        <v>1043</v>
      </c>
      <c r="E101" s="40">
        <v>44965</v>
      </c>
      <c r="F101" s="10">
        <v>130</v>
      </c>
      <c r="G101" s="42">
        <v>5</v>
      </c>
      <c r="H101">
        <f>IF(MONTH(calls[[#This Row],[Date of Call]])&lt;=6,YEAR(calls[[#This Row],[Date of Call]]),YEAR(calls[[#This Row],[Date of Call]])+1)</f>
        <v>2023</v>
      </c>
      <c r="I101" t="str">
        <f>TEXT(calls[[#This Row],[Date of Call]],"DDDD")</f>
        <v>Wednesday</v>
      </c>
      <c r="J101" t="str" cm="1">
        <f t="array" ref="J101">_xlfn.IFS(calls[[#This Row],[Duration]]&lt;=10,"UNDER 10 MINS",calls[[#This Row],[Duration]]&lt;=30,"10 TO 30 MINS",calls[[#This Row],[Duration]]&lt;=60,"30 TO 60 MINS",calls[[#This Row],[Duration]]&lt;=120,"1 TO 2 HRS",TRUE,"MORE THAN 2 HRS")</f>
        <v>1 TO 2 HRS</v>
      </c>
      <c r="K101">
        <f>ROUND(calls[[#This Row],[Satisfaction Rating]],0)</f>
        <v>5</v>
      </c>
    </row>
    <row r="102" spans="1:11" x14ac:dyDescent="0.3">
      <c r="A102" s="41" t="s">
        <v>1153</v>
      </c>
      <c r="B102" s="10" t="s">
        <v>1037</v>
      </c>
      <c r="C102" s="10">
        <v>96</v>
      </c>
      <c r="D102" s="39" t="s">
        <v>1057</v>
      </c>
      <c r="E102" s="40">
        <v>44965</v>
      </c>
      <c r="F102" s="10">
        <v>120</v>
      </c>
      <c r="G102" s="42">
        <v>4</v>
      </c>
      <c r="H102">
        <f>IF(MONTH(calls[[#This Row],[Date of Call]])&lt;=6,YEAR(calls[[#This Row],[Date of Call]]),YEAR(calls[[#This Row],[Date of Call]])+1)</f>
        <v>2023</v>
      </c>
      <c r="I102" t="str">
        <f>TEXT(calls[[#This Row],[Date of Call]],"DDDD")</f>
        <v>Wednesday</v>
      </c>
      <c r="J102" t="str" cm="1">
        <f t="array" ref="J102">_xlfn.IFS(calls[[#This Row],[Duration]]&lt;=10,"UNDER 10 MINS",calls[[#This Row],[Duration]]&lt;=30,"10 TO 30 MINS",calls[[#This Row],[Duration]]&lt;=60,"30 TO 60 MINS",calls[[#This Row],[Duration]]&lt;=120,"1 TO 2 HRS",TRUE,"MORE THAN 2 HRS")</f>
        <v>1 TO 2 HRS</v>
      </c>
      <c r="K102">
        <f>ROUND(calls[[#This Row],[Satisfaction Rating]],0)</f>
        <v>4</v>
      </c>
    </row>
    <row r="103" spans="1:11" x14ac:dyDescent="0.3">
      <c r="A103" s="41" t="s">
        <v>1154</v>
      </c>
      <c r="B103" s="10" t="s">
        <v>1089</v>
      </c>
      <c r="C103" s="10">
        <v>45</v>
      </c>
      <c r="D103" s="39" t="s">
        <v>1038</v>
      </c>
      <c r="E103" s="40">
        <v>44966</v>
      </c>
      <c r="F103" s="10">
        <v>84</v>
      </c>
      <c r="G103" s="42">
        <v>4.5999999999999996</v>
      </c>
      <c r="H103">
        <f>IF(MONTH(calls[[#This Row],[Date of Call]])&lt;=6,YEAR(calls[[#This Row],[Date of Call]]),YEAR(calls[[#This Row],[Date of Call]])+1)</f>
        <v>2023</v>
      </c>
      <c r="I103" t="str">
        <f>TEXT(calls[[#This Row],[Date of Call]],"DDDD")</f>
        <v>Thursday</v>
      </c>
      <c r="J103" t="str" cm="1">
        <f t="array" ref="J103">_xlfn.IFS(calls[[#This Row],[Duration]]&lt;=10,"UNDER 10 MINS",calls[[#This Row],[Duration]]&lt;=30,"10 TO 30 MINS",calls[[#This Row],[Duration]]&lt;=60,"30 TO 60 MINS",calls[[#This Row],[Duration]]&lt;=120,"1 TO 2 HRS",TRUE,"MORE THAN 2 HRS")</f>
        <v>30 TO 60 MINS</v>
      </c>
      <c r="K103">
        <f>ROUND(calls[[#This Row],[Satisfaction Rating]],0)</f>
        <v>5</v>
      </c>
    </row>
    <row r="104" spans="1:11" x14ac:dyDescent="0.3">
      <c r="A104" s="41" t="s">
        <v>1155</v>
      </c>
      <c r="B104" s="10" t="s">
        <v>1037</v>
      </c>
      <c r="C104" s="10">
        <v>132</v>
      </c>
      <c r="D104" s="39" t="s">
        <v>1057</v>
      </c>
      <c r="E104" s="40">
        <v>44967</v>
      </c>
      <c r="F104" s="10">
        <v>112</v>
      </c>
      <c r="G104" s="42">
        <v>4.5</v>
      </c>
      <c r="H104">
        <f>IF(MONTH(calls[[#This Row],[Date of Call]])&lt;=6,YEAR(calls[[#This Row],[Date of Call]]),YEAR(calls[[#This Row],[Date of Call]])+1)</f>
        <v>2023</v>
      </c>
      <c r="I104" t="str">
        <f>TEXT(calls[[#This Row],[Date of Call]],"DDDD")</f>
        <v>Friday</v>
      </c>
      <c r="J104" t="str" cm="1">
        <f t="array" ref="J104">_xlfn.IFS(calls[[#This Row],[Duration]]&lt;=10,"UNDER 10 MINS",calls[[#This Row],[Duration]]&lt;=30,"10 TO 30 MINS",calls[[#This Row],[Duration]]&lt;=60,"30 TO 60 MINS",calls[[#This Row],[Duration]]&lt;=120,"1 TO 2 HRS",TRUE,"MORE THAN 2 HRS")</f>
        <v>MORE THAN 2 HRS</v>
      </c>
      <c r="K104">
        <f>ROUND(calls[[#This Row],[Satisfaction Rating]],0)</f>
        <v>5</v>
      </c>
    </row>
    <row r="105" spans="1:11" x14ac:dyDescent="0.3">
      <c r="A105" s="41" t="s">
        <v>1156</v>
      </c>
      <c r="B105" s="10" t="s">
        <v>1060</v>
      </c>
      <c r="C105" s="10">
        <v>95</v>
      </c>
      <c r="D105" s="39" t="s">
        <v>1038</v>
      </c>
      <c r="E105" s="40">
        <v>44967</v>
      </c>
      <c r="F105" s="10">
        <v>66</v>
      </c>
      <c r="G105" s="42">
        <v>4.5999999999999996</v>
      </c>
      <c r="H105">
        <f>IF(MONTH(calls[[#This Row],[Date of Call]])&lt;=6,YEAR(calls[[#This Row],[Date of Call]]),YEAR(calls[[#This Row],[Date of Call]])+1)</f>
        <v>2023</v>
      </c>
      <c r="I105" t="str">
        <f>TEXT(calls[[#This Row],[Date of Call]],"DDDD")</f>
        <v>Friday</v>
      </c>
      <c r="J105" t="str" cm="1">
        <f t="array" ref="J105">_xlfn.IFS(calls[[#This Row],[Duration]]&lt;=10,"UNDER 10 MINS",calls[[#This Row],[Duration]]&lt;=30,"10 TO 30 MINS",calls[[#This Row],[Duration]]&lt;=60,"30 TO 60 MINS",calls[[#This Row],[Duration]]&lt;=120,"1 TO 2 HRS",TRUE,"MORE THAN 2 HRS")</f>
        <v>1 TO 2 HRS</v>
      </c>
      <c r="K105">
        <f>ROUND(calls[[#This Row],[Satisfaction Rating]],0)</f>
        <v>5</v>
      </c>
    </row>
    <row r="106" spans="1:11" x14ac:dyDescent="0.3">
      <c r="A106" s="41" t="s">
        <v>1157</v>
      </c>
      <c r="B106" s="10" t="s">
        <v>1079</v>
      </c>
      <c r="C106" s="10">
        <v>131</v>
      </c>
      <c r="D106" s="39" t="s">
        <v>1048</v>
      </c>
      <c r="E106" s="40">
        <v>44967</v>
      </c>
      <c r="F106" s="10">
        <v>172</v>
      </c>
      <c r="G106" s="42">
        <v>2.6</v>
      </c>
      <c r="H106">
        <f>IF(MONTH(calls[[#This Row],[Date of Call]])&lt;=6,YEAR(calls[[#This Row],[Date of Call]]),YEAR(calls[[#This Row],[Date of Call]])+1)</f>
        <v>2023</v>
      </c>
      <c r="I106" t="str">
        <f>TEXT(calls[[#This Row],[Date of Call]],"DDDD")</f>
        <v>Friday</v>
      </c>
      <c r="J106" t="str" cm="1">
        <f t="array" ref="J106">_xlfn.IFS(calls[[#This Row],[Duration]]&lt;=10,"UNDER 10 MINS",calls[[#This Row],[Duration]]&lt;=30,"10 TO 30 MINS",calls[[#This Row],[Duration]]&lt;=60,"30 TO 60 MINS",calls[[#This Row],[Duration]]&lt;=120,"1 TO 2 HRS",TRUE,"MORE THAN 2 HRS")</f>
        <v>MORE THAN 2 HRS</v>
      </c>
      <c r="K106">
        <f>ROUND(calls[[#This Row],[Satisfaction Rating]],0)</f>
        <v>3</v>
      </c>
    </row>
    <row r="107" spans="1:11" x14ac:dyDescent="0.3">
      <c r="A107" s="41" t="s">
        <v>1158</v>
      </c>
      <c r="B107" s="10" t="s">
        <v>1068</v>
      </c>
      <c r="C107" s="10">
        <v>67</v>
      </c>
      <c r="D107" s="39" t="s">
        <v>1053</v>
      </c>
      <c r="E107" s="40">
        <v>44968</v>
      </c>
      <c r="F107" s="10">
        <v>24</v>
      </c>
      <c r="G107" s="42">
        <v>4.3</v>
      </c>
      <c r="H107">
        <f>IF(MONTH(calls[[#This Row],[Date of Call]])&lt;=6,YEAR(calls[[#This Row],[Date of Call]]),YEAR(calls[[#This Row],[Date of Call]])+1)</f>
        <v>2023</v>
      </c>
      <c r="I107" t="str">
        <f>TEXT(calls[[#This Row],[Date of Call]],"DDDD")</f>
        <v>Saturday</v>
      </c>
      <c r="J107" t="str" cm="1">
        <f t="array" ref="J107">_xlfn.IFS(calls[[#This Row],[Duration]]&lt;=10,"UNDER 10 MINS",calls[[#This Row],[Duration]]&lt;=30,"10 TO 30 MINS",calls[[#This Row],[Duration]]&lt;=60,"30 TO 60 MINS",calls[[#This Row],[Duration]]&lt;=120,"1 TO 2 HRS",TRUE,"MORE THAN 2 HRS")</f>
        <v>1 TO 2 HRS</v>
      </c>
      <c r="K107">
        <f>ROUND(calls[[#This Row],[Satisfaction Rating]],0)</f>
        <v>4</v>
      </c>
    </row>
    <row r="108" spans="1:11" x14ac:dyDescent="0.3">
      <c r="A108" s="41" t="s">
        <v>1159</v>
      </c>
      <c r="B108" s="10" t="s">
        <v>1045</v>
      </c>
      <c r="C108" s="10">
        <v>111</v>
      </c>
      <c r="D108" s="39" t="s">
        <v>1048</v>
      </c>
      <c r="E108" s="40">
        <v>44969</v>
      </c>
      <c r="F108" s="10">
        <v>43</v>
      </c>
      <c r="G108" s="42">
        <v>3.9</v>
      </c>
      <c r="H108">
        <f>IF(MONTH(calls[[#This Row],[Date of Call]])&lt;=6,YEAR(calls[[#This Row],[Date of Call]]),YEAR(calls[[#This Row],[Date of Call]])+1)</f>
        <v>2023</v>
      </c>
      <c r="I108" t="str">
        <f>TEXT(calls[[#This Row],[Date of Call]],"DDDD")</f>
        <v>Sunday</v>
      </c>
      <c r="J108" t="str" cm="1">
        <f t="array" ref="J108">_xlfn.IFS(calls[[#This Row],[Duration]]&lt;=10,"UNDER 10 MINS",calls[[#This Row],[Duration]]&lt;=30,"10 TO 30 MINS",calls[[#This Row],[Duration]]&lt;=60,"30 TO 60 MINS",calls[[#This Row],[Duration]]&lt;=120,"1 TO 2 HRS",TRUE,"MORE THAN 2 HRS")</f>
        <v>1 TO 2 HRS</v>
      </c>
      <c r="K108">
        <f>ROUND(calls[[#This Row],[Satisfaction Rating]],0)</f>
        <v>4</v>
      </c>
    </row>
    <row r="109" spans="1:11" x14ac:dyDescent="0.3">
      <c r="A109" s="41" t="s">
        <v>1160</v>
      </c>
      <c r="B109" s="10" t="s">
        <v>1042</v>
      </c>
      <c r="C109" s="10">
        <v>78</v>
      </c>
      <c r="D109" s="39" t="s">
        <v>1043</v>
      </c>
      <c r="E109" s="40">
        <v>44969</v>
      </c>
      <c r="F109" s="10">
        <v>23</v>
      </c>
      <c r="G109" s="42">
        <v>5</v>
      </c>
      <c r="H109">
        <f>IF(MONTH(calls[[#This Row],[Date of Call]])&lt;=6,YEAR(calls[[#This Row],[Date of Call]]),YEAR(calls[[#This Row],[Date of Call]])+1)</f>
        <v>2023</v>
      </c>
      <c r="I109" t="str">
        <f>TEXT(calls[[#This Row],[Date of Call]],"DDDD")</f>
        <v>Sunday</v>
      </c>
      <c r="J109" t="str" cm="1">
        <f t="array" ref="J109">_xlfn.IFS(calls[[#This Row],[Duration]]&lt;=10,"UNDER 10 MINS",calls[[#This Row],[Duration]]&lt;=30,"10 TO 30 MINS",calls[[#This Row],[Duration]]&lt;=60,"30 TO 60 MINS",calls[[#This Row],[Duration]]&lt;=120,"1 TO 2 HRS",TRUE,"MORE THAN 2 HRS")</f>
        <v>1 TO 2 HRS</v>
      </c>
      <c r="K109">
        <f>ROUND(calls[[#This Row],[Satisfaction Rating]],0)</f>
        <v>5</v>
      </c>
    </row>
    <row r="110" spans="1:11" x14ac:dyDescent="0.3">
      <c r="A110" s="41" t="s">
        <v>1161</v>
      </c>
      <c r="B110" s="10" t="s">
        <v>1062</v>
      </c>
      <c r="C110" s="10">
        <v>28</v>
      </c>
      <c r="D110" s="39" t="s">
        <v>1057</v>
      </c>
      <c r="E110" s="40">
        <v>44969</v>
      </c>
      <c r="F110" s="10">
        <v>74</v>
      </c>
      <c r="G110" s="42">
        <v>3.5</v>
      </c>
      <c r="H110">
        <f>IF(MONTH(calls[[#This Row],[Date of Call]])&lt;=6,YEAR(calls[[#This Row],[Date of Call]]),YEAR(calls[[#This Row],[Date of Call]])+1)</f>
        <v>2023</v>
      </c>
      <c r="I110" t="str">
        <f>TEXT(calls[[#This Row],[Date of Call]],"DDDD")</f>
        <v>Sunday</v>
      </c>
      <c r="J110" t="str" cm="1">
        <f t="array" ref="J110">_xlfn.IFS(calls[[#This Row],[Duration]]&lt;=10,"UNDER 10 MINS",calls[[#This Row],[Duration]]&lt;=30,"10 TO 30 MINS",calls[[#This Row],[Duration]]&lt;=60,"30 TO 60 MINS",calls[[#This Row],[Duration]]&lt;=120,"1 TO 2 HRS",TRUE,"MORE THAN 2 HRS")</f>
        <v>10 TO 30 MINS</v>
      </c>
      <c r="K110">
        <f>ROUND(calls[[#This Row],[Satisfaction Rating]],0)</f>
        <v>4</v>
      </c>
    </row>
    <row r="111" spans="1:11" x14ac:dyDescent="0.3">
      <c r="A111" s="41" t="s">
        <v>1162</v>
      </c>
      <c r="B111" s="10" t="s">
        <v>1040</v>
      </c>
      <c r="C111" s="10">
        <v>127</v>
      </c>
      <c r="D111" s="39" t="s">
        <v>1053</v>
      </c>
      <c r="E111" s="40">
        <v>44970</v>
      </c>
      <c r="F111" s="10">
        <v>165</v>
      </c>
      <c r="G111" s="42">
        <v>4.7</v>
      </c>
      <c r="H111">
        <f>IF(MONTH(calls[[#This Row],[Date of Call]])&lt;=6,YEAR(calls[[#This Row],[Date of Call]]),YEAR(calls[[#This Row],[Date of Call]])+1)</f>
        <v>2023</v>
      </c>
      <c r="I111" t="str">
        <f>TEXT(calls[[#This Row],[Date of Call]],"DDDD")</f>
        <v>Monday</v>
      </c>
      <c r="J111" t="str" cm="1">
        <f t="array" ref="J111">_xlfn.IFS(calls[[#This Row],[Duration]]&lt;=10,"UNDER 10 MINS",calls[[#This Row],[Duration]]&lt;=30,"10 TO 30 MINS",calls[[#This Row],[Duration]]&lt;=60,"30 TO 60 MINS",calls[[#This Row],[Duration]]&lt;=120,"1 TO 2 HRS",TRUE,"MORE THAN 2 HRS")</f>
        <v>MORE THAN 2 HRS</v>
      </c>
      <c r="K111">
        <f>ROUND(calls[[#This Row],[Satisfaction Rating]],0)</f>
        <v>5</v>
      </c>
    </row>
    <row r="112" spans="1:11" x14ac:dyDescent="0.3">
      <c r="A112" s="41" t="s">
        <v>1163</v>
      </c>
      <c r="B112" s="10" t="s">
        <v>1076</v>
      </c>
      <c r="C112" s="10">
        <v>137</v>
      </c>
      <c r="D112" s="39" t="s">
        <v>1048</v>
      </c>
      <c r="E112" s="40">
        <v>44970</v>
      </c>
      <c r="F112" s="10">
        <v>34</v>
      </c>
      <c r="G112" s="42">
        <v>2.9</v>
      </c>
      <c r="H112">
        <f>IF(MONTH(calls[[#This Row],[Date of Call]])&lt;=6,YEAR(calls[[#This Row],[Date of Call]]),YEAR(calls[[#This Row],[Date of Call]])+1)</f>
        <v>2023</v>
      </c>
      <c r="I112" t="str">
        <f>TEXT(calls[[#This Row],[Date of Call]],"DDDD")</f>
        <v>Monday</v>
      </c>
      <c r="J112" t="str" cm="1">
        <f t="array" ref="J112">_xlfn.IFS(calls[[#This Row],[Duration]]&lt;=10,"UNDER 10 MINS",calls[[#This Row],[Duration]]&lt;=30,"10 TO 30 MINS",calls[[#This Row],[Duration]]&lt;=60,"30 TO 60 MINS",calls[[#This Row],[Duration]]&lt;=120,"1 TO 2 HRS",TRUE,"MORE THAN 2 HRS")</f>
        <v>MORE THAN 2 HRS</v>
      </c>
      <c r="K112">
        <f>ROUND(calls[[#This Row],[Satisfaction Rating]],0)</f>
        <v>3</v>
      </c>
    </row>
    <row r="113" spans="1:11" x14ac:dyDescent="0.3">
      <c r="A113" s="41" t="s">
        <v>1164</v>
      </c>
      <c r="B113" s="10" t="s">
        <v>1040</v>
      </c>
      <c r="C113" s="10">
        <v>76</v>
      </c>
      <c r="D113" s="39" t="s">
        <v>1057</v>
      </c>
      <c r="E113" s="40">
        <v>44970</v>
      </c>
      <c r="F113" s="10">
        <v>64</v>
      </c>
      <c r="G113" s="42">
        <v>3.4</v>
      </c>
      <c r="H113">
        <f>IF(MONTH(calls[[#This Row],[Date of Call]])&lt;=6,YEAR(calls[[#This Row],[Date of Call]]),YEAR(calls[[#This Row],[Date of Call]])+1)</f>
        <v>2023</v>
      </c>
      <c r="I113" t="str">
        <f>TEXT(calls[[#This Row],[Date of Call]],"DDDD")</f>
        <v>Monday</v>
      </c>
      <c r="J113" t="str" cm="1">
        <f t="array" ref="J113">_xlfn.IFS(calls[[#This Row],[Duration]]&lt;=10,"UNDER 10 MINS",calls[[#This Row],[Duration]]&lt;=30,"10 TO 30 MINS",calls[[#This Row],[Duration]]&lt;=60,"30 TO 60 MINS",calls[[#This Row],[Duration]]&lt;=120,"1 TO 2 HRS",TRUE,"MORE THAN 2 HRS")</f>
        <v>1 TO 2 HRS</v>
      </c>
      <c r="K113">
        <f>ROUND(calls[[#This Row],[Satisfaction Rating]],0)</f>
        <v>3</v>
      </c>
    </row>
    <row r="114" spans="1:11" x14ac:dyDescent="0.3">
      <c r="A114" s="41" t="s">
        <v>1165</v>
      </c>
      <c r="B114" s="10" t="s">
        <v>1042</v>
      </c>
      <c r="C114" s="10">
        <v>80</v>
      </c>
      <c r="D114" s="39" t="s">
        <v>1053</v>
      </c>
      <c r="E114" s="40">
        <v>44971</v>
      </c>
      <c r="F114" s="10">
        <v>155</v>
      </c>
      <c r="G114" s="42">
        <v>3.2</v>
      </c>
      <c r="H114">
        <f>IF(MONTH(calls[[#This Row],[Date of Call]])&lt;=6,YEAR(calls[[#This Row],[Date of Call]]),YEAR(calls[[#This Row],[Date of Call]])+1)</f>
        <v>2023</v>
      </c>
      <c r="I114" t="str">
        <f>TEXT(calls[[#This Row],[Date of Call]],"DDDD")</f>
        <v>Tuesday</v>
      </c>
      <c r="J114" t="str" cm="1">
        <f t="array" ref="J114">_xlfn.IFS(calls[[#This Row],[Duration]]&lt;=10,"UNDER 10 MINS",calls[[#This Row],[Duration]]&lt;=30,"10 TO 30 MINS",calls[[#This Row],[Duration]]&lt;=60,"30 TO 60 MINS",calls[[#This Row],[Duration]]&lt;=120,"1 TO 2 HRS",TRUE,"MORE THAN 2 HRS")</f>
        <v>1 TO 2 HRS</v>
      </c>
      <c r="K114">
        <f>ROUND(calls[[#This Row],[Satisfaction Rating]],0)</f>
        <v>3</v>
      </c>
    </row>
    <row r="115" spans="1:11" x14ac:dyDescent="0.3">
      <c r="A115" s="41" t="s">
        <v>1166</v>
      </c>
      <c r="B115" s="10" t="s">
        <v>1040</v>
      </c>
      <c r="C115" s="10">
        <v>95</v>
      </c>
      <c r="D115" s="39" t="s">
        <v>1043</v>
      </c>
      <c r="E115" s="40">
        <v>44972</v>
      </c>
      <c r="F115" s="10">
        <v>120</v>
      </c>
      <c r="G115" s="42">
        <v>4.8</v>
      </c>
      <c r="H115">
        <f>IF(MONTH(calls[[#This Row],[Date of Call]])&lt;=6,YEAR(calls[[#This Row],[Date of Call]]),YEAR(calls[[#This Row],[Date of Call]])+1)</f>
        <v>2023</v>
      </c>
      <c r="I115" t="str">
        <f>TEXT(calls[[#This Row],[Date of Call]],"DDDD")</f>
        <v>Wednesday</v>
      </c>
      <c r="J115" t="str" cm="1">
        <f t="array" ref="J115">_xlfn.IFS(calls[[#This Row],[Duration]]&lt;=10,"UNDER 10 MINS",calls[[#This Row],[Duration]]&lt;=30,"10 TO 30 MINS",calls[[#This Row],[Duration]]&lt;=60,"30 TO 60 MINS",calls[[#This Row],[Duration]]&lt;=120,"1 TO 2 HRS",TRUE,"MORE THAN 2 HRS")</f>
        <v>1 TO 2 HRS</v>
      </c>
      <c r="K115">
        <f>ROUND(calls[[#This Row],[Satisfaction Rating]],0)</f>
        <v>5</v>
      </c>
    </row>
    <row r="116" spans="1:11" x14ac:dyDescent="0.3">
      <c r="A116" s="41" t="s">
        <v>1167</v>
      </c>
      <c r="B116" s="10" t="s">
        <v>1071</v>
      </c>
      <c r="C116" s="10">
        <v>30</v>
      </c>
      <c r="D116" s="39" t="s">
        <v>1057</v>
      </c>
      <c r="E116" s="40">
        <v>44972</v>
      </c>
      <c r="F116" s="10">
        <v>105</v>
      </c>
      <c r="G116" s="42">
        <v>3.6</v>
      </c>
      <c r="H116">
        <f>IF(MONTH(calls[[#This Row],[Date of Call]])&lt;=6,YEAR(calls[[#This Row],[Date of Call]]),YEAR(calls[[#This Row],[Date of Call]])+1)</f>
        <v>2023</v>
      </c>
      <c r="I116" t="str">
        <f>TEXT(calls[[#This Row],[Date of Call]],"DDDD")</f>
        <v>Wednesday</v>
      </c>
      <c r="J116" t="str" cm="1">
        <f t="array" ref="J116">_xlfn.IFS(calls[[#This Row],[Duration]]&lt;=10,"UNDER 10 MINS",calls[[#This Row],[Duration]]&lt;=30,"10 TO 30 MINS",calls[[#This Row],[Duration]]&lt;=60,"30 TO 60 MINS",calls[[#This Row],[Duration]]&lt;=120,"1 TO 2 HRS",TRUE,"MORE THAN 2 HRS")</f>
        <v>10 TO 30 MINS</v>
      </c>
      <c r="K116">
        <f>ROUND(calls[[#This Row],[Satisfaction Rating]],0)</f>
        <v>4</v>
      </c>
    </row>
    <row r="117" spans="1:11" x14ac:dyDescent="0.3">
      <c r="A117" s="41" t="s">
        <v>1168</v>
      </c>
      <c r="B117" s="10" t="s">
        <v>1047</v>
      </c>
      <c r="C117" s="10">
        <v>19</v>
      </c>
      <c r="D117" s="39" t="s">
        <v>1048</v>
      </c>
      <c r="E117" s="40">
        <v>44972</v>
      </c>
      <c r="F117" s="10">
        <v>28</v>
      </c>
      <c r="G117" s="42">
        <v>4.9000000000000004</v>
      </c>
      <c r="H117">
        <f>IF(MONTH(calls[[#This Row],[Date of Call]])&lt;=6,YEAR(calls[[#This Row],[Date of Call]]),YEAR(calls[[#This Row],[Date of Call]])+1)</f>
        <v>2023</v>
      </c>
      <c r="I117" t="str">
        <f>TEXT(calls[[#This Row],[Date of Call]],"DDDD")</f>
        <v>Wednesday</v>
      </c>
      <c r="J117" t="str" cm="1">
        <f t="array" ref="J117">_xlfn.IFS(calls[[#This Row],[Duration]]&lt;=10,"UNDER 10 MINS",calls[[#This Row],[Duration]]&lt;=30,"10 TO 30 MINS",calls[[#This Row],[Duration]]&lt;=60,"30 TO 60 MINS",calls[[#This Row],[Duration]]&lt;=120,"1 TO 2 HRS",TRUE,"MORE THAN 2 HRS")</f>
        <v>10 TO 30 MINS</v>
      </c>
      <c r="K117">
        <f>ROUND(calls[[#This Row],[Satisfaction Rating]],0)</f>
        <v>5</v>
      </c>
    </row>
    <row r="118" spans="1:11" x14ac:dyDescent="0.3">
      <c r="A118" s="41" t="s">
        <v>1169</v>
      </c>
      <c r="B118" s="10" t="s">
        <v>1056</v>
      </c>
      <c r="C118" s="10">
        <v>38</v>
      </c>
      <c r="D118" s="39" t="s">
        <v>1053</v>
      </c>
      <c r="E118" s="40">
        <v>44972</v>
      </c>
      <c r="F118" s="10">
        <v>100</v>
      </c>
      <c r="G118" s="42">
        <v>4.8</v>
      </c>
      <c r="H118">
        <f>IF(MONTH(calls[[#This Row],[Date of Call]])&lt;=6,YEAR(calls[[#This Row],[Date of Call]]),YEAR(calls[[#This Row],[Date of Call]])+1)</f>
        <v>2023</v>
      </c>
      <c r="I118" t="str">
        <f>TEXT(calls[[#This Row],[Date of Call]],"DDDD")</f>
        <v>Wednesday</v>
      </c>
      <c r="J118" t="str" cm="1">
        <f t="array" ref="J118">_xlfn.IFS(calls[[#This Row],[Duration]]&lt;=10,"UNDER 10 MINS",calls[[#This Row],[Duration]]&lt;=30,"10 TO 30 MINS",calls[[#This Row],[Duration]]&lt;=60,"30 TO 60 MINS",calls[[#This Row],[Duration]]&lt;=120,"1 TO 2 HRS",TRUE,"MORE THAN 2 HRS")</f>
        <v>30 TO 60 MINS</v>
      </c>
      <c r="K118">
        <f>ROUND(calls[[#This Row],[Satisfaction Rating]],0)</f>
        <v>5</v>
      </c>
    </row>
    <row r="119" spans="1:11" x14ac:dyDescent="0.3">
      <c r="A119" s="41" t="s">
        <v>1170</v>
      </c>
      <c r="B119" s="10" t="s">
        <v>1060</v>
      </c>
      <c r="C119" s="10">
        <v>55</v>
      </c>
      <c r="D119" s="39" t="s">
        <v>1048</v>
      </c>
      <c r="E119" s="40">
        <v>44972</v>
      </c>
      <c r="F119" s="10">
        <v>23</v>
      </c>
      <c r="G119" s="42">
        <v>3.6</v>
      </c>
      <c r="H119">
        <f>IF(MONTH(calls[[#This Row],[Date of Call]])&lt;=6,YEAR(calls[[#This Row],[Date of Call]]),YEAR(calls[[#This Row],[Date of Call]])+1)</f>
        <v>2023</v>
      </c>
      <c r="I119" t="str">
        <f>TEXT(calls[[#This Row],[Date of Call]],"DDDD")</f>
        <v>Wednesday</v>
      </c>
      <c r="J119" t="str" cm="1">
        <f t="array" ref="J119">_xlfn.IFS(calls[[#This Row],[Duration]]&lt;=10,"UNDER 10 MINS",calls[[#This Row],[Duration]]&lt;=30,"10 TO 30 MINS",calls[[#This Row],[Duration]]&lt;=60,"30 TO 60 MINS",calls[[#This Row],[Duration]]&lt;=120,"1 TO 2 HRS",TRUE,"MORE THAN 2 HRS")</f>
        <v>30 TO 60 MINS</v>
      </c>
      <c r="K119">
        <f>ROUND(calls[[#This Row],[Satisfaction Rating]],0)</f>
        <v>4</v>
      </c>
    </row>
    <row r="120" spans="1:11" x14ac:dyDescent="0.3">
      <c r="A120" s="41" t="s">
        <v>1171</v>
      </c>
      <c r="B120" s="10" t="s">
        <v>1068</v>
      </c>
      <c r="C120" s="10">
        <v>27</v>
      </c>
      <c r="D120" s="39" t="s">
        <v>1057</v>
      </c>
      <c r="E120" s="40">
        <v>44973</v>
      </c>
      <c r="F120" s="10">
        <v>70</v>
      </c>
      <c r="G120" s="42">
        <v>3.9</v>
      </c>
      <c r="H120">
        <f>IF(MONTH(calls[[#This Row],[Date of Call]])&lt;=6,YEAR(calls[[#This Row],[Date of Call]]),YEAR(calls[[#This Row],[Date of Call]])+1)</f>
        <v>2023</v>
      </c>
      <c r="I120" t="str">
        <f>TEXT(calls[[#This Row],[Date of Call]],"DDDD")</f>
        <v>Thursday</v>
      </c>
      <c r="J120" t="str" cm="1">
        <f t="array" ref="J120">_xlfn.IFS(calls[[#This Row],[Duration]]&lt;=10,"UNDER 10 MINS",calls[[#This Row],[Duration]]&lt;=30,"10 TO 30 MINS",calls[[#This Row],[Duration]]&lt;=60,"30 TO 60 MINS",calls[[#This Row],[Duration]]&lt;=120,"1 TO 2 HRS",TRUE,"MORE THAN 2 HRS")</f>
        <v>10 TO 30 MINS</v>
      </c>
      <c r="K120">
        <f>ROUND(calls[[#This Row],[Satisfaction Rating]],0)</f>
        <v>4</v>
      </c>
    </row>
    <row r="121" spans="1:11" x14ac:dyDescent="0.3">
      <c r="A121" s="41" t="s">
        <v>1172</v>
      </c>
      <c r="B121" s="10" t="s">
        <v>1068</v>
      </c>
      <c r="C121" s="10">
        <v>32</v>
      </c>
      <c r="D121" s="39" t="s">
        <v>1057</v>
      </c>
      <c r="E121" s="40">
        <v>44973</v>
      </c>
      <c r="F121" s="10">
        <v>37</v>
      </c>
      <c r="G121" s="42">
        <v>1.9</v>
      </c>
      <c r="H121">
        <f>IF(MONTH(calls[[#This Row],[Date of Call]])&lt;=6,YEAR(calls[[#This Row],[Date of Call]]),YEAR(calls[[#This Row],[Date of Call]])+1)</f>
        <v>2023</v>
      </c>
      <c r="I121" t="str">
        <f>TEXT(calls[[#This Row],[Date of Call]],"DDDD")</f>
        <v>Thursday</v>
      </c>
      <c r="J121" t="str" cm="1">
        <f t="array" ref="J121">_xlfn.IFS(calls[[#This Row],[Duration]]&lt;=10,"UNDER 10 MINS",calls[[#This Row],[Duration]]&lt;=30,"10 TO 30 MINS",calls[[#This Row],[Duration]]&lt;=60,"30 TO 60 MINS",calls[[#This Row],[Duration]]&lt;=120,"1 TO 2 HRS",TRUE,"MORE THAN 2 HRS")</f>
        <v>30 TO 60 MINS</v>
      </c>
      <c r="K121">
        <f>ROUND(calls[[#This Row],[Satisfaction Rating]],0)</f>
        <v>2</v>
      </c>
    </row>
    <row r="122" spans="1:11" x14ac:dyDescent="0.3">
      <c r="A122" s="41" t="s">
        <v>1173</v>
      </c>
      <c r="B122" s="10" t="s">
        <v>1062</v>
      </c>
      <c r="C122" s="10">
        <v>116</v>
      </c>
      <c r="D122" s="39" t="s">
        <v>1038</v>
      </c>
      <c r="E122" s="40">
        <v>44973</v>
      </c>
      <c r="F122" s="10">
        <v>140</v>
      </c>
      <c r="G122" s="42">
        <v>3.6</v>
      </c>
      <c r="H122">
        <f>IF(MONTH(calls[[#This Row],[Date of Call]])&lt;=6,YEAR(calls[[#This Row],[Date of Call]]),YEAR(calls[[#This Row],[Date of Call]])+1)</f>
        <v>2023</v>
      </c>
      <c r="I122" t="str">
        <f>TEXT(calls[[#This Row],[Date of Call]],"DDDD")</f>
        <v>Thursday</v>
      </c>
      <c r="J122" t="str" cm="1">
        <f t="array" ref="J122">_xlfn.IFS(calls[[#This Row],[Duration]]&lt;=10,"UNDER 10 MINS",calls[[#This Row],[Duration]]&lt;=30,"10 TO 30 MINS",calls[[#This Row],[Duration]]&lt;=60,"30 TO 60 MINS",calls[[#This Row],[Duration]]&lt;=120,"1 TO 2 HRS",TRUE,"MORE THAN 2 HRS")</f>
        <v>1 TO 2 HRS</v>
      </c>
      <c r="K122">
        <f>ROUND(calls[[#This Row],[Satisfaction Rating]],0)</f>
        <v>4</v>
      </c>
    </row>
    <row r="123" spans="1:11" x14ac:dyDescent="0.3">
      <c r="A123" s="41" t="s">
        <v>1174</v>
      </c>
      <c r="B123" s="10" t="s">
        <v>1037</v>
      </c>
      <c r="C123" s="10">
        <v>99</v>
      </c>
      <c r="D123" s="39" t="s">
        <v>1043</v>
      </c>
      <c r="E123" s="40">
        <v>44973</v>
      </c>
      <c r="F123" s="10">
        <v>78</v>
      </c>
      <c r="G123" s="42">
        <v>4.0999999999999996</v>
      </c>
      <c r="H123">
        <f>IF(MONTH(calls[[#This Row],[Date of Call]])&lt;=6,YEAR(calls[[#This Row],[Date of Call]]),YEAR(calls[[#This Row],[Date of Call]])+1)</f>
        <v>2023</v>
      </c>
      <c r="I123" t="str">
        <f>TEXT(calls[[#This Row],[Date of Call]],"DDDD")</f>
        <v>Thursday</v>
      </c>
      <c r="J123" t="str" cm="1">
        <f t="array" ref="J123">_xlfn.IFS(calls[[#This Row],[Duration]]&lt;=10,"UNDER 10 MINS",calls[[#This Row],[Duration]]&lt;=30,"10 TO 30 MINS",calls[[#This Row],[Duration]]&lt;=60,"30 TO 60 MINS",calls[[#This Row],[Duration]]&lt;=120,"1 TO 2 HRS",TRUE,"MORE THAN 2 HRS")</f>
        <v>1 TO 2 HRS</v>
      </c>
      <c r="K123">
        <f>ROUND(calls[[#This Row],[Satisfaction Rating]],0)</f>
        <v>4</v>
      </c>
    </row>
    <row r="124" spans="1:11" x14ac:dyDescent="0.3">
      <c r="A124" s="41" t="s">
        <v>1175</v>
      </c>
      <c r="B124" s="10" t="s">
        <v>1040</v>
      </c>
      <c r="C124" s="10">
        <v>75</v>
      </c>
      <c r="D124" s="39" t="s">
        <v>1057</v>
      </c>
      <c r="E124" s="40">
        <v>44974</v>
      </c>
      <c r="F124" s="10">
        <v>21</v>
      </c>
      <c r="G124" s="42">
        <v>4.2</v>
      </c>
      <c r="H124">
        <f>IF(MONTH(calls[[#This Row],[Date of Call]])&lt;=6,YEAR(calls[[#This Row],[Date of Call]]),YEAR(calls[[#This Row],[Date of Call]])+1)</f>
        <v>2023</v>
      </c>
      <c r="I124" t="str">
        <f>TEXT(calls[[#This Row],[Date of Call]],"DDDD")</f>
        <v>Friday</v>
      </c>
      <c r="J124" t="str" cm="1">
        <f t="array" ref="J124">_xlfn.IFS(calls[[#This Row],[Duration]]&lt;=10,"UNDER 10 MINS",calls[[#This Row],[Duration]]&lt;=30,"10 TO 30 MINS",calls[[#This Row],[Duration]]&lt;=60,"30 TO 60 MINS",calls[[#This Row],[Duration]]&lt;=120,"1 TO 2 HRS",TRUE,"MORE THAN 2 HRS")</f>
        <v>1 TO 2 HRS</v>
      </c>
      <c r="K124">
        <f>ROUND(calls[[#This Row],[Satisfaction Rating]],0)</f>
        <v>4</v>
      </c>
    </row>
    <row r="125" spans="1:11" x14ac:dyDescent="0.3">
      <c r="A125" s="41" t="s">
        <v>1176</v>
      </c>
      <c r="B125" s="10" t="s">
        <v>1042</v>
      </c>
      <c r="C125" s="10">
        <v>57</v>
      </c>
      <c r="D125" s="39" t="s">
        <v>1038</v>
      </c>
      <c r="E125" s="40">
        <v>44974</v>
      </c>
      <c r="F125" s="10">
        <v>88</v>
      </c>
      <c r="G125" s="42">
        <v>4.3</v>
      </c>
      <c r="H125">
        <f>IF(MONTH(calls[[#This Row],[Date of Call]])&lt;=6,YEAR(calls[[#This Row],[Date of Call]]),YEAR(calls[[#This Row],[Date of Call]])+1)</f>
        <v>2023</v>
      </c>
      <c r="I125" t="str">
        <f>TEXT(calls[[#This Row],[Date of Call]],"DDDD")</f>
        <v>Friday</v>
      </c>
      <c r="J125" t="str" cm="1">
        <f t="array" ref="J125">_xlfn.IFS(calls[[#This Row],[Duration]]&lt;=10,"UNDER 10 MINS",calls[[#This Row],[Duration]]&lt;=30,"10 TO 30 MINS",calls[[#This Row],[Duration]]&lt;=60,"30 TO 60 MINS",calls[[#This Row],[Duration]]&lt;=120,"1 TO 2 HRS",TRUE,"MORE THAN 2 HRS")</f>
        <v>30 TO 60 MINS</v>
      </c>
      <c r="K125">
        <f>ROUND(calls[[#This Row],[Satisfaction Rating]],0)</f>
        <v>4</v>
      </c>
    </row>
    <row r="126" spans="1:11" x14ac:dyDescent="0.3">
      <c r="A126" s="41" t="s">
        <v>1177</v>
      </c>
      <c r="B126" s="10" t="s">
        <v>1051</v>
      </c>
      <c r="C126" s="10">
        <v>155</v>
      </c>
      <c r="D126" s="39" t="s">
        <v>1038</v>
      </c>
      <c r="E126" s="40">
        <v>44975</v>
      </c>
      <c r="F126" s="10">
        <v>180</v>
      </c>
      <c r="G126" s="42">
        <v>2.2000000000000002</v>
      </c>
      <c r="H126">
        <f>IF(MONTH(calls[[#This Row],[Date of Call]])&lt;=6,YEAR(calls[[#This Row],[Date of Call]]),YEAR(calls[[#This Row],[Date of Call]])+1)</f>
        <v>2023</v>
      </c>
      <c r="I126" t="str">
        <f>TEXT(calls[[#This Row],[Date of Call]],"DDDD")</f>
        <v>Saturday</v>
      </c>
      <c r="J126" t="str" cm="1">
        <f t="array" ref="J126">_xlfn.IFS(calls[[#This Row],[Duration]]&lt;=10,"UNDER 10 MINS",calls[[#This Row],[Duration]]&lt;=30,"10 TO 30 MINS",calls[[#This Row],[Duration]]&lt;=60,"30 TO 60 MINS",calls[[#This Row],[Duration]]&lt;=120,"1 TO 2 HRS",TRUE,"MORE THAN 2 HRS")</f>
        <v>MORE THAN 2 HRS</v>
      </c>
      <c r="K126">
        <f>ROUND(calls[[#This Row],[Satisfaction Rating]],0)</f>
        <v>2</v>
      </c>
    </row>
    <row r="127" spans="1:11" x14ac:dyDescent="0.3">
      <c r="A127" s="41" t="s">
        <v>1178</v>
      </c>
      <c r="B127" s="10" t="s">
        <v>1037</v>
      </c>
      <c r="C127" s="10">
        <v>68</v>
      </c>
      <c r="D127" s="39" t="s">
        <v>1043</v>
      </c>
      <c r="E127" s="40">
        <v>44975</v>
      </c>
      <c r="F127" s="10">
        <v>22</v>
      </c>
      <c r="G127" s="42">
        <v>3.3</v>
      </c>
      <c r="H127">
        <f>IF(MONTH(calls[[#This Row],[Date of Call]])&lt;=6,YEAR(calls[[#This Row],[Date of Call]]),YEAR(calls[[#This Row],[Date of Call]])+1)</f>
        <v>2023</v>
      </c>
      <c r="I127" t="str">
        <f>TEXT(calls[[#This Row],[Date of Call]],"DDDD")</f>
        <v>Saturday</v>
      </c>
      <c r="J127" t="str" cm="1">
        <f t="array" ref="J127">_xlfn.IFS(calls[[#This Row],[Duration]]&lt;=10,"UNDER 10 MINS",calls[[#This Row],[Duration]]&lt;=30,"10 TO 30 MINS",calls[[#This Row],[Duration]]&lt;=60,"30 TO 60 MINS",calls[[#This Row],[Duration]]&lt;=120,"1 TO 2 HRS",TRUE,"MORE THAN 2 HRS")</f>
        <v>1 TO 2 HRS</v>
      </c>
      <c r="K127">
        <f>ROUND(calls[[#This Row],[Satisfaction Rating]],0)</f>
        <v>3</v>
      </c>
    </row>
    <row r="128" spans="1:11" x14ac:dyDescent="0.3">
      <c r="A128" s="41" t="s">
        <v>1179</v>
      </c>
      <c r="B128" s="10" t="s">
        <v>1056</v>
      </c>
      <c r="C128" s="10">
        <v>95</v>
      </c>
      <c r="D128" s="39" t="s">
        <v>1043</v>
      </c>
      <c r="E128" s="40">
        <v>44975</v>
      </c>
      <c r="F128" s="10">
        <v>52</v>
      </c>
      <c r="G128" s="42">
        <v>4.8</v>
      </c>
      <c r="H128">
        <f>IF(MONTH(calls[[#This Row],[Date of Call]])&lt;=6,YEAR(calls[[#This Row],[Date of Call]]),YEAR(calls[[#This Row],[Date of Call]])+1)</f>
        <v>2023</v>
      </c>
      <c r="I128" t="str">
        <f>TEXT(calls[[#This Row],[Date of Call]],"DDDD")</f>
        <v>Saturday</v>
      </c>
      <c r="J128" t="str" cm="1">
        <f t="array" ref="J128">_xlfn.IFS(calls[[#This Row],[Duration]]&lt;=10,"UNDER 10 MINS",calls[[#This Row],[Duration]]&lt;=30,"10 TO 30 MINS",calls[[#This Row],[Duration]]&lt;=60,"30 TO 60 MINS",calls[[#This Row],[Duration]]&lt;=120,"1 TO 2 HRS",TRUE,"MORE THAN 2 HRS")</f>
        <v>1 TO 2 HRS</v>
      </c>
      <c r="K128">
        <f>ROUND(calls[[#This Row],[Satisfaction Rating]],0)</f>
        <v>5</v>
      </c>
    </row>
    <row r="129" spans="1:11" x14ac:dyDescent="0.3">
      <c r="A129" s="41" t="s">
        <v>1180</v>
      </c>
      <c r="B129" s="10" t="s">
        <v>1076</v>
      </c>
      <c r="C129" s="10">
        <v>65</v>
      </c>
      <c r="D129" s="39" t="s">
        <v>1038</v>
      </c>
      <c r="E129" s="40">
        <v>44976</v>
      </c>
      <c r="F129" s="10">
        <v>80</v>
      </c>
      <c r="G129" s="42">
        <v>4</v>
      </c>
      <c r="H129">
        <f>IF(MONTH(calls[[#This Row],[Date of Call]])&lt;=6,YEAR(calls[[#This Row],[Date of Call]]),YEAR(calls[[#This Row],[Date of Call]])+1)</f>
        <v>2023</v>
      </c>
      <c r="I129" t="str">
        <f>TEXT(calls[[#This Row],[Date of Call]],"DDDD")</f>
        <v>Sunday</v>
      </c>
      <c r="J129" t="str" cm="1">
        <f t="array" ref="J129">_xlfn.IFS(calls[[#This Row],[Duration]]&lt;=10,"UNDER 10 MINS",calls[[#This Row],[Duration]]&lt;=30,"10 TO 30 MINS",calls[[#This Row],[Duration]]&lt;=60,"30 TO 60 MINS",calls[[#This Row],[Duration]]&lt;=120,"1 TO 2 HRS",TRUE,"MORE THAN 2 HRS")</f>
        <v>1 TO 2 HRS</v>
      </c>
      <c r="K129">
        <f>ROUND(calls[[#This Row],[Satisfaction Rating]],0)</f>
        <v>4</v>
      </c>
    </row>
    <row r="130" spans="1:11" x14ac:dyDescent="0.3">
      <c r="A130" s="41" t="s">
        <v>1181</v>
      </c>
      <c r="B130" s="10" t="s">
        <v>1047</v>
      </c>
      <c r="C130" s="10">
        <v>114</v>
      </c>
      <c r="D130" s="39" t="s">
        <v>1048</v>
      </c>
      <c r="E130" s="40">
        <v>44976</v>
      </c>
      <c r="F130" s="10">
        <v>54</v>
      </c>
      <c r="G130" s="42">
        <v>1.1000000000000001</v>
      </c>
      <c r="H130">
        <f>IF(MONTH(calls[[#This Row],[Date of Call]])&lt;=6,YEAR(calls[[#This Row],[Date of Call]]),YEAR(calls[[#This Row],[Date of Call]])+1)</f>
        <v>2023</v>
      </c>
      <c r="I130" t="str">
        <f>TEXT(calls[[#This Row],[Date of Call]],"DDDD")</f>
        <v>Sunday</v>
      </c>
      <c r="J130" t="str" cm="1">
        <f t="array" ref="J130">_xlfn.IFS(calls[[#This Row],[Duration]]&lt;=10,"UNDER 10 MINS",calls[[#This Row],[Duration]]&lt;=30,"10 TO 30 MINS",calls[[#This Row],[Duration]]&lt;=60,"30 TO 60 MINS",calls[[#This Row],[Duration]]&lt;=120,"1 TO 2 HRS",TRUE,"MORE THAN 2 HRS")</f>
        <v>1 TO 2 HRS</v>
      </c>
      <c r="K130">
        <f>ROUND(calls[[#This Row],[Satisfaction Rating]],0)</f>
        <v>1</v>
      </c>
    </row>
    <row r="131" spans="1:11" x14ac:dyDescent="0.3">
      <c r="A131" s="41" t="s">
        <v>1182</v>
      </c>
      <c r="B131" s="10" t="s">
        <v>1040</v>
      </c>
      <c r="C131" s="10">
        <v>155</v>
      </c>
      <c r="D131" s="39" t="s">
        <v>1048</v>
      </c>
      <c r="E131" s="40">
        <v>44977</v>
      </c>
      <c r="F131" s="10">
        <v>80</v>
      </c>
      <c r="G131" s="42">
        <v>3.9</v>
      </c>
      <c r="H131">
        <f>IF(MONTH(calls[[#This Row],[Date of Call]])&lt;=6,YEAR(calls[[#This Row],[Date of Call]]),YEAR(calls[[#This Row],[Date of Call]])+1)</f>
        <v>2023</v>
      </c>
      <c r="I131" t="str">
        <f>TEXT(calls[[#This Row],[Date of Call]],"DDDD")</f>
        <v>Monday</v>
      </c>
      <c r="J131" t="str" cm="1">
        <f t="array" ref="J131">_xlfn.IFS(calls[[#This Row],[Duration]]&lt;=10,"UNDER 10 MINS",calls[[#This Row],[Duration]]&lt;=30,"10 TO 30 MINS",calls[[#This Row],[Duration]]&lt;=60,"30 TO 60 MINS",calls[[#This Row],[Duration]]&lt;=120,"1 TO 2 HRS",TRUE,"MORE THAN 2 HRS")</f>
        <v>MORE THAN 2 HRS</v>
      </c>
      <c r="K131">
        <f>ROUND(calls[[#This Row],[Satisfaction Rating]],0)</f>
        <v>4</v>
      </c>
    </row>
    <row r="132" spans="1:11" x14ac:dyDescent="0.3">
      <c r="A132" s="41" t="s">
        <v>1183</v>
      </c>
      <c r="B132" s="10" t="s">
        <v>1076</v>
      </c>
      <c r="C132" s="10">
        <v>114</v>
      </c>
      <c r="D132" s="39" t="s">
        <v>1038</v>
      </c>
      <c r="E132" s="40">
        <v>44978</v>
      </c>
      <c r="F132" s="10">
        <v>120</v>
      </c>
      <c r="G132" s="42">
        <v>1.8</v>
      </c>
      <c r="H132">
        <f>IF(MONTH(calls[[#This Row],[Date of Call]])&lt;=6,YEAR(calls[[#This Row],[Date of Call]]),YEAR(calls[[#This Row],[Date of Call]])+1)</f>
        <v>2023</v>
      </c>
      <c r="I132" t="str">
        <f>TEXT(calls[[#This Row],[Date of Call]],"DDDD")</f>
        <v>Tuesday</v>
      </c>
      <c r="J132" t="str" cm="1">
        <f t="array" ref="J132">_xlfn.IFS(calls[[#This Row],[Duration]]&lt;=10,"UNDER 10 MINS",calls[[#This Row],[Duration]]&lt;=30,"10 TO 30 MINS",calls[[#This Row],[Duration]]&lt;=60,"30 TO 60 MINS",calls[[#This Row],[Duration]]&lt;=120,"1 TO 2 HRS",TRUE,"MORE THAN 2 HRS")</f>
        <v>1 TO 2 HRS</v>
      </c>
      <c r="K132">
        <f>ROUND(calls[[#This Row],[Satisfaction Rating]],0)</f>
        <v>2</v>
      </c>
    </row>
    <row r="133" spans="1:11" x14ac:dyDescent="0.3">
      <c r="A133" s="41" t="s">
        <v>1184</v>
      </c>
      <c r="B133" s="10" t="s">
        <v>1051</v>
      </c>
      <c r="C133" s="10">
        <v>130</v>
      </c>
      <c r="D133" s="39" t="s">
        <v>1053</v>
      </c>
      <c r="E133" s="40">
        <v>44978</v>
      </c>
      <c r="F133" s="10">
        <v>150</v>
      </c>
      <c r="G133" s="42">
        <v>1</v>
      </c>
      <c r="H133">
        <f>IF(MONTH(calls[[#This Row],[Date of Call]])&lt;=6,YEAR(calls[[#This Row],[Date of Call]]),YEAR(calls[[#This Row],[Date of Call]])+1)</f>
        <v>2023</v>
      </c>
      <c r="I133" t="str">
        <f>TEXT(calls[[#This Row],[Date of Call]],"DDDD")</f>
        <v>Tuesday</v>
      </c>
      <c r="J133" t="str" cm="1">
        <f t="array" ref="J133">_xlfn.IFS(calls[[#This Row],[Duration]]&lt;=10,"UNDER 10 MINS",calls[[#This Row],[Duration]]&lt;=30,"10 TO 30 MINS",calls[[#This Row],[Duration]]&lt;=60,"30 TO 60 MINS",calls[[#This Row],[Duration]]&lt;=120,"1 TO 2 HRS",TRUE,"MORE THAN 2 HRS")</f>
        <v>MORE THAN 2 HRS</v>
      </c>
      <c r="K133">
        <f>ROUND(calls[[#This Row],[Satisfaction Rating]],0)</f>
        <v>1</v>
      </c>
    </row>
    <row r="134" spans="1:11" x14ac:dyDescent="0.3">
      <c r="A134" s="41" t="s">
        <v>1185</v>
      </c>
      <c r="B134" s="10" t="s">
        <v>1040</v>
      </c>
      <c r="C134" s="10">
        <v>89</v>
      </c>
      <c r="D134" s="39" t="s">
        <v>1038</v>
      </c>
      <c r="E134" s="40">
        <v>44978</v>
      </c>
      <c r="F134" s="10">
        <v>90</v>
      </c>
      <c r="G134" s="42">
        <v>4.3</v>
      </c>
      <c r="H134">
        <f>IF(MONTH(calls[[#This Row],[Date of Call]])&lt;=6,YEAR(calls[[#This Row],[Date of Call]]),YEAR(calls[[#This Row],[Date of Call]])+1)</f>
        <v>2023</v>
      </c>
      <c r="I134" t="str">
        <f>TEXT(calls[[#This Row],[Date of Call]],"DDDD")</f>
        <v>Tuesday</v>
      </c>
      <c r="J134" t="str" cm="1">
        <f t="array" ref="J134">_xlfn.IFS(calls[[#This Row],[Duration]]&lt;=10,"UNDER 10 MINS",calls[[#This Row],[Duration]]&lt;=30,"10 TO 30 MINS",calls[[#This Row],[Duration]]&lt;=60,"30 TO 60 MINS",calls[[#This Row],[Duration]]&lt;=120,"1 TO 2 HRS",TRUE,"MORE THAN 2 HRS")</f>
        <v>1 TO 2 HRS</v>
      </c>
      <c r="K134">
        <f>ROUND(calls[[#This Row],[Satisfaction Rating]],0)</f>
        <v>4</v>
      </c>
    </row>
    <row r="135" spans="1:11" x14ac:dyDescent="0.3">
      <c r="A135" s="41" t="s">
        <v>1186</v>
      </c>
      <c r="B135" s="10" t="s">
        <v>1089</v>
      </c>
      <c r="C135" s="10">
        <v>61</v>
      </c>
      <c r="D135" s="39" t="s">
        <v>1057</v>
      </c>
      <c r="E135" s="40">
        <v>44979</v>
      </c>
      <c r="F135" s="10">
        <v>140</v>
      </c>
      <c r="G135" s="42">
        <v>3.4</v>
      </c>
      <c r="H135">
        <f>IF(MONTH(calls[[#This Row],[Date of Call]])&lt;=6,YEAR(calls[[#This Row],[Date of Call]]),YEAR(calls[[#This Row],[Date of Call]])+1)</f>
        <v>2023</v>
      </c>
      <c r="I135" t="str">
        <f>TEXT(calls[[#This Row],[Date of Call]],"DDDD")</f>
        <v>Wednesday</v>
      </c>
      <c r="J135" t="str" cm="1">
        <f t="array" ref="J135">_xlfn.IFS(calls[[#This Row],[Duration]]&lt;=10,"UNDER 10 MINS",calls[[#This Row],[Duration]]&lt;=30,"10 TO 30 MINS",calls[[#This Row],[Duration]]&lt;=60,"30 TO 60 MINS",calls[[#This Row],[Duration]]&lt;=120,"1 TO 2 HRS",TRUE,"MORE THAN 2 HRS")</f>
        <v>1 TO 2 HRS</v>
      </c>
      <c r="K135">
        <f>ROUND(calls[[#This Row],[Satisfaction Rating]],0)</f>
        <v>3</v>
      </c>
    </row>
    <row r="136" spans="1:11" x14ac:dyDescent="0.3">
      <c r="A136" s="41" t="s">
        <v>1187</v>
      </c>
      <c r="B136" s="10" t="s">
        <v>1056</v>
      </c>
      <c r="C136" s="10">
        <v>154</v>
      </c>
      <c r="D136" s="39" t="s">
        <v>1048</v>
      </c>
      <c r="E136" s="40">
        <v>44979</v>
      </c>
      <c r="F136" s="10">
        <v>22</v>
      </c>
      <c r="G136" s="42">
        <v>3.4</v>
      </c>
      <c r="H136">
        <f>IF(MONTH(calls[[#This Row],[Date of Call]])&lt;=6,YEAR(calls[[#This Row],[Date of Call]]),YEAR(calls[[#This Row],[Date of Call]])+1)</f>
        <v>2023</v>
      </c>
      <c r="I136" t="str">
        <f>TEXT(calls[[#This Row],[Date of Call]],"DDDD")</f>
        <v>Wednesday</v>
      </c>
      <c r="J136" t="str" cm="1">
        <f t="array" ref="J136">_xlfn.IFS(calls[[#This Row],[Duration]]&lt;=10,"UNDER 10 MINS",calls[[#This Row],[Duration]]&lt;=30,"10 TO 30 MINS",calls[[#This Row],[Duration]]&lt;=60,"30 TO 60 MINS",calls[[#This Row],[Duration]]&lt;=120,"1 TO 2 HRS",TRUE,"MORE THAN 2 HRS")</f>
        <v>MORE THAN 2 HRS</v>
      </c>
      <c r="K136">
        <f>ROUND(calls[[#This Row],[Satisfaction Rating]],0)</f>
        <v>3</v>
      </c>
    </row>
    <row r="137" spans="1:11" x14ac:dyDescent="0.3">
      <c r="A137" s="41" t="s">
        <v>1188</v>
      </c>
      <c r="B137" s="10" t="s">
        <v>1076</v>
      </c>
      <c r="C137" s="10">
        <v>115</v>
      </c>
      <c r="D137" s="39" t="s">
        <v>1053</v>
      </c>
      <c r="E137" s="40">
        <v>44980</v>
      </c>
      <c r="F137" s="10">
        <v>150</v>
      </c>
      <c r="G137" s="42">
        <v>4.0999999999999996</v>
      </c>
      <c r="H137">
        <f>IF(MONTH(calls[[#This Row],[Date of Call]])&lt;=6,YEAR(calls[[#This Row],[Date of Call]]),YEAR(calls[[#This Row],[Date of Call]])+1)</f>
        <v>2023</v>
      </c>
      <c r="I137" t="str">
        <f>TEXT(calls[[#This Row],[Date of Call]],"DDDD")</f>
        <v>Thursday</v>
      </c>
      <c r="J137" t="str" cm="1">
        <f t="array" ref="J137">_xlfn.IFS(calls[[#This Row],[Duration]]&lt;=10,"UNDER 10 MINS",calls[[#This Row],[Duration]]&lt;=30,"10 TO 30 MINS",calls[[#This Row],[Duration]]&lt;=60,"30 TO 60 MINS",calls[[#This Row],[Duration]]&lt;=120,"1 TO 2 HRS",TRUE,"MORE THAN 2 HRS")</f>
        <v>1 TO 2 HRS</v>
      </c>
      <c r="K137">
        <f>ROUND(calls[[#This Row],[Satisfaction Rating]],0)</f>
        <v>4</v>
      </c>
    </row>
    <row r="138" spans="1:11" x14ac:dyDescent="0.3">
      <c r="A138" s="41" t="s">
        <v>1189</v>
      </c>
      <c r="B138" s="10" t="s">
        <v>1109</v>
      </c>
      <c r="C138" s="10">
        <v>138</v>
      </c>
      <c r="D138" s="39" t="s">
        <v>1043</v>
      </c>
      <c r="E138" s="40">
        <v>44981</v>
      </c>
      <c r="F138" s="10">
        <v>35</v>
      </c>
      <c r="G138" s="42">
        <v>4.8</v>
      </c>
      <c r="H138">
        <f>IF(MONTH(calls[[#This Row],[Date of Call]])&lt;=6,YEAR(calls[[#This Row],[Date of Call]]),YEAR(calls[[#This Row],[Date of Call]])+1)</f>
        <v>2023</v>
      </c>
      <c r="I138" t="str">
        <f>TEXT(calls[[#This Row],[Date of Call]],"DDDD")</f>
        <v>Friday</v>
      </c>
      <c r="J138" t="str" cm="1">
        <f t="array" ref="J138">_xlfn.IFS(calls[[#This Row],[Duration]]&lt;=10,"UNDER 10 MINS",calls[[#This Row],[Duration]]&lt;=30,"10 TO 30 MINS",calls[[#This Row],[Duration]]&lt;=60,"30 TO 60 MINS",calls[[#This Row],[Duration]]&lt;=120,"1 TO 2 HRS",TRUE,"MORE THAN 2 HRS")</f>
        <v>MORE THAN 2 HRS</v>
      </c>
      <c r="K138">
        <f>ROUND(calls[[#This Row],[Satisfaction Rating]],0)</f>
        <v>5</v>
      </c>
    </row>
    <row r="139" spans="1:11" x14ac:dyDescent="0.3">
      <c r="A139" s="41" t="s">
        <v>1190</v>
      </c>
      <c r="B139" s="10" t="s">
        <v>1045</v>
      </c>
      <c r="C139" s="10">
        <v>153</v>
      </c>
      <c r="D139" s="39" t="s">
        <v>1038</v>
      </c>
      <c r="E139" s="40">
        <v>44981</v>
      </c>
      <c r="F139" s="10">
        <v>200</v>
      </c>
      <c r="G139" s="42">
        <v>2</v>
      </c>
      <c r="H139">
        <f>IF(MONTH(calls[[#This Row],[Date of Call]])&lt;=6,YEAR(calls[[#This Row],[Date of Call]]),YEAR(calls[[#This Row],[Date of Call]])+1)</f>
        <v>2023</v>
      </c>
      <c r="I139" t="str">
        <f>TEXT(calls[[#This Row],[Date of Call]],"DDDD")</f>
        <v>Friday</v>
      </c>
      <c r="J139" t="str" cm="1">
        <f t="array" ref="J139">_xlfn.IFS(calls[[#This Row],[Duration]]&lt;=10,"UNDER 10 MINS",calls[[#This Row],[Duration]]&lt;=30,"10 TO 30 MINS",calls[[#This Row],[Duration]]&lt;=60,"30 TO 60 MINS",calls[[#This Row],[Duration]]&lt;=120,"1 TO 2 HRS",TRUE,"MORE THAN 2 HRS")</f>
        <v>MORE THAN 2 HRS</v>
      </c>
      <c r="K139">
        <f>ROUND(calls[[#This Row],[Satisfaction Rating]],0)</f>
        <v>2</v>
      </c>
    </row>
    <row r="140" spans="1:11" x14ac:dyDescent="0.3">
      <c r="A140" s="41" t="s">
        <v>1191</v>
      </c>
      <c r="B140" s="10" t="s">
        <v>1076</v>
      </c>
      <c r="C140" s="10">
        <v>61</v>
      </c>
      <c r="D140" s="39" t="s">
        <v>1057</v>
      </c>
      <c r="E140" s="40">
        <v>44982</v>
      </c>
      <c r="F140" s="10">
        <v>150</v>
      </c>
      <c r="G140" s="42">
        <v>4.5999999999999996</v>
      </c>
      <c r="H140">
        <f>IF(MONTH(calls[[#This Row],[Date of Call]])&lt;=6,YEAR(calls[[#This Row],[Date of Call]]),YEAR(calls[[#This Row],[Date of Call]])+1)</f>
        <v>2023</v>
      </c>
      <c r="I140" t="str">
        <f>TEXT(calls[[#This Row],[Date of Call]],"DDDD")</f>
        <v>Saturday</v>
      </c>
      <c r="J140" t="str" cm="1">
        <f t="array" ref="J140">_xlfn.IFS(calls[[#This Row],[Duration]]&lt;=10,"UNDER 10 MINS",calls[[#This Row],[Duration]]&lt;=30,"10 TO 30 MINS",calls[[#This Row],[Duration]]&lt;=60,"30 TO 60 MINS",calls[[#This Row],[Duration]]&lt;=120,"1 TO 2 HRS",TRUE,"MORE THAN 2 HRS")</f>
        <v>1 TO 2 HRS</v>
      </c>
      <c r="K140">
        <f>ROUND(calls[[#This Row],[Satisfaction Rating]],0)</f>
        <v>5</v>
      </c>
    </row>
    <row r="141" spans="1:11" x14ac:dyDescent="0.3">
      <c r="A141" s="41" t="s">
        <v>1192</v>
      </c>
      <c r="B141" s="10" t="s">
        <v>1068</v>
      </c>
      <c r="C141" s="10">
        <v>62</v>
      </c>
      <c r="D141" s="39" t="s">
        <v>1038</v>
      </c>
      <c r="E141" s="40">
        <v>44982</v>
      </c>
      <c r="F141" s="10">
        <v>21</v>
      </c>
      <c r="G141" s="42">
        <v>2.6</v>
      </c>
      <c r="H141">
        <f>IF(MONTH(calls[[#This Row],[Date of Call]])&lt;=6,YEAR(calls[[#This Row],[Date of Call]]),YEAR(calls[[#This Row],[Date of Call]])+1)</f>
        <v>2023</v>
      </c>
      <c r="I141" t="str">
        <f>TEXT(calls[[#This Row],[Date of Call]],"DDDD")</f>
        <v>Saturday</v>
      </c>
      <c r="J141" t="str" cm="1">
        <f t="array" ref="J141">_xlfn.IFS(calls[[#This Row],[Duration]]&lt;=10,"UNDER 10 MINS",calls[[#This Row],[Duration]]&lt;=30,"10 TO 30 MINS",calls[[#This Row],[Duration]]&lt;=60,"30 TO 60 MINS",calls[[#This Row],[Duration]]&lt;=120,"1 TO 2 HRS",TRUE,"MORE THAN 2 HRS")</f>
        <v>1 TO 2 HRS</v>
      </c>
      <c r="K141">
        <f>ROUND(calls[[#This Row],[Satisfaction Rating]],0)</f>
        <v>3</v>
      </c>
    </row>
    <row r="142" spans="1:11" x14ac:dyDescent="0.3">
      <c r="A142" s="41" t="s">
        <v>1193</v>
      </c>
      <c r="B142" s="10" t="s">
        <v>1089</v>
      </c>
      <c r="C142" s="10">
        <v>151</v>
      </c>
      <c r="D142" s="39" t="s">
        <v>1053</v>
      </c>
      <c r="E142" s="40">
        <v>44983</v>
      </c>
      <c r="F142" s="10">
        <v>46</v>
      </c>
      <c r="G142" s="42">
        <v>4.9000000000000004</v>
      </c>
      <c r="H142">
        <f>IF(MONTH(calls[[#This Row],[Date of Call]])&lt;=6,YEAR(calls[[#This Row],[Date of Call]]),YEAR(calls[[#This Row],[Date of Call]])+1)</f>
        <v>2023</v>
      </c>
      <c r="I142" t="str">
        <f>TEXT(calls[[#This Row],[Date of Call]],"DDDD")</f>
        <v>Sunday</v>
      </c>
      <c r="J142" t="str" cm="1">
        <f t="array" ref="J142">_xlfn.IFS(calls[[#This Row],[Duration]]&lt;=10,"UNDER 10 MINS",calls[[#This Row],[Duration]]&lt;=30,"10 TO 30 MINS",calls[[#This Row],[Duration]]&lt;=60,"30 TO 60 MINS",calls[[#This Row],[Duration]]&lt;=120,"1 TO 2 HRS",TRUE,"MORE THAN 2 HRS")</f>
        <v>MORE THAN 2 HRS</v>
      </c>
      <c r="K142">
        <f>ROUND(calls[[#This Row],[Satisfaction Rating]],0)</f>
        <v>5</v>
      </c>
    </row>
    <row r="143" spans="1:11" x14ac:dyDescent="0.3">
      <c r="A143" s="41" t="s">
        <v>1194</v>
      </c>
      <c r="B143" s="10" t="s">
        <v>1079</v>
      </c>
      <c r="C143" s="10">
        <v>102</v>
      </c>
      <c r="D143" s="39" t="s">
        <v>1048</v>
      </c>
      <c r="E143" s="40">
        <v>44983</v>
      </c>
      <c r="F143" s="10">
        <v>165</v>
      </c>
      <c r="G143" s="42">
        <v>2.7</v>
      </c>
      <c r="H143">
        <f>IF(MONTH(calls[[#This Row],[Date of Call]])&lt;=6,YEAR(calls[[#This Row],[Date of Call]]),YEAR(calls[[#This Row],[Date of Call]])+1)</f>
        <v>2023</v>
      </c>
      <c r="I143" t="str">
        <f>TEXT(calls[[#This Row],[Date of Call]],"DDDD")</f>
        <v>Sunday</v>
      </c>
      <c r="J143" t="str" cm="1">
        <f t="array" ref="J143">_xlfn.IFS(calls[[#This Row],[Duration]]&lt;=10,"UNDER 10 MINS",calls[[#This Row],[Duration]]&lt;=30,"10 TO 30 MINS",calls[[#This Row],[Duration]]&lt;=60,"30 TO 60 MINS",calls[[#This Row],[Duration]]&lt;=120,"1 TO 2 HRS",TRUE,"MORE THAN 2 HRS")</f>
        <v>1 TO 2 HRS</v>
      </c>
      <c r="K143">
        <f>ROUND(calls[[#This Row],[Satisfaction Rating]],0)</f>
        <v>3</v>
      </c>
    </row>
    <row r="144" spans="1:11" x14ac:dyDescent="0.3">
      <c r="A144" s="41" t="s">
        <v>1195</v>
      </c>
      <c r="B144" s="10" t="s">
        <v>1071</v>
      </c>
      <c r="C144" s="10">
        <v>64</v>
      </c>
      <c r="D144" s="39" t="s">
        <v>1038</v>
      </c>
      <c r="E144" s="40">
        <v>44983</v>
      </c>
      <c r="F144" s="10">
        <v>84</v>
      </c>
      <c r="G144" s="42">
        <v>4.0999999999999996</v>
      </c>
      <c r="H144">
        <f>IF(MONTH(calls[[#This Row],[Date of Call]])&lt;=6,YEAR(calls[[#This Row],[Date of Call]]),YEAR(calls[[#This Row],[Date of Call]])+1)</f>
        <v>2023</v>
      </c>
      <c r="I144" t="str">
        <f>TEXT(calls[[#This Row],[Date of Call]],"DDDD")</f>
        <v>Sunday</v>
      </c>
      <c r="J144" t="str" cm="1">
        <f t="array" ref="J144">_xlfn.IFS(calls[[#This Row],[Duration]]&lt;=10,"UNDER 10 MINS",calls[[#This Row],[Duration]]&lt;=30,"10 TO 30 MINS",calls[[#This Row],[Duration]]&lt;=60,"30 TO 60 MINS",calls[[#This Row],[Duration]]&lt;=120,"1 TO 2 HRS",TRUE,"MORE THAN 2 HRS")</f>
        <v>1 TO 2 HRS</v>
      </c>
      <c r="K144">
        <f>ROUND(calls[[#This Row],[Satisfaction Rating]],0)</f>
        <v>4</v>
      </c>
    </row>
    <row r="145" spans="1:11" x14ac:dyDescent="0.3">
      <c r="A145" s="41" t="s">
        <v>1196</v>
      </c>
      <c r="B145" s="10" t="s">
        <v>1040</v>
      </c>
      <c r="C145" s="10">
        <v>6</v>
      </c>
      <c r="D145" s="39" t="s">
        <v>1048</v>
      </c>
      <c r="E145" s="40">
        <v>44984</v>
      </c>
      <c r="F145" s="10">
        <v>102</v>
      </c>
      <c r="G145" s="42">
        <v>4.4000000000000004</v>
      </c>
      <c r="H145">
        <f>IF(MONTH(calls[[#This Row],[Date of Call]])&lt;=6,YEAR(calls[[#This Row],[Date of Call]]),YEAR(calls[[#This Row],[Date of Call]])+1)</f>
        <v>2023</v>
      </c>
      <c r="I145" t="str">
        <f>TEXT(calls[[#This Row],[Date of Call]],"DDDD")</f>
        <v>Monday</v>
      </c>
      <c r="J145" t="str" cm="1">
        <f t="array" ref="J145">_xlfn.IFS(calls[[#This Row],[Duration]]&lt;=10,"UNDER 10 MINS",calls[[#This Row],[Duration]]&lt;=30,"10 TO 30 MINS",calls[[#This Row],[Duration]]&lt;=60,"30 TO 60 MINS",calls[[#This Row],[Duration]]&lt;=120,"1 TO 2 HRS",TRUE,"MORE THAN 2 HRS")</f>
        <v>UNDER 10 MINS</v>
      </c>
      <c r="K145">
        <f>ROUND(calls[[#This Row],[Satisfaction Rating]],0)</f>
        <v>4</v>
      </c>
    </row>
    <row r="146" spans="1:11" x14ac:dyDescent="0.3">
      <c r="A146" s="41" t="s">
        <v>1197</v>
      </c>
      <c r="B146" s="10" t="s">
        <v>1071</v>
      </c>
      <c r="C146" s="10">
        <v>129</v>
      </c>
      <c r="D146" s="39" t="s">
        <v>1038</v>
      </c>
      <c r="E146" s="40">
        <v>44984</v>
      </c>
      <c r="F146" s="10">
        <v>180</v>
      </c>
      <c r="G146" s="42">
        <v>4.8</v>
      </c>
      <c r="H146">
        <f>IF(MONTH(calls[[#This Row],[Date of Call]])&lt;=6,YEAR(calls[[#This Row],[Date of Call]]),YEAR(calls[[#This Row],[Date of Call]])+1)</f>
        <v>2023</v>
      </c>
      <c r="I146" t="str">
        <f>TEXT(calls[[#This Row],[Date of Call]],"DDDD")</f>
        <v>Monday</v>
      </c>
      <c r="J146" t="str" cm="1">
        <f t="array" ref="J146">_xlfn.IFS(calls[[#This Row],[Duration]]&lt;=10,"UNDER 10 MINS",calls[[#This Row],[Duration]]&lt;=30,"10 TO 30 MINS",calls[[#This Row],[Duration]]&lt;=60,"30 TO 60 MINS",calls[[#This Row],[Duration]]&lt;=120,"1 TO 2 HRS",TRUE,"MORE THAN 2 HRS")</f>
        <v>MORE THAN 2 HRS</v>
      </c>
      <c r="K146">
        <f>ROUND(calls[[#This Row],[Satisfaction Rating]],0)</f>
        <v>5</v>
      </c>
    </row>
    <row r="147" spans="1:11" x14ac:dyDescent="0.3">
      <c r="A147" s="41" t="s">
        <v>1198</v>
      </c>
      <c r="B147" s="10" t="s">
        <v>1068</v>
      </c>
      <c r="C147" s="10">
        <v>42</v>
      </c>
      <c r="D147" s="39" t="s">
        <v>1053</v>
      </c>
      <c r="E147" s="40">
        <v>44985</v>
      </c>
      <c r="F147" s="10">
        <v>111</v>
      </c>
      <c r="G147" s="42">
        <v>3</v>
      </c>
      <c r="H147">
        <f>IF(MONTH(calls[[#This Row],[Date of Call]])&lt;=6,YEAR(calls[[#This Row],[Date of Call]]),YEAR(calls[[#This Row],[Date of Call]])+1)</f>
        <v>2023</v>
      </c>
      <c r="I147" t="str">
        <f>TEXT(calls[[#This Row],[Date of Call]],"DDDD")</f>
        <v>Tuesday</v>
      </c>
      <c r="J147" t="str" cm="1">
        <f t="array" ref="J147">_xlfn.IFS(calls[[#This Row],[Duration]]&lt;=10,"UNDER 10 MINS",calls[[#This Row],[Duration]]&lt;=30,"10 TO 30 MINS",calls[[#This Row],[Duration]]&lt;=60,"30 TO 60 MINS",calls[[#This Row],[Duration]]&lt;=120,"1 TO 2 HRS",TRUE,"MORE THAN 2 HRS")</f>
        <v>30 TO 60 MINS</v>
      </c>
      <c r="K147">
        <f>ROUND(calls[[#This Row],[Satisfaction Rating]],0)</f>
        <v>3</v>
      </c>
    </row>
    <row r="148" spans="1:11" x14ac:dyDescent="0.3">
      <c r="A148" s="41" t="s">
        <v>1199</v>
      </c>
      <c r="B148" s="10" t="s">
        <v>1068</v>
      </c>
      <c r="C148" s="10">
        <v>71</v>
      </c>
      <c r="D148" s="39" t="s">
        <v>1057</v>
      </c>
      <c r="E148" s="40">
        <v>44985</v>
      </c>
      <c r="F148" s="10">
        <v>104</v>
      </c>
      <c r="G148" s="42">
        <v>3.1</v>
      </c>
      <c r="H148">
        <f>IF(MONTH(calls[[#This Row],[Date of Call]])&lt;=6,YEAR(calls[[#This Row],[Date of Call]]),YEAR(calls[[#This Row],[Date of Call]])+1)</f>
        <v>2023</v>
      </c>
      <c r="I148" t="str">
        <f>TEXT(calls[[#This Row],[Date of Call]],"DDDD")</f>
        <v>Tuesday</v>
      </c>
      <c r="J148" t="str" cm="1">
        <f t="array" ref="J148">_xlfn.IFS(calls[[#This Row],[Duration]]&lt;=10,"UNDER 10 MINS",calls[[#This Row],[Duration]]&lt;=30,"10 TO 30 MINS",calls[[#This Row],[Duration]]&lt;=60,"30 TO 60 MINS",calls[[#This Row],[Duration]]&lt;=120,"1 TO 2 HRS",TRUE,"MORE THAN 2 HRS")</f>
        <v>1 TO 2 HRS</v>
      </c>
      <c r="K148">
        <f>ROUND(calls[[#This Row],[Satisfaction Rating]],0)</f>
        <v>3</v>
      </c>
    </row>
    <row r="149" spans="1:11" x14ac:dyDescent="0.3">
      <c r="A149" s="41" t="s">
        <v>1200</v>
      </c>
      <c r="B149" s="10" t="s">
        <v>1042</v>
      </c>
      <c r="C149" s="10">
        <v>53</v>
      </c>
      <c r="D149" s="39" t="s">
        <v>1048</v>
      </c>
      <c r="E149" s="40">
        <v>44985</v>
      </c>
      <c r="F149" s="10">
        <v>80</v>
      </c>
      <c r="G149" s="42">
        <v>2.6</v>
      </c>
      <c r="H149">
        <f>IF(MONTH(calls[[#This Row],[Date of Call]])&lt;=6,YEAR(calls[[#This Row],[Date of Call]]),YEAR(calls[[#This Row],[Date of Call]])+1)</f>
        <v>2023</v>
      </c>
      <c r="I149" t="str">
        <f>TEXT(calls[[#This Row],[Date of Call]],"DDDD")</f>
        <v>Tuesday</v>
      </c>
      <c r="J149" t="str" cm="1">
        <f t="array" ref="J149">_xlfn.IFS(calls[[#This Row],[Duration]]&lt;=10,"UNDER 10 MINS",calls[[#This Row],[Duration]]&lt;=30,"10 TO 30 MINS",calls[[#This Row],[Duration]]&lt;=60,"30 TO 60 MINS",calls[[#This Row],[Duration]]&lt;=120,"1 TO 2 HRS",TRUE,"MORE THAN 2 HRS")</f>
        <v>30 TO 60 MINS</v>
      </c>
      <c r="K149">
        <f>ROUND(calls[[#This Row],[Satisfaction Rating]],0)</f>
        <v>3</v>
      </c>
    </row>
    <row r="150" spans="1:11" x14ac:dyDescent="0.3">
      <c r="A150" s="41" t="s">
        <v>1201</v>
      </c>
      <c r="B150" s="10" t="s">
        <v>1047</v>
      </c>
      <c r="C150" s="10">
        <v>155</v>
      </c>
      <c r="D150" s="39" t="s">
        <v>1057</v>
      </c>
      <c r="E150" s="40">
        <v>44986</v>
      </c>
      <c r="F150" s="10">
        <v>132</v>
      </c>
      <c r="G150" s="42">
        <v>4.5999999999999996</v>
      </c>
      <c r="H150">
        <f>IF(MONTH(calls[[#This Row],[Date of Call]])&lt;=6,YEAR(calls[[#This Row],[Date of Call]]),YEAR(calls[[#This Row],[Date of Call]])+1)</f>
        <v>2023</v>
      </c>
      <c r="I150" t="str">
        <f>TEXT(calls[[#This Row],[Date of Call]],"DDDD")</f>
        <v>Wednesday</v>
      </c>
      <c r="J150" t="str" cm="1">
        <f t="array" ref="J150">_xlfn.IFS(calls[[#This Row],[Duration]]&lt;=10,"UNDER 10 MINS",calls[[#This Row],[Duration]]&lt;=30,"10 TO 30 MINS",calls[[#This Row],[Duration]]&lt;=60,"30 TO 60 MINS",calls[[#This Row],[Duration]]&lt;=120,"1 TO 2 HRS",TRUE,"MORE THAN 2 HRS")</f>
        <v>MORE THAN 2 HRS</v>
      </c>
      <c r="K150">
        <f>ROUND(calls[[#This Row],[Satisfaction Rating]],0)</f>
        <v>5</v>
      </c>
    </row>
    <row r="151" spans="1:11" x14ac:dyDescent="0.3">
      <c r="A151" s="41" t="s">
        <v>1202</v>
      </c>
      <c r="B151" s="10" t="s">
        <v>1047</v>
      </c>
      <c r="C151" s="10">
        <v>90</v>
      </c>
      <c r="D151" s="39" t="s">
        <v>1053</v>
      </c>
      <c r="E151" s="40">
        <v>44986</v>
      </c>
      <c r="F151" s="10">
        <v>170</v>
      </c>
      <c r="G151" s="42">
        <v>3.7</v>
      </c>
      <c r="H151">
        <f>IF(MONTH(calls[[#This Row],[Date of Call]])&lt;=6,YEAR(calls[[#This Row],[Date of Call]]),YEAR(calls[[#This Row],[Date of Call]])+1)</f>
        <v>2023</v>
      </c>
      <c r="I151" t="str">
        <f>TEXT(calls[[#This Row],[Date of Call]],"DDDD")</f>
        <v>Wednesday</v>
      </c>
      <c r="J151" t="str" cm="1">
        <f t="array" ref="J151">_xlfn.IFS(calls[[#This Row],[Duration]]&lt;=10,"UNDER 10 MINS",calls[[#This Row],[Duration]]&lt;=30,"10 TO 30 MINS",calls[[#This Row],[Duration]]&lt;=60,"30 TO 60 MINS",calls[[#This Row],[Duration]]&lt;=120,"1 TO 2 HRS",TRUE,"MORE THAN 2 HRS")</f>
        <v>1 TO 2 HRS</v>
      </c>
      <c r="K151">
        <f>ROUND(calls[[#This Row],[Satisfaction Rating]],0)</f>
        <v>4</v>
      </c>
    </row>
    <row r="152" spans="1:11" x14ac:dyDescent="0.3">
      <c r="A152" s="41" t="s">
        <v>1203</v>
      </c>
      <c r="B152" s="10" t="s">
        <v>1071</v>
      </c>
      <c r="C152" s="10">
        <v>166</v>
      </c>
      <c r="D152" s="39" t="s">
        <v>1043</v>
      </c>
      <c r="E152" s="40">
        <v>44986</v>
      </c>
      <c r="F152" s="10">
        <v>36</v>
      </c>
      <c r="G152" s="42">
        <v>3.8</v>
      </c>
      <c r="H152">
        <f>IF(MONTH(calls[[#This Row],[Date of Call]])&lt;=6,YEAR(calls[[#This Row],[Date of Call]]),YEAR(calls[[#This Row],[Date of Call]])+1)</f>
        <v>2023</v>
      </c>
      <c r="I152" t="str">
        <f>TEXT(calls[[#This Row],[Date of Call]],"DDDD")</f>
        <v>Wednesday</v>
      </c>
      <c r="J152" t="str" cm="1">
        <f t="array" ref="J152">_xlfn.IFS(calls[[#This Row],[Duration]]&lt;=10,"UNDER 10 MINS",calls[[#This Row],[Duration]]&lt;=30,"10 TO 30 MINS",calls[[#This Row],[Duration]]&lt;=60,"30 TO 60 MINS",calls[[#This Row],[Duration]]&lt;=120,"1 TO 2 HRS",TRUE,"MORE THAN 2 HRS")</f>
        <v>MORE THAN 2 HRS</v>
      </c>
      <c r="K152">
        <f>ROUND(calls[[#This Row],[Satisfaction Rating]],0)</f>
        <v>4</v>
      </c>
    </row>
    <row r="153" spans="1:11" x14ac:dyDescent="0.3">
      <c r="A153" s="41" t="s">
        <v>1204</v>
      </c>
      <c r="B153" s="10" t="s">
        <v>1062</v>
      </c>
      <c r="C153" s="10">
        <v>89</v>
      </c>
      <c r="D153" s="39" t="s">
        <v>1057</v>
      </c>
      <c r="E153" s="40">
        <v>44986</v>
      </c>
      <c r="F153" s="10">
        <v>126</v>
      </c>
      <c r="G153" s="42">
        <v>3.6</v>
      </c>
      <c r="H153">
        <f>IF(MONTH(calls[[#This Row],[Date of Call]])&lt;=6,YEAR(calls[[#This Row],[Date of Call]]),YEAR(calls[[#This Row],[Date of Call]])+1)</f>
        <v>2023</v>
      </c>
      <c r="I153" t="str">
        <f>TEXT(calls[[#This Row],[Date of Call]],"DDDD")</f>
        <v>Wednesday</v>
      </c>
      <c r="J153" t="str" cm="1">
        <f t="array" ref="J153">_xlfn.IFS(calls[[#This Row],[Duration]]&lt;=10,"UNDER 10 MINS",calls[[#This Row],[Duration]]&lt;=30,"10 TO 30 MINS",calls[[#This Row],[Duration]]&lt;=60,"30 TO 60 MINS",calls[[#This Row],[Duration]]&lt;=120,"1 TO 2 HRS",TRUE,"MORE THAN 2 HRS")</f>
        <v>1 TO 2 HRS</v>
      </c>
      <c r="K153">
        <f>ROUND(calls[[#This Row],[Satisfaction Rating]],0)</f>
        <v>4</v>
      </c>
    </row>
    <row r="154" spans="1:11" x14ac:dyDescent="0.3">
      <c r="A154" s="41" t="s">
        <v>1205</v>
      </c>
      <c r="B154" s="10" t="s">
        <v>1076</v>
      </c>
      <c r="C154" s="10">
        <v>152</v>
      </c>
      <c r="D154" s="39" t="s">
        <v>1048</v>
      </c>
      <c r="E154" s="40">
        <v>44986</v>
      </c>
      <c r="F154" s="10">
        <v>215</v>
      </c>
      <c r="G154" s="42">
        <v>4.4000000000000004</v>
      </c>
      <c r="H154">
        <f>IF(MONTH(calls[[#This Row],[Date of Call]])&lt;=6,YEAR(calls[[#This Row],[Date of Call]]),YEAR(calls[[#This Row],[Date of Call]])+1)</f>
        <v>2023</v>
      </c>
      <c r="I154" t="str">
        <f>TEXT(calls[[#This Row],[Date of Call]],"DDDD")</f>
        <v>Wednesday</v>
      </c>
      <c r="J154" t="str" cm="1">
        <f t="array" ref="J154">_xlfn.IFS(calls[[#This Row],[Duration]]&lt;=10,"UNDER 10 MINS",calls[[#This Row],[Duration]]&lt;=30,"10 TO 30 MINS",calls[[#This Row],[Duration]]&lt;=60,"30 TO 60 MINS",calls[[#This Row],[Duration]]&lt;=120,"1 TO 2 HRS",TRUE,"MORE THAN 2 HRS")</f>
        <v>MORE THAN 2 HRS</v>
      </c>
      <c r="K154">
        <f>ROUND(calls[[#This Row],[Satisfaction Rating]],0)</f>
        <v>4</v>
      </c>
    </row>
    <row r="155" spans="1:11" x14ac:dyDescent="0.3">
      <c r="A155" s="41" t="s">
        <v>1206</v>
      </c>
      <c r="B155" s="10" t="s">
        <v>1062</v>
      </c>
      <c r="C155" s="10">
        <v>137</v>
      </c>
      <c r="D155" s="39" t="s">
        <v>1053</v>
      </c>
      <c r="E155" s="40">
        <v>44986</v>
      </c>
      <c r="F155" s="10">
        <v>114</v>
      </c>
      <c r="G155" s="42">
        <v>3.2</v>
      </c>
      <c r="H155">
        <f>IF(MONTH(calls[[#This Row],[Date of Call]])&lt;=6,YEAR(calls[[#This Row],[Date of Call]]),YEAR(calls[[#This Row],[Date of Call]])+1)</f>
        <v>2023</v>
      </c>
      <c r="I155" t="str">
        <f>TEXT(calls[[#This Row],[Date of Call]],"DDDD")</f>
        <v>Wednesday</v>
      </c>
      <c r="J155" t="str" cm="1">
        <f t="array" ref="J155">_xlfn.IFS(calls[[#This Row],[Duration]]&lt;=10,"UNDER 10 MINS",calls[[#This Row],[Duration]]&lt;=30,"10 TO 30 MINS",calls[[#This Row],[Duration]]&lt;=60,"30 TO 60 MINS",calls[[#This Row],[Duration]]&lt;=120,"1 TO 2 HRS",TRUE,"MORE THAN 2 HRS")</f>
        <v>MORE THAN 2 HRS</v>
      </c>
      <c r="K155">
        <f>ROUND(calls[[#This Row],[Satisfaction Rating]],0)</f>
        <v>3</v>
      </c>
    </row>
    <row r="156" spans="1:11" x14ac:dyDescent="0.3">
      <c r="A156" s="41" t="s">
        <v>1207</v>
      </c>
      <c r="B156" s="10" t="s">
        <v>1062</v>
      </c>
      <c r="C156" s="10">
        <v>43</v>
      </c>
      <c r="D156" s="39" t="s">
        <v>1053</v>
      </c>
      <c r="E156" s="40">
        <v>44986</v>
      </c>
      <c r="F156" s="10">
        <v>99</v>
      </c>
      <c r="G156" s="42">
        <v>4.7</v>
      </c>
      <c r="H156">
        <f>IF(MONTH(calls[[#This Row],[Date of Call]])&lt;=6,YEAR(calls[[#This Row],[Date of Call]]),YEAR(calls[[#This Row],[Date of Call]])+1)</f>
        <v>2023</v>
      </c>
      <c r="I156" t="str">
        <f>TEXT(calls[[#This Row],[Date of Call]],"DDDD")</f>
        <v>Wednesday</v>
      </c>
      <c r="J156" t="str" cm="1">
        <f t="array" ref="J156">_xlfn.IFS(calls[[#This Row],[Duration]]&lt;=10,"UNDER 10 MINS",calls[[#This Row],[Duration]]&lt;=30,"10 TO 30 MINS",calls[[#This Row],[Duration]]&lt;=60,"30 TO 60 MINS",calls[[#This Row],[Duration]]&lt;=120,"1 TO 2 HRS",TRUE,"MORE THAN 2 HRS")</f>
        <v>30 TO 60 MINS</v>
      </c>
      <c r="K156">
        <f>ROUND(calls[[#This Row],[Satisfaction Rating]],0)</f>
        <v>5</v>
      </c>
    </row>
    <row r="157" spans="1:11" x14ac:dyDescent="0.3">
      <c r="A157" s="41" t="s">
        <v>1208</v>
      </c>
      <c r="B157" s="10" t="s">
        <v>1056</v>
      </c>
      <c r="C157" s="10">
        <v>114</v>
      </c>
      <c r="D157" s="39" t="s">
        <v>1053</v>
      </c>
      <c r="E157" s="40">
        <v>44987</v>
      </c>
      <c r="F157" s="10">
        <v>23</v>
      </c>
      <c r="G157" s="42">
        <v>4.8</v>
      </c>
      <c r="H157">
        <f>IF(MONTH(calls[[#This Row],[Date of Call]])&lt;=6,YEAR(calls[[#This Row],[Date of Call]]),YEAR(calls[[#This Row],[Date of Call]])+1)</f>
        <v>2023</v>
      </c>
      <c r="I157" t="str">
        <f>TEXT(calls[[#This Row],[Date of Call]],"DDDD")</f>
        <v>Thursday</v>
      </c>
      <c r="J157" t="str" cm="1">
        <f t="array" ref="J157">_xlfn.IFS(calls[[#This Row],[Duration]]&lt;=10,"UNDER 10 MINS",calls[[#This Row],[Duration]]&lt;=30,"10 TO 30 MINS",calls[[#This Row],[Duration]]&lt;=60,"30 TO 60 MINS",calls[[#This Row],[Duration]]&lt;=120,"1 TO 2 HRS",TRUE,"MORE THAN 2 HRS")</f>
        <v>1 TO 2 HRS</v>
      </c>
      <c r="K157">
        <f>ROUND(calls[[#This Row],[Satisfaction Rating]],0)</f>
        <v>5</v>
      </c>
    </row>
    <row r="158" spans="1:11" x14ac:dyDescent="0.3">
      <c r="A158" s="41" t="s">
        <v>1209</v>
      </c>
      <c r="B158" s="10" t="s">
        <v>1045</v>
      </c>
      <c r="C158" s="10">
        <v>103</v>
      </c>
      <c r="D158" s="39" t="s">
        <v>1057</v>
      </c>
      <c r="E158" s="40">
        <v>44987</v>
      </c>
      <c r="F158" s="10">
        <v>75</v>
      </c>
      <c r="G158" s="42">
        <v>2.7</v>
      </c>
      <c r="H158">
        <f>IF(MONTH(calls[[#This Row],[Date of Call]])&lt;=6,YEAR(calls[[#This Row],[Date of Call]]),YEAR(calls[[#This Row],[Date of Call]])+1)</f>
        <v>2023</v>
      </c>
      <c r="I158" t="str">
        <f>TEXT(calls[[#This Row],[Date of Call]],"DDDD")</f>
        <v>Thursday</v>
      </c>
      <c r="J158" t="str" cm="1">
        <f t="array" ref="J158">_xlfn.IFS(calls[[#This Row],[Duration]]&lt;=10,"UNDER 10 MINS",calls[[#This Row],[Duration]]&lt;=30,"10 TO 30 MINS",calls[[#This Row],[Duration]]&lt;=60,"30 TO 60 MINS",calls[[#This Row],[Duration]]&lt;=120,"1 TO 2 HRS",TRUE,"MORE THAN 2 HRS")</f>
        <v>1 TO 2 HRS</v>
      </c>
      <c r="K158">
        <f>ROUND(calls[[#This Row],[Satisfaction Rating]],0)</f>
        <v>3</v>
      </c>
    </row>
    <row r="159" spans="1:11" x14ac:dyDescent="0.3">
      <c r="A159" s="41" t="s">
        <v>1210</v>
      </c>
      <c r="B159" s="10" t="s">
        <v>1062</v>
      </c>
      <c r="C159" s="10">
        <v>98</v>
      </c>
      <c r="D159" s="39" t="s">
        <v>1048</v>
      </c>
      <c r="E159" s="40">
        <v>44987</v>
      </c>
      <c r="F159" s="10">
        <v>100</v>
      </c>
      <c r="G159" s="42">
        <v>3.8</v>
      </c>
      <c r="H159">
        <f>IF(MONTH(calls[[#This Row],[Date of Call]])&lt;=6,YEAR(calls[[#This Row],[Date of Call]]),YEAR(calls[[#This Row],[Date of Call]])+1)</f>
        <v>2023</v>
      </c>
      <c r="I159" t="str">
        <f>TEXT(calls[[#This Row],[Date of Call]],"DDDD")</f>
        <v>Thursday</v>
      </c>
      <c r="J159" t="str" cm="1">
        <f t="array" ref="J159">_xlfn.IFS(calls[[#This Row],[Duration]]&lt;=10,"UNDER 10 MINS",calls[[#This Row],[Duration]]&lt;=30,"10 TO 30 MINS",calls[[#This Row],[Duration]]&lt;=60,"30 TO 60 MINS",calls[[#This Row],[Duration]]&lt;=120,"1 TO 2 HRS",TRUE,"MORE THAN 2 HRS")</f>
        <v>1 TO 2 HRS</v>
      </c>
      <c r="K159">
        <f>ROUND(calls[[#This Row],[Satisfaction Rating]],0)</f>
        <v>4</v>
      </c>
    </row>
    <row r="160" spans="1:11" x14ac:dyDescent="0.3">
      <c r="A160" s="41" t="s">
        <v>1211</v>
      </c>
      <c r="B160" s="10" t="s">
        <v>1071</v>
      </c>
      <c r="C160" s="10">
        <v>106</v>
      </c>
      <c r="D160" s="39" t="s">
        <v>1043</v>
      </c>
      <c r="E160" s="40">
        <v>44987</v>
      </c>
      <c r="F160" s="10">
        <v>108</v>
      </c>
      <c r="G160" s="42">
        <v>4.3</v>
      </c>
      <c r="H160">
        <f>IF(MONTH(calls[[#This Row],[Date of Call]])&lt;=6,YEAR(calls[[#This Row],[Date of Call]]),YEAR(calls[[#This Row],[Date of Call]])+1)</f>
        <v>2023</v>
      </c>
      <c r="I160" t="str">
        <f>TEXT(calls[[#This Row],[Date of Call]],"DDDD")</f>
        <v>Thursday</v>
      </c>
      <c r="J160" t="str" cm="1">
        <f t="array" ref="J160">_xlfn.IFS(calls[[#This Row],[Duration]]&lt;=10,"UNDER 10 MINS",calls[[#This Row],[Duration]]&lt;=30,"10 TO 30 MINS",calls[[#This Row],[Duration]]&lt;=60,"30 TO 60 MINS",calls[[#This Row],[Duration]]&lt;=120,"1 TO 2 HRS",TRUE,"MORE THAN 2 HRS")</f>
        <v>1 TO 2 HRS</v>
      </c>
      <c r="K160">
        <f>ROUND(calls[[#This Row],[Satisfaction Rating]],0)</f>
        <v>4</v>
      </c>
    </row>
    <row r="161" spans="1:11" x14ac:dyDescent="0.3">
      <c r="A161" s="41" t="s">
        <v>1212</v>
      </c>
      <c r="B161" s="10" t="s">
        <v>1040</v>
      </c>
      <c r="C161" s="10">
        <v>96</v>
      </c>
      <c r="D161" s="39" t="s">
        <v>1043</v>
      </c>
      <c r="E161" s="40">
        <v>44987</v>
      </c>
      <c r="F161" s="10">
        <v>108</v>
      </c>
      <c r="G161" s="42">
        <v>5</v>
      </c>
      <c r="H161">
        <f>IF(MONTH(calls[[#This Row],[Date of Call]])&lt;=6,YEAR(calls[[#This Row],[Date of Call]]),YEAR(calls[[#This Row],[Date of Call]])+1)</f>
        <v>2023</v>
      </c>
      <c r="I161" t="str">
        <f>TEXT(calls[[#This Row],[Date of Call]],"DDDD")</f>
        <v>Thursday</v>
      </c>
      <c r="J161" t="str" cm="1">
        <f t="array" ref="J161">_xlfn.IFS(calls[[#This Row],[Duration]]&lt;=10,"UNDER 10 MINS",calls[[#This Row],[Duration]]&lt;=30,"10 TO 30 MINS",calls[[#This Row],[Duration]]&lt;=60,"30 TO 60 MINS",calls[[#This Row],[Duration]]&lt;=120,"1 TO 2 HRS",TRUE,"MORE THAN 2 HRS")</f>
        <v>1 TO 2 HRS</v>
      </c>
      <c r="K161">
        <f>ROUND(calls[[#This Row],[Satisfaction Rating]],0)</f>
        <v>5</v>
      </c>
    </row>
    <row r="162" spans="1:11" x14ac:dyDescent="0.3">
      <c r="A162" s="41" t="s">
        <v>1213</v>
      </c>
      <c r="B162" s="10" t="s">
        <v>1045</v>
      </c>
      <c r="C162" s="10">
        <v>70</v>
      </c>
      <c r="D162" s="39" t="s">
        <v>1043</v>
      </c>
      <c r="E162" s="40">
        <v>44987</v>
      </c>
      <c r="F162" s="10">
        <v>28</v>
      </c>
      <c r="G162" s="42">
        <v>4.8</v>
      </c>
      <c r="H162">
        <f>IF(MONTH(calls[[#This Row],[Date of Call]])&lt;=6,YEAR(calls[[#This Row],[Date of Call]]),YEAR(calls[[#This Row],[Date of Call]])+1)</f>
        <v>2023</v>
      </c>
      <c r="I162" t="str">
        <f>TEXT(calls[[#This Row],[Date of Call]],"DDDD")</f>
        <v>Thursday</v>
      </c>
      <c r="J162" t="str" cm="1">
        <f t="array" ref="J162">_xlfn.IFS(calls[[#This Row],[Duration]]&lt;=10,"UNDER 10 MINS",calls[[#This Row],[Duration]]&lt;=30,"10 TO 30 MINS",calls[[#This Row],[Duration]]&lt;=60,"30 TO 60 MINS",calls[[#This Row],[Duration]]&lt;=120,"1 TO 2 HRS",TRUE,"MORE THAN 2 HRS")</f>
        <v>1 TO 2 HRS</v>
      </c>
      <c r="K162">
        <f>ROUND(calls[[#This Row],[Satisfaction Rating]],0)</f>
        <v>5</v>
      </c>
    </row>
    <row r="163" spans="1:11" x14ac:dyDescent="0.3">
      <c r="A163" s="41" t="s">
        <v>1214</v>
      </c>
      <c r="B163" s="10" t="s">
        <v>1068</v>
      </c>
      <c r="C163" s="10">
        <v>86</v>
      </c>
      <c r="D163" s="39" t="s">
        <v>1038</v>
      </c>
      <c r="E163" s="40">
        <v>44988</v>
      </c>
      <c r="F163" s="10">
        <v>70</v>
      </c>
      <c r="G163" s="42">
        <v>4.9000000000000004</v>
      </c>
      <c r="H163">
        <f>IF(MONTH(calls[[#This Row],[Date of Call]])&lt;=6,YEAR(calls[[#This Row],[Date of Call]]),YEAR(calls[[#This Row],[Date of Call]])+1)</f>
        <v>2023</v>
      </c>
      <c r="I163" t="str">
        <f>TEXT(calls[[#This Row],[Date of Call]],"DDDD")</f>
        <v>Friday</v>
      </c>
      <c r="J163" t="str" cm="1">
        <f t="array" ref="J163">_xlfn.IFS(calls[[#This Row],[Duration]]&lt;=10,"UNDER 10 MINS",calls[[#This Row],[Duration]]&lt;=30,"10 TO 30 MINS",calls[[#This Row],[Duration]]&lt;=60,"30 TO 60 MINS",calls[[#This Row],[Duration]]&lt;=120,"1 TO 2 HRS",TRUE,"MORE THAN 2 HRS")</f>
        <v>1 TO 2 HRS</v>
      </c>
      <c r="K163">
        <f>ROUND(calls[[#This Row],[Satisfaction Rating]],0)</f>
        <v>5</v>
      </c>
    </row>
    <row r="164" spans="1:11" x14ac:dyDescent="0.3">
      <c r="A164" s="41" t="s">
        <v>1215</v>
      </c>
      <c r="B164" s="10" t="s">
        <v>1042</v>
      </c>
      <c r="C164" s="10">
        <v>64</v>
      </c>
      <c r="D164" s="39" t="s">
        <v>1038</v>
      </c>
      <c r="E164" s="40">
        <v>44988</v>
      </c>
      <c r="F164" s="10">
        <v>172</v>
      </c>
      <c r="G164" s="42">
        <v>4.0999999999999996</v>
      </c>
      <c r="H164">
        <f>IF(MONTH(calls[[#This Row],[Date of Call]])&lt;=6,YEAR(calls[[#This Row],[Date of Call]]),YEAR(calls[[#This Row],[Date of Call]])+1)</f>
        <v>2023</v>
      </c>
      <c r="I164" t="str">
        <f>TEXT(calls[[#This Row],[Date of Call]],"DDDD")</f>
        <v>Friday</v>
      </c>
      <c r="J164" t="str" cm="1">
        <f t="array" ref="J164">_xlfn.IFS(calls[[#This Row],[Duration]]&lt;=10,"UNDER 10 MINS",calls[[#This Row],[Duration]]&lt;=30,"10 TO 30 MINS",calls[[#This Row],[Duration]]&lt;=60,"30 TO 60 MINS",calls[[#This Row],[Duration]]&lt;=120,"1 TO 2 HRS",TRUE,"MORE THAN 2 HRS")</f>
        <v>1 TO 2 HRS</v>
      </c>
      <c r="K164">
        <f>ROUND(calls[[#This Row],[Satisfaction Rating]],0)</f>
        <v>4</v>
      </c>
    </row>
    <row r="165" spans="1:11" x14ac:dyDescent="0.3">
      <c r="A165" s="41" t="s">
        <v>1216</v>
      </c>
      <c r="B165" s="10" t="s">
        <v>1040</v>
      </c>
      <c r="C165" s="10">
        <v>113</v>
      </c>
      <c r="D165" s="39" t="s">
        <v>1048</v>
      </c>
      <c r="E165" s="40">
        <v>44988</v>
      </c>
      <c r="F165" s="10">
        <v>123</v>
      </c>
      <c r="G165" s="42">
        <v>4.4000000000000004</v>
      </c>
      <c r="H165">
        <f>IF(MONTH(calls[[#This Row],[Date of Call]])&lt;=6,YEAR(calls[[#This Row],[Date of Call]]),YEAR(calls[[#This Row],[Date of Call]])+1)</f>
        <v>2023</v>
      </c>
      <c r="I165" t="str">
        <f>TEXT(calls[[#This Row],[Date of Call]],"DDDD")</f>
        <v>Friday</v>
      </c>
      <c r="J165" t="str" cm="1">
        <f t="array" ref="J165">_xlfn.IFS(calls[[#This Row],[Duration]]&lt;=10,"UNDER 10 MINS",calls[[#This Row],[Duration]]&lt;=30,"10 TO 30 MINS",calls[[#This Row],[Duration]]&lt;=60,"30 TO 60 MINS",calls[[#This Row],[Duration]]&lt;=120,"1 TO 2 HRS",TRUE,"MORE THAN 2 HRS")</f>
        <v>1 TO 2 HRS</v>
      </c>
      <c r="K165">
        <f>ROUND(calls[[#This Row],[Satisfaction Rating]],0)</f>
        <v>4</v>
      </c>
    </row>
    <row r="166" spans="1:11" x14ac:dyDescent="0.3">
      <c r="A166" s="41" t="s">
        <v>1217</v>
      </c>
      <c r="B166" s="10" t="s">
        <v>1040</v>
      </c>
      <c r="C166" s="10">
        <v>21</v>
      </c>
      <c r="D166" s="39" t="s">
        <v>1043</v>
      </c>
      <c r="E166" s="40">
        <v>44988</v>
      </c>
      <c r="F166" s="10">
        <v>93</v>
      </c>
      <c r="G166" s="42">
        <v>3.4</v>
      </c>
      <c r="H166">
        <f>IF(MONTH(calls[[#This Row],[Date of Call]])&lt;=6,YEAR(calls[[#This Row],[Date of Call]]),YEAR(calls[[#This Row],[Date of Call]])+1)</f>
        <v>2023</v>
      </c>
      <c r="I166" t="str">
        <f>TEXT(calls[[#This Row],[Date of Call]],"DDDD")</f>
        <v>Friday</v>
      </c>
      <c r="J166" t="str" cm="1">
        <f t="array" ref="J166">_xlfn.IFS(calls[[#This Row],[Duration]]&lt;=10,"UNDER 10 MINS",calls[[#This Row],[Duration]]&lt;=30,"10 TO 30 MINS",calls[[#This Row],[Duration]]&lt;=60,"30 TO 60 MINS",calls[[#This Row],[Duration]]&lt;=120,"1 TO 2 HRS",TRUE,"MORE THAN 2 HRS")</f>
        <v>10 TO 30 MINS</v>
      </c>
      <c r="K166">
        <f>ROUND(calls[[#This Row],[Satisfaction Rating]],0)</f>
        <v>3</v>
      </c>
    </row>
    <row r="167" spans="1:11" x14ac:dyDescent="0.3">
      <c r="A167" s="41" t="s">
        <v>1218</v>
      </c>
      <c r="B167" s="10" t="s">
        <v>1079</v>
      </c>
      <c r="C167" s="10">
        <v>107</v>
      </c>
      <c r="D167" s="39" t="s">
        <v>1038</v>
      </c>
      <c r="E167" s="40">
        <v>44988</v>
      </c>
      <c r="F167" s="10">
        <v>66</v>
      </c>
      <c r="G167" s="42">
        <v>4</v>
      </c>
      <c r="H167">
        <f>IF(MONTH(calls[[#This Row],[Date of Call]])&lt;=6,YEAR(calls[[#This Row],[Date of Call]]),YEAR(calls[[#This Row],[Date of Call]])+1)</f>
        <v>2023</v>
      </c>
      <c r="I167" t="str">
        <f>TEXT(calls[[#This Row],[Date of Call]],"DDDD")</f>
        <v>Friday</v>
      </c>
      <c r="J167" t="str" cm="1">
        <f t="array" ref="J167">_xlfn.IFS(calls[[#This Row],[Duration]]&lt;=10,"UNDER 10 MINS",calls[[#This Row],[Duration]]&lt;=30,"10 TO 30 MINS",calls[[#This Row],[Duration]]&lt;=60,"30 TO 60 MINS",calls[[#This Row],[Duration]]&lt;=120,"1 TO 2 HRS",TRUE,"MORE THAN 2 HRS")</f>
        <v>1 TO 2 HRS</v>
      </c>
      <c r="K167">
        <f>ROUND(calls[[#This Row],[Satisfaction Rating]],0)</f>
        <v>4</v>
      </c>
    </row>
    <row r="168" spans="1:11" x14ac:dyDescent="0.3">
      <c r="A168" s="41" t="s">
        <v>1219</v>
      </c>
      <c r="B168" s="10" t="s">
        <v>1079</v>
      </c>
      <c r="C168" s="10">
        <v>131</v>
      </c>
      <c r="D168" s="39" t="s">
        <v>1043</v>
      </c>
      <c r="E168" s="40">
        <v>44988</v>
      </c>
      <c r="F168" s="10">
        <v>39</v>
      </c>
      <c r="G168" s="42">
        <v>2.4</v>
      </c>
      <c r="H168">
        <f>IF(MONTH(calls[[#This Row],[Date of Call]])&lt;=6,YEAR(calls[[#This Row],[Date of Call]]),YEAR(calls[[#This Row],[Date of Call]])+1)</f>
        <v>2023</v>
      </c>
      <c r="I168" t="str">
        <f>TEXT(calls[[#This Row],[Date of Call]],"DDDD")</f>
        <v>Friday</v>
      </c>
      <c r="J168" t="str" cm="1">
        <f t="array" ref="J168">_xlfn.IFS(calls[[#This Row],[Duration]]&lt;=10,"UNDER 10 MINS",calls[[#This Row],[Duration]]&lt;=30,"10 TO 30 MINS",calls[[#This Row],[Duration]]&lt;=60,"30 TO 60 MINS",calls[[#This Row],[Duration]]&lt;=120,"1 TO 2 HRS",TRUE,"MORE THAN 2 HRS")</f>
        <v>MORE THAN 2 HRS</v>
      </c>
      <c r="K168">
        <f>ROUND(calls[[#This Row],[Satisfaction Rating]],0)</f>
        <v>2</v>
      </c>
    </row>
    <row r="169" spans="1:11" x14ac:dyDescent="0.3">
      <c r="A169" s="41" t="s">
        <v>1220</v>
      </c>
      <c r="B169" s="10" t="s">
        <v>1037</v>
      </c>
      <c r="C169" s="10">
        <v>11</v>
      </c>
      <c r="D169" s="39" t="s">
        <v>1057</v>
      </c>
      <c r="E169" s="40">
        <v>44988</v>
      </c>
      <c r="F169" s="10">
        <v>25</v>
      </c>
      <c r="G169" s="42">
        <v>2.1</v>
      </c>
      <c r="H169">
        <f>IF(MONTH(calls[[#This Row],[Date of Call]])&lt;=6,YEAR(calls[[#This Row],[Date of Call]]),YEAR(calls[[#This Row],[Date of Call]])+1)</f>
        <v>2023</v>
      </c>
      <c r="I169" t="str">
        <f>TEXT(calls[[#This Row],[Date of Call]],"DDDD")</f>
        <v>Friday</v>
      </c>
      <c r="J169" t="str" cm="1">
        <f t="array" ref="J169">_xlfn.IFS(calls[[#This Row],[Duration]]&lt;=10,"UNDER 10 MINS",calls[[#This Row],[Duration]]&lt;=30,"10 TO 30 MINS",calls[[#This Row],[Duration]]&lt;=60,"30 TO 60 MINS",calls[[#This Row],[Duration]]&lt;=120,"1 TO 2 HRS",TRUE,"MORE THAN 2 HRS")</f>
        <v>10 TO 30 MINS</v>
      </c>
      <c r="K169">
        <f>ROUND(calls[[#This Row],[Satisfaction Rating]],0)</f>
        <v>2</v>
      </c>
    </row>
    <row r="170" spans="1:11" x14ac:dyDescent="0.3">
      <c r="A170" s="41" t="s">
        <v>1221</v>
      </c>
      <c r="B170" s="10" t="s">
        <v>1089</v>
      </c>
      <c r="C170" s="10">
        <v>86</v>
      </c>
      <c r="D170" s="39" t="s">
        <v>1048</v>
      </c>
      <c r="E170" s="40">
        <v>44988</v>
      </c>
      <c r="F170" s="10">
        <v>68</v>
      </c>
      <c r="G170" s="42">
        <v>3</v>
      </c>
      <c r="H170">
        <f>IF(MONTH(calls[[#This Row],[Date of Call]])&lt;=6,YEAR(calls[[#This Row],[Date of Call]]),YEAR(calls[[#This Row],[Date of Call]])+1)</f>
        <v>2023</v>
      </c>
      <c r="I170" t="str">
        <f>TEXT(calls[[#This Row],[Date of Call]],"DDDD")</f>
        <v>Friday</v>
      </c>
      <c r="J170" t="str" cm="1">
        <f t="array" ref="J170">_xlfn.IFS(calls[[#This Row],[Duration]]&lt;=10,"UNDER 10 MINS",calls[[#This Row],[Duration]]&lt;=30,"10 TO 30 MINS",calls[[#This Row],[Duration]]&lt;=60,"30 TO 60 MINS",calls[[#This Row],[Duration]]&lt;=120,"1 TO 2 HRS",TRUE,"MORE THAN 2 HRS")</f>
        <v>1 TO 2 HRS</v>
      </c>
      <c r="K170">
        <f>ROUND(calls[[#This Row],[Satisfaction Rating]],0)</f>
        <v>3</v>
      </c>
    </row>
    <row r="171" spans="1:11" x14ac:dyDescent="0.3">
      <c r="A171" s="41" t="s">
        <v>1222</v>
      </c>
      <c r="B171" s="10" t="s">
        <v>1042</v>
      </c>
      <c r="C171" s="10">
        <v>28</v>
      </c>
      <c r="D171" s="39" t="s">
        <v>1057</v>
      </c>
      <c r="E171" s="40">
        <v>44988</v>
      </c>
      <c r="F171" s="10">
        <v>84</v>
      </c>
      <c r="G171" s="42">
        <v>3.2</v>
      </c>
      <c r="H171">
        <f>IF(MONTH(calls[[#This Row],[Date of Call]])&lt;=6,YEAR(calls[[#This Row],[Date of Call]]),YEAR(calls[[#This Row],[Date of Call]])+1)</f>
        <v>2023</v>
      </c>
      <c r="I171" t="str">
        <f>TEXT(calls[[#This Row],[Date of Call]],"DDDD")</f>
        <v>Friday</v>
      </c>
      <c r="J171" t="str" cm="1">
        <f t="array" ref="J171">_xlfn.IFS(calls[[#This Row],[Duration]]&lt;=10,"UNDER 10 MINS",calls[[#This Row],[Duration]]&lt;=30,"10 TO 30 MINS",calls[[#This Row],[Duration]]&lt;=60,"30 TO 60 MINS",calls[[#This Row],[Duration]]&lt;=120,"1 TO 2 HRS",TRUE,"MORE THAN 2 HRS")</f>
        <v>10 TO 30 MINS</v>
      </c>
      <c r="K171">
        <f>ROUND(calls[[#This Row],[Satisfaction Rating]],0)</f>
        <v>3</v>
      </c>
    </row>
    <row r="172" spans="1:11" x14ac:dyDescent="0.3">
      <c r="A172" s="41" t="s">
        <v>1223</v>
      </c>
      <c r="B172" s="10" t="s">
        <v>1047</v>
      </c>
      <c r="C172" s="10">
        <v>139</v>
      </c>
      <c r="D172" s="39" t="s">
        <v>1043</v>
      </c>
      <c r="E172" s="40">
        <v>44989</v>
      </c>
      <c r="F172" s="10">
        <v>88</v>
      </c>
      <c r="G172" s="42">
        <v>3.4</v>
      </c>
      <c r="H172">
        <f>IF(MONTH(calls[[#This Row],[Date of Call]])&lt;=6,YEAR(calls[[#This Row],[Date of Call]]),YEAR(calls[[#This Row],[Date of Call]])+1)</f>
        <v>2023</v>
      </c>
      <c r="I172" t="str">
        <f>TEXT(calls[[#This Row],[Date of Call]],"DDDD")</f>
        <v>Saturday</v>
      </c>
      <c r="J172" t="str" cm="1">
        <f t="array" ref="J172">_xlfn.IFS(calls[[#This Row],[Duration]]&lt;=10,"UNDER 10 MINS",calls[[#This Row],[Duration]]&lt;=30,"10 TO 30 MINS",calls[[#This Row],[Duration]]&lt;=60,"30 TO 60 MINS",calls[[#This Row],[Duration]]&lt;=120,"1 TO 2 HRS",TRUE,"MORE THAN 2 HRS")</f>
        <v>MORE THAN 2 HRS</v>
      </c>
      <c r="K172">
        <f>ROUND(calls[[#This Row],[Satisfaction Rating]],0)</f>
        <v>3</v>
      </c>
    </row>
    <row r="173" spans="1:11" x14ac:dyDescent="0.3">
      <c r="A173" s="41" t="s">
        <v>1224</v>
      </c>
      <c r="B173" s="10" t="s">
        <v>1071</v>
      </c>
      <c r="C173" s="10">
        <v>82</v>
      </c>
      <c r="D173" s="39" t="s">
        <v>1048</v>
      </c>
      <c r="E173" s="40">
        <v>44989</v>
      </c>
      <c r="F173" s="10">
        <v>93</v>
      </c>
      <c r="G173" s="42">
        <v>2.7</v>
      </c>
      <c r="H173">
        <f>IF(MONTH(calls[[#This Row],[Date of Call]])&lt;=6,YEAR(calls[[#This Row],[Date of Call]]),YEAR(calls[[#This Row],[Date of Call]])+1)</f>
        <v>2023</v>
      </c>
      <c r="I173" t="str">
        <f>TEXT(calls[[#This Row],[Date of Call]],"DDDD")</f>
        <v>Saturday</v>
      </c>
      <c r="J173" t="str" cm="1">
        <f t="array" ref="J173">_xlfn.IFS(calls[[#This Row],[Duration]]&lt;=10,"UNDER 10 MINS",calls[[#This Row],[Duration]]&lt;=30,"10 TO 30 MINS",calls[[#This Row],[Duration]]&lt;=60,"30 TO 60 MINS",calls[[#This Row],[Duration]]&lt;=120,"1 TO 2 HRS",TRUE,"MORE THAN 2 HRS")</f>
        <v>1 TO 2 HRS</v>
      </c>
      <c r="K173">
        <f>ROUND(calls[[#This Row],[Satisfaction Rating]],0)</f>
        <v>3</v>
      </c>
    </row>
    <row r="174" spans="1:11" x14ac:dyDescent="0.3">
      <c r="A174" s="41" t="s">
        <v>1225</v>
      </c>
      <c r="B174" s="10" t="s">
        <v>1040</v>
      </c>
      <c r="C174" s="10">
        <v>101</v>
      </c>
      <c r="D174" s="39" t="s">
        <v>1057</v>
      </c>
      <c r="E174" s="40">
        <v>44989</v>
      </c>
      <c r="F174" s="10">
        <v>128</v>
      </c>
      <c r="G174" s="42">
        <v>5</v>
      </c>
      <c r="H174">
        <f>IF(MONTH(calls[[#This Row],[Date of Call]])&lt;=6,YEAR(calls[[#This Row],[Date of Call]]),YEAR(calls[[#This Row],[Date of Call]])+1)</f>
        <v>2023</v>
      </c>
      <c r="I174" t="str">
        <f>TEXT(calls[[#This Row],[Date of Call]],"DDDD")</f>
        <v>Saturday</v>
      </c>
      <c r="J174" t="str" cm="1">
        <f t="array" ref="J174">_xlfn.IFS(calls[[#This Row],[Duration]]&lt;=10,"UNDER 10 MINS",calls[[#This Row],[Duration]]&lt;=30,"10 TO 30 MINS",calls[[#This Row],[Duration]]&lt;=60,"30 TO 60 MINS",calls[[#This Row],[Duration]]&lt;=120,"1 TO 2 HRS",TRUE,"MORE THAN 2 HRS")</f>
        <v>1 TO 2 HRS</v>
      </c>
      <c r="K174">
        <f>ROUND(calls[[#This Row],[Satisfaction Rating]],0)</f>
        <v>5</v>
      </c>
    </row>
    <row r="175" spans="1:11" x14ac:dyDescent="0.3">
      <c r="A175" s="41" t="s">
        <v>1226</v>
      </c>
      <c r="B175" s="10" t="s">
        <v>1042</v>
      </c>
      <c r="C175" s="10">
        <v>75</v>
      </c>
      <c r="D175" s="39" t="s">
        <v>1053</v>
      </c>
      <c r="E175" s="40">
        <v>44989</v>
      </c>
      <c r="F175" s="10">
        <v>40</v>
      </c>
      <c r="G175" s="42">
        <v>3.4</v>
      </c>
      <c r="H175">
        <f>IF(MONTH(calls[[#This Row],[Date of Call]])&lt;=6,YEAR(calls[[#This Row],[Date of Call]]),YEAR(calls[[#This Row],[Date of Call]])+1)</f>
        <v>2023</v>
      </c>
      <c r="I175" t="str">
        <f>TEXT(calls[[#This Row],[Date of Call]],"DDDD")</f>
        <v>Saturday</v>
      </c>
      <c r="J175" t="str" cm="1">
        <f t="array" ref="J175">_xlfn.IFS(calls[[#This Row],[Duration]]&lt;=10,"UNDER 10 MINS",calls[[#This Row],[Duration]]&lt;=30,"10 TO 30 MINS",calls[[#This Row],[Duration]]&lt;=60,"30 TO 60 MINS",calls[[#This Row],[Duration]]&lt;=120,"1 TO 2 HRS",TRUE,"MORE THAN 2 HRS")</f>
        <v>1 TO 2 HRS</v>
      </c>
      <c r="K175">
        <f>ROUND(calls[[#This Row],[Satisfaction Rating]],0)</f>
        <v>3</v>
      </c>
    </row>
    <row r="176" spans="1:11" x14ac:dyDescent="0.3">
      <c r="A176" s="41" t="s">
        <v>1227</v>
      </c>
      <c r="B176" s="10" t="s">
        <v>1056</v>
      </c>
      <c r="C176" s="10">
        <v>40</v>
      </c>
      <c r="D176" s="39" t="s">
        <v>1057</v>
      </c>
      <c r="E176" s="40">
        <v>44990</v>
      </c>
      <c r="F176" s="10">
        <v>92</v>
      </c>
      <c r="G176" s="42">
        <v>4.7</v>
      </c>
      <c r="H176">
        <f>IF(MONTH(calls[[#This Row],[Date of Call]])&lt;=6,YEAR(calls[[#This Row],[Date of Call]]),YEAR(calls[[#This Row],[Date of Call]])+1)</f>
        <v>2023</v>
      </c>
      <c r="I176" t="str">
        <f>TEXT(calls[[#This Row],[Date of Call]],"DDDD")</f>
        <v>Sunday</v>
      </c>
      <c r="J176" t="str" cm="1">
        <f t="array" ref="J176">_xlfn.IFS(calls[[#This Row],[Duration]]&lt;=10,"UNDER 10 MINS",calls[[#This Row],[Duration]]&lt;=30,"10 TO 30 MINS",calls[[#This Row],[Duration]]&lt;=60,"30 TO 60 MINS",calls[[#This Row],[Duration]]&lt;=120,"1 TO 2 HRS",TRUE,"MORE THAN 2 HRS")</f>
        <v>30 TO 60 MINS</v>
      </c>
      <c r="K176">
        <f>ROUND(calls[[#This Row],[Satisfaction Rating]],0)</f>
        <v>5</v>
      </c>
    </row>
    <row r="177" spans="1:11" x14ac:dyDescent="0.3">
      <c r="A177" s="41" t="s">
        <v>1228</v>
      </c>
      <c r="B177" s="10" t="s">
        <v>1062</v>
      </c>
      <c r="C177" s="10">
        <v>86</v>
      </c>
      <c r="D177" s="39" t="s">
        <v>1043</v>
      </c>
      <c r="E177" s="40">
        <v>44990</v>
      </c>
      <c r="F177" s="10">
        <v>27</v>
      </c>
      <c r="G177" s="42">
        <v>4.5</v>
      </c>
      <c r="H177">
        <f>IF(MONTH(calls[[#This Row],[Date of Call]])&lt;=6,YEAR(calls[[#This Row],[Date of Call]]),YEAR(calls[[#This Row],[Date of Call]])+1)</f>
        <v>2023</v>
      </c>
      <c r="I177" t="str">
        <f>TEXT(calls[[#This Row],[Date of Call]],"DDDD")</f>
        <v>Sunday</v>
      </c>
      <c r="J177" t="str" cm="1">
        <f t="array" ref="J177">_xlfn.IFS(calls[[#This Row],[Duration]]&lt;=10,"UNDER 10 MINS",calls[[#This Row],[Duration]]&lt;=30,"10 TO 30 MINS",calls[[#This Row],[Duration]]&lt;=60,"30 TO 60 MINS",calls[[#This Row],[Duration]]&lt;=120,"1 TO 2 HRS",TRUE,"MORE THAN 2 HRS")</f>
        <v>1 TO 2 HRS</v>
      </c>
      <c r="K177">
        <f>ROUND(calls[[#This Row],[Satisfaction Rating]],0)</f>
        <v>5</v>
      </c>
    </row>
    <row r="178" spans="1:11" x14ac:dyDescent="0.3">
      <c r="A178" s="41" t="s">
        <v>1229</v>
      </c>
      <c r="B178" s="10" t="s">
        <v>1051</v>
      </c>
      <c r="C178" s="10">
        <v>131</v>
      </c>
      <c r="D178" s="39" t="s">
        <v>1038</v>
      </c>
      <c r="E178" s="40">
        <v>44990</v>
      </c>
      <c r="F178" s="10">
        <v>140</v>
      </c>
      <c r="G178" s="42">
        <v>4.0999999999999996</v>
      </c>
      <c r="H178">
        <f>IF(MONTH(calls[[#This Row],[Date of Call]])&lt;=6,YEAR(calls[[#This Row],[Date of Call]]),YEAR(calls[[#This Row],[Date of Call]])+1)</f>
        <v>2023</v>
      </c>
      <c r="I178" t="str">
        <f>TEXT(calls[[#This Row],[Date of Call]],"DDDD")</f>
        <v>Sunday</v>
      </c>
      <c r="J178" t="str" cm="1">
        <f t="array" ref="J178">_xlfn.IFS(calls[[#This Row],[Duration]]&lt;=10,"UNDER 10 MINS",calls[[#This Row],[Duration]]&lt;=30,"10 TO 30 MINS",calls[[#This Row],[Duration]]&lt;=60,"30 TO 60 MINS",calls[[#This Row],[Duration]]&lt;=120,"1 TO 2 HRS",TRUE,"MORE THAN 2 HRS")</f>
        <v>MORE THAN 2 HRS</v>
      </c>
      <c r="K178">
        <f>ROUND(calls[[#This Row],[Satisfaction Rating]],0)</f>
        <v>4</v>
      </c>
    </row>
    <row r="179" spans="1:11" x14ac:dyDescent="0.3">
      <c r="A179" s="41" t="s">
        <v>1230</v>
      </c>
      <c r="B179" s="10" t="s">
        <v>1079</v>
      </c>
      <c r="C179" s="10">
        <v>67</v>
      </c>
      <c r="D179" s="39" t="s">
        <v>1048</v>
      </c>
      <c r="E179" s="40">
        <v>44990</v>
      </c>
      <c r="F179" s="10">
        <v>40</v>
      </c>
      <c r="G179" s="42">
        <v>5</v>
      </c>
      <c r="H179">
        <f>IF(MONTH(calls[[#This Row],[Date of Call]])&lt;=6,YEAR(calls[[#This Row],[Date of Call]]),YEAR(calls[[#This Row],[Date of Call]])+1)</f>
        <v>2023</v>
      </c>
      <c r="I179" t="str">
        <f>TEXT(calls[[#This Row],[Date of Call]],"DDDD")</f>
        <v>Sunday</v>
      </c>
      <c r="J179" t="str" cm="1">
        <f t="array" ref="J179">_xlfn.IFS(calls[[#This Row],[Duration]]&lt;=10,"UNDER 10 MINS",calls[[#This Row],[Duration]]&lt;=30,"10 TO 30 MINS",calls[[#This Row],[Duration]]&lt;=60,"30 TO 60 MINS",calls[[#This Row],[Duration]]&lt;=120,"1 TO 2 HRS",TRUE,"MORE THAN 2 HRS")</f>
        <v>1 TO 2 HRS</v>
      </c>
      <c r="K179">
        <f>ROUND(calls[[#This Row],[Satisfaction Rating]],0)</f>
        <v>5</v>
      </c>
    </row>
    <row r="180" spans="1:11" x14ac:dyDescent="0.3">
      <c r="A180" s="41" t="s">
        <v>1231</v>
      </c>
      <c r="B180" s="10" t="s">
        <v>1109</v>
      </c>
      <c r="C180" s="10">
        <v>71</v>
      </c>
      <c r="D180" s="39" t="s">
        <v>1057</v>
      </c>
      <c r="E180" s="40">
        <v>44990</v>
      </c>
      <c r="F180" s="10">
        <v>102</v>
      </c>
      <c r="G180" s="42">
        <v>4.7</v>
      </c>
      <c r="H180">
        <f>IF(MONTH(calls[[#This Row],[Date of Call]])&lt;=6,YEAR(calls[[#This Row],[Date of Call]]),YEAR(calls[[#This Row],[Date of Call]])+1)</f>
        <v>2023</v>
      </c>
      <c r="I180" t="str">
        <f>TEXT(calls[[#This Row],[Date of Call]],"DDDD")</f>
        <v>Sunday</v>
      </c>
      <c r="J180" t="str" cm="1">
        <f t="array" ref="J180">_xlfn.IFS(calls[[#This Row],[Duration]]&lt;=10,"UNDER 10 MINS",calls[[#This Row],[Duration]]&lt;=30,"10 TO 30 MINS",calls[[#This Row],[Duration]]&lt;=60,"30 TO 60 MINS",calls[[#This Row],[Duration]]&lt;=120,"1 TO 2 HRS",TRUE,"MORE THAN 2 HRS")</f>
        <v>1 TO 2 HRS</v>
      </c>
      <c r="K180">
        <f>ROUND(calls[[#This Row],[Satisfaction Rating]],0)</f>
        <v>5</v>
      </c>
    </row>
    <row r="181" spans="1:11" x14ac:dyDescent="0.3">
      <c r="A181" s="41" t="s">
        <v>1232</v>
      </c>
      <c r="B181" s="10" t="s">
        <v>1051</v>
      </c>
      <c r="C181" s="10">
        <v>113</v>
      </c>
      <c r="D181" s="39" t="s">
        <v>1038</v>
      </c>
      <c r="E181" s="40">
        <v>44990</v>
      </c>
      <c r="F181" s="10">
        <v>42</v>
      </c>
      <c r="G181" s="42">
        <v>4.2</v>
      </c>
      <c r="H181">
        <f>IF(MONTH(calls[[#This Row],[Date of Call]])&lt;=6,YEAR(calls[[#This Row],[Date of Call]]),YEAR(calls[[#This Row],[Date of Call]])+1)</f>
        <v>2023</v>
      </c>
      <c r="I181" t="str">
        <f>TEXT(calls[[#This Row],[Date of Call]],"DDDD")</f>
        <v>Sunday</v>
      </c>
      <c r="J181" t="str" cm="1">
        <f t="array" ref="J181">_xlfn.IFS(calls[[#This Row],[Duration]]&lt;=10,"UNDER 10 MINS",calls[[#This Row],[Duration]]&lt;=30,"10 TO 30 MINS",calls[[#This Row],[Duration]]&lt;=60,"30 TO 60 MINS",calls[[#This Row],[Duration]]&lt;=120,"1 TO 2 HRS",TRUE,"MORE THAN 2 HRS")</f>
        <v>1 TO 2 HRS</v>
      </c>
      <c r="K181">
        <f>ROUND(calls[[#This Row],[Satisfaction Rating]],0)</f>
        <v>4</v>
      </c>
    </row>
    <row r="182" spans="1:11" x14ac:dyDescent="0.3">
      <c r="A182" s="41" t="s">
        <v>1233</v>
      </c>
      <c r="B182" s="10" t="s">
        <v>1071</v>
      </c>
      <c r="C182" s="10">
        <v>53</v>
      </c>
      <c r="D182" s="39" t="s">
        <v>1043</v>
      </c>
      <c r="E182" s="40">
        <v>44991</v>
      </c>
      <c r="F182" s="10">
        <v>210</v>
      </c>
      <c r="G182" s="42">
        <v>3.9</v>
      </c>
      <c r="H182">
        <f>IF(MONTH(calls[[#This Row],[Date of Call]])&lt;=6,YEAR(calls[[#This Row],[Date of Call]]),YEAR(calls[[#This Row],[Date of Call]])+1)</f>
        <v>2023</v>
      </c>
      <c r="I182" t="str">
        <f>TEXT(calls[[#This Row],[Date of Call]],"DDDD")</f>
        <v>Monday</v>
      </c>
      <c r="J182" t="str" cm="1">
        <f t="array" ref="J182">_xlfn.IFS(calls[[#This Row],[Duration]]&lt;=10,"UNDER 10 MINS",calls[[#This Row],[Duration]]&lt;=30,"10 TO 30 MINS",calls[[#This Row],[Duration]]&lt;=60,"30 TO 60 MINS",calls[[#This Row],[Duration]]&lt;=120,"1 TO 2 HRS",TRUE,"MORE THAN 2 HRS")</f>
        <v>30 TO 60 MINS</v>
      </c>
      <c r="K182">
        <f>ROUND(calls[[#This Row],[Satisfaction Rating]],0)</f>
        <v>4</v>
      </c>
    </row>
    <row r="183" spans="1:11" x14ac:dyDescent="0.3">
      <c r="A183" s="41" t="s">
        <v>1234</v>
      </c>
      <c r="B183" s="10" t="s">
        <v>1051</v>
      </c>
      <c r="C183" s="10">
        <v>153</v>
      </c>
      <c r="D183" s="39" t="s">
        <v>1048</v>
      </c>
      <c r="E183" s="40">
        <v>44991</v>
      </c>
      <c r="F183" s="10">
        <v>34</v>
      </c>
      <c r="G183" s="42">
        <v>3</v>
      </c>
      <c r="H183">
        <f>IF(MONTH(calls[[#This Row],[Date of Call]])&lt;=6,YEAR(calls[[#This Row],[Date of Call]]),YEAR(calls[[#This Row],[Date of Call]])+1)</f>
        <v>2023</v>
      </c>
      <c r="I183" t="str">
        <f>TEXT(calls[[#This Row],[Date of Call]],"DDDD")</f>
        <v>Monday</v>
      </c>
      <c r="J183" t="str" cm="1">
        <f t="array" ref="J183">_xlfn.IFS(calls[[#This Row],[Duration]]&lt;=10,"UNDER 10 MINS",calls[[#This Row],[Duration]]&lt;=30,"10 TO 30 MINS",calls[[#This Row],[Duration]]&lt;=60,"30 TO 60 MINS",calls[[#This Row],[Duration]]&lt;=120,"1 TO 2 HRS",TRUE,"MORE THAN 2 HRS")</f>
        <v>MORE THAN 2 HRS</v>
      </c>
      <c r="K183">
        <f>ROUND(calls[[#This Row],[Satisfaction Rating]],0)</f>
        <v>3</v>
      </c>
    </row>
    <row r="184" spans="1:11" x14ac:dyDescent="0.3">
      <c r="A184" s="41" t="s">
        <v>1235</v>
      </c>
      <c r="B184" s="10" t="s">
        <v>1079</v>
      </c>
      <c r="C184" s="10">
        <v>73</v>
      </c>
      <c r="D184" s="39" t="s">
        <v>1053</v>
      </c>
      <c r="E184" s="40">
        <v>44991</v>
      </c>
      <c r="F184" s="10">
        <v>215</v>
      </c>
      <c r="G184" s="42">
        <v>3.6</v>
      </c>
      <c r="H184">
        <f>IF(MONTH(calls[[#This Row],[Date of Call]])&lt;=6,YEAR(calls[[#This Row],[Date of Call]]),YEAR(calls[[#This Row],[Date of Call]])+1)</f>
        <v>2023</v>
      </c>
      <c r="I184" t="str">
        <f>TEXT(calls[[#This Row],[Date of Call]],"DDDD")</f>
        <v>Monday</v>
      </c>
      <c r="J184" t="str" cm="1">
        <f t="array" ref="J184">_xlfn.IFS(calls[[#This Row],[Duration]]&lt;=10,"UNDER 10 MINS",calls[[#This Row],[Duration]]&lt;=30,"10 TO 30 MINS",calls[[#This Row],[Duration]]&lt;=60,"30 TO 60 MINS",calls[[#This Row],[Duration]]&lt;=120,"1 TO 2 HRS",TRUE,"MORE THAN 2 HRS")</f>
        <v>1 TO 2 HRS</v>
      </c>
      <c r="K184">
        <f>ROUND(calls[[#This Row],[Satisfaction Rating]],0)</f>
        <v>4</v>
      </c>
    </row>
    <row r="185" spans="1:11" x14ac:dyDescent="0.3">
      <c r="A185" s="41" t="s">
        <v>1236</v>
      </c>
      <c r="B185" s="10" t="s">
        <v>1068</v>
      </c>
      <c r="C185" s="10">
        <v>62</v>
      </c>
      <c r="D185" s="39" t="s">
        <v>1053</v>
      </c>
      <c r="E185" s="40">
        <v>44991</v>
      </c>
      <c r="F185" s="10">
        <v>32</v>
      </c>
      <c r="G185" s="42">
        <v>0.7</v>
      </c>
      <c r="H185">
        <f>IF(MONTH(calls[[#This Row],[Date of Call]])&lt;=6,YEAR(calls[[#This Row],[Date of Call]]),YEAR(calls[[#This Row],[Date of Call]])+1)</f>
        <v>2023</v>
      </c>
      <c r="I185" t="str">
        <f>TEXT(calls[[#This Row],[Date of Call]],"DDDD")</f>
        <v>Monday</v>
      </c>
      <c r="J185" t="str" cm="1">
        <f t="array" ref="J185">_xlfn.IFS(calls[[#This Row],[Duration]]&lt;=10,"UNDER 10 MINS",calls[[#This Row],[Duration]]&lt;=30,"10 TO 30 MINS",calls[[#This Row],[Duration]]&lt;=60,"30 TO 60 MINS",calls[[#This Row],[Duration]]&lt;=120,"1 TO 2 HRS",TRUE,"MORE THAN 2 HRS")</f>
        <v>1 TO 2 HRS</v>
      </c>
      <c r="K185">
        <f>ROUND(calls[[#This Row],[Satisfaction Rating]],0)</f>
        <v>1</v>
      </c>
    </row>
    <row r="186" spans="1:11" x14ac:dyDescent="0.3">
      <c r="A186" s="41" t="s">
        <v>1237</v>
      </c>
      <c r="B186" s="10" t="s">
        <v>1047</v>
      </c>
      <c r="C186" s="10">
        <v>115</v>
      </c>
      <c r="D186" s="39" t="s">
        <v>1043</v>
      </c>
      <c r="E186" s="40">
        <v>44992</v>
      </c>
      <c r="F186" s="10">
        <v>48</v>
      </c>
      <c r="G186" s="42">
        <v>4.7</v>
      </c>
      <c r="H186">
        <f>IF(MONTH(calls[[#This Row],[Date of Call]])&lt;=6,YEAR(calls[[#This Row],[Date of Call]]),YEAR(calls[[#This Row],[Date of Call]])+1)</f>
        <v>2023</v>
      </c>
      <c r="I186" t="str">
        <f>TEXT(calls[[#This Row],[Date of Call]],"DDDD")</f>
        <v>Tuesday</v>
      </c>
      <c r="J186" t="str" cm="1">
        <f t="array" ref="J186">_xlfn.IFS(calls[[#This Row],[Duration]]&lt;=10,"UNDER 10 MINS",calls[[#This Row],[Duration]]&lt;=30,"10 TO 30 MINS",calls[[#This Row],[Duration]]&lt;=60,"30 TO 60 MINS",calls[[#This Row],[Duration]]&lt;=120,"1 TO 2 HRS",TRUE,"MORE THAN 2 HRS")</f>
        <v>1 TO 2 HRS</v>
      </c>
      <c r="K186">
        <f>ROUND(calls[[#This Row],[Satisfaction Rating]],0)</f>
        <v>5</v>
      </c>
    </row>
    <row r="187" spans="1:11" x14ac:dyDescent="0.3">
      <c r="A187" s="41" t="s">
        <v>1238</v>
      </c>
      <c r="B187" s="10" t="s">
        <v>1051</v>
      </c>
      <c r="C187" s="10">
        <v>69</v>
      </c>
      <c r="D187" s="39" t="s">
        <v>1043</v>
      </c>
      <c r="E187" s="40">
        <v>44992</v>
      </c>
      <c r="F187" s="10">
        <v>132</v>
      </c>
      <c r="G187" s="42">
        <v>4.5</v>
      </c>
      <c r="H187">
        <f>IF(MONTH(calls[[#This Row],[Date of Call]])&lt;=6,YEAR(calls[[#This Row],[Date of Call]]),YEAR(calls[[#This Row],[Date of Call]])+1)</f>
        <v>2023</v>
      </c>
      <c r="I187" t="str">
        <f>TEXT(calls[[#This Row],[Date of Call]],"DDDD")</f>
        <v>Tuesday</v>
      </c>
      <c r="J187" t="str" cm="1">
        <f t="array" ref="J187">_xlfn.IFS(calls[[#This Row],[Duration]]&lt;=10,"UNDER 10 MINS",calls[[#This Row],[Duration]]&lt;=30,"10 TO 30 MINS",calls[[#This Row],[Duration]]&lt;=60,"30 TO 60 MINS",calls[[#This Row],[Duration]]&lt;=120,"1 TO 2 HRS",TRUE,"MORE THAN 2 HRS")</f>
        <v>1 TO 2 HRS</v>
      </c>
      <c r="K187">
        <f>ROUND(calls[[#This Row],[Satisfaction Rating]],0)</f>
        <v>5</v>
      </c>
    </row>
    <row r="188" spans="1:11" x14ac:dyDescent="0.3">
      <c r="A188" s="41" t="s">
        <v>1239</v>
      </c>
      <c r="B188" s="10" t="s">
        <v>1062</v>
      </c>
      <c r="C188" s="10">
        <v>103</v>
      </c>
      <c r="D188" s="39" t="s">
        <v>1038</v>
      </c>
      <c r="E188" s="40">
        <v>44992</v>
      </c>
      <c r="F188" s="10">
        <v>172</v>
      </c>
      <c r="G188" s="42">
        <v>4.3</v>
      </c>
      <c r="H188">
        <f>IF(MONTH(calls[[#This Row],[Date of Call]])&lt;=6,YEAR(calls[[#This Row],[Date of Call]]),YEAR(calls[[#This Row],[Date of Call]])+1)</f>
        <v>2023</v>
      </c>
      <c r="I188" t="str">
        <f>TEXT(calls[[#This Row],[Date of Call]],"DDDD")</f>
        <v>Tuesday</v>
      </c>
      <c r="J188" t="str" cm="1">
        <f t="array" ref="J188">_xlfn.IFS(calls[[#This Row],[Duration]]&lt;=10,"UNDER 10 MINS",calls[[#This Row],[Duration]]&lt;=30,"10 TO 30 MINS",calls[[#This Row],[Duration]]&lt;=60,"30 TO 60 MINS",calls[[#This Row],[Duration]]&lt;=120,"1 TO 2 HRS",TRUE,"MORE THAN 2 HRS")</f>
        <v>1 TO 2 HRS</v>
      </c>
      <c r="K188">
        <f>ROUND(calls[[#This Row],[Satisfaction Rating]],0)</f>
        <v>4</v>
      </c>
    </row>
    <row r="189" spans="1:11" x14ac:dyDescent="0.3">
      <c r="A189" s="41" t="s">
        <v>1240</v>
      </c>
      <c r="B189" s="10" t="s">
        <v>1062</v>
      </c>
      <c r="C189" s="10">
        <v>75</v>
      </c>
      <c r="D189" s="39" t="s">
        <v>1038</v>
      </c>
      <c r="E189" s="40">
        <v>44992</v>
      </c>
      <c r="F189" s="10">
        <v>111</v>
      </c>
      <c r="G189" s="42">
        <v>3.4</v>
      </c>
      <c r="H189">
        <f>IF(MONTH(calls[[#This Row],[Date of Call]])&lt;=6,YEAR(calls[[#This Row],[Date of Call]]),YEAR(calls[[#This Row],[Date of Call]])+1)</f>
        <v>2023</v>
      </c>
      <c r="I189" t="str">
        <f>TEXT(calls[[#This Row],[Date of Call]],"DDDD")</f>
        <v>Tuesday</v>
      </c>
      <c r="J189" t="str" cm="1">
        <f t="array" ref="J189">_xlfn.IFS(calls[[#This Row],[Duration]]&lt;=10,"UNDER 10 MINS",calls[[#This Row],[Duration]]&lt;=30,"10 TO 30 MINS",calls[[#This Row],[Duration]]&lt;=60,"30 TO 60 MINS",calls[[#This Row],[Duration]]&lt;=120,"1 TO 2 HRS",TRUE,"MORE THAN 2 HRS")</f>
        <v>1 TO 2 HRS</v>
      </c>
      <c r="K189">
        <f>ROUND(calls[[#This Row],[Satisfaction Rating]],0)</f>
        <v>3</v>
      </c>
    </row>
    <row r="190" spans="1:11" x14ac:dyDescent="0.3">
      <c r="A190" s="41" t="s">
        <v>1241</v>
      </c>
      <c r="B190" s="10" t="s">
        <v>1060</v>
      </c>
      <c r="C190" s="10">
        <v>92</v>
      </c>
      <c r="D190" s="39" t="s">
        <v>1038</v>
      </c>
      <c r="E190" s="40">
        <v>44992</v>
      </c>
      <c r="F190" s="10">
        <v>58</v>
      </c>
      <c r="G190" s="42">
        <v>3.6</v>
      </c>
      <c r="H190">
        <f>IF(MONTH(calls[[#This Row],[Date of Call]])&lt;=6,YEAR(calls[[#This Row],[Date of Call]]),YEAR(calls[[#This Row],[Date of Call]])+1)</f>
        <v>2023</v>
      </c>
      <c r="I190" t="str">
        <f>TEXT(calls[[#This Row],[Date of Call]],"DDDD")</f>
        <v>Tuesday</v>
      </c>
      <c r="J190" t="str" cm="1">
        <f t="array" ref="J190">_xlfn.IFS(calls[[#This Row],[Duration]]&lt;=10,"UNDER 10 MINS",calls[[#This Row],[Duration]]&lt;=30,"10 TO 30 MINS",calls[[#This Row],[Duration]]&lt;=60,"30 TO 60 MINS",calls[[#This Row],[Duration]]&lt;=120,"1 TO 2 HRS",TRUE,"MORE THAN 2 HRS")</f>
        <v>1 TO 2 HRS</v>
      </c>
      <c r="K190">
        <f>ROUND(calls[[#This Row],[Satisfaction Rating]],0)</f>
        <v>4</v>
      </c>
    </row>
    <row r="191" spans="1:11" x14ac:dyDescent="0.3">
      <c r="A191" s="41" t="s">
        <v>1242</v>
      </c>
      <c r="B191" s="10" t="s">
        <v>1060</v>
      </c>
      <c r="C191" s="10">
        <v>41</v>
      </c>
      <c r="D191" s="39" t="s">
        <v>1053</v>
      </c>
      <c r="E191" s="40">
        <v>44992</v>
      </c>
      <c r="F191" s="10">
        <v>68</v>
      </c>
      <c r="G191" s="42">
        <v>4</v>
      </c>
      <c r="H191">
        <f>IF(MONTH(calls[[#This Row],[Date of Call]])&lt;=6,YEAR(calls[[#This Row],[Date of Call]]),YEAR(calls[[#This Row],[Date of Call]])+1)</f>
        <v>2023</v>
      </c>
      <c r="I191" t="str">
        <f>TEXT(calls[[#This Row],[Date of Call]],"DDDD")</f>
        <v>Tuesday</v>
      </c>
      <c r="J191" t="str" cm="1">
        <f t="array" ref="J191">_xlfn.IFS(calls[[#This Row],[Duration]]&lt;=10,"UNDER 10 MINS",calls[[#This Row],[Duration]]&lt;=30,"10 TO 30 MINS",calls[[#This Row],[Duration]]&lt;=60,"30 TO 60 MINS",calls[[#This Row],[Duration]]&lt;=120,"1 TO 2 HRS",TRUE,"MORE THAN 2 HRS")</f>
        <v>30 TO 60 MINS</v>
      </c>
      <c r="K191">
        <f>ROUND(calls[[#This Row],[Satisfaction Rating]],0)</f>
        <v>4</v>
      </c>
    </row>
    <row r="192" spans="1:11" x14ac:dyDescent="0.3">
      <c r="A192" s="41" t="s">
        <v>1243</v>
      </c>
      <c r="B192" s="10" t="s">
        <v>1062</v>
      </c>
      <c r="C192" s="10">
        <v>134</v>
      </c>
      <c r="D192" s="39" t="s">
        <v>1048</v>
      </c>
      <c r="E192" s="40">
        <v>44992</v>
      </c>
      <c r="F192" s="10">
        <v>160</v>
      </c>
      <c r="G192" s="42">
        <v>4.5</v>
      </c>
      <c r="H192">
        <f>IF(MONTH(calls[[#This Row],[Date of Call]])&lt;=6,YEAR(calls[[#This Row],[Date of Call]]),YEAR(calls[[#This Row],[Date of Call]])+1)</f>
        <v>2023</v>
      </c>
      <c r="I192" t="str">
        <f>TEXT(calls[[#This Row],[Date of Call]],"DDDD")</f>
        <v>Tuesday</v>
      </c>
      <c r="J192" t="str" cm="1">
        <f t="array" ref="J192">_xlfn.IFS(calls[[#This Row],[Duration]]&lt;=10,"UNDER 10 MINS",calls[[#This Row],[Duration]]&lt;=30,"10 TO 30 MINS",calls[[#This Row],[Duration]]&lt;=60,"30 TO 60 MINS",calls[[#This Row],[Duration]]&lt;=120,"1 TO 2 HRS",TRUE,"MORE THAN 2 HRS")</f>
        <v>MORE THAN 2 HRS</v>
      </c>
      <c r="K192">
        <f>ROUND(calls[[#This Row],[Satisfaction Rating]],0)</f>
        <v>5</v>
      </c>
    </row>
    <row r="193" spans="1:11" x14ac:dyDescent="0.3">
      <c r="A193" s="41" t="s">
        <v>1244</v>
      </c>
      <c r="B193" s="10" t="s">
        <v>1089</v>
      </c>
      <c r="C193" s="10">
        <v>80</v>
      </c>
      <c r="D193" s="39" t="s">
        <v>1057</v>
      </c>
      <c r="E193" s="40">
        <v>44992</v>
      </c>
      <c r="F193" s="10">
        <v>45</v>
      </c>
      <c r="G193" s="42">
        <v>3</v>
      </c>
      <c r="H193">
        <f>IF(MONTH(calls[[#This Row],[Date of Call]])&lt;=6,YEAR(calls[[#This Row],[Date of Call]]),YEAR(calls[[#This Row],[Date of Call]])+1)</f>
        <v>2023</v>
      </c>
      <c r="I193" t="str">
        <f>TEXT(calls[[#This Row],[Date of Call]],"DDDD")</f>
        <v>Tuesday</v>
      </c>
      <c r="J193" t="str" cm="1">
        <f t="array" ref="J193">_xlfn.IFS(calls[[#This Row],[Duration]]&lt;=10,"UNDER 10 MINS",calls[[#This Row],[Duration]]&lt;=30,"10 TO 30 MINS",calls[[#This Row],[Duration]]&lt;=60,"30 TO 60 MINS",calls[[#This Row],[Duration]]&lt;=120,"1 TO 2 HRS",TRUE,"MORE THAN 2 HRS")</f>
        <v>1 TO 2 HRS</v>
      </c>
      <c r="K193">
        <f>ROUND(calls[[#This Row],[Satisfaction Rating]],0)</f>
        <v>3</v>
      </c>
    </row>
    <row r="194" spans="1:11" x14ac:dyDescent="0.3">
      <c r="A194" s="41" t="s">
        <v>1245</v>
      </c>
      <c r="B194" s="10" t="s">
        <v>1109</v>
      </c>
      <c r="C194" s="10">
        <v>103</v>
      </c>
      <c r="D194" s="39" t="s">
        <v>1043</v>
      </c>
      <c r="E194" s="40">
        <v>44993</v>
      </c>
      <c r="F194" s="10">
        <v>117</v>
      </c>
      <c r="G194" s="42">
        <v>3</v>
      </c>
      <c r="H194">
        <f>IF(MONTH(calls[[#This Row],[Date of Call]])&lt;=6,YEAR(calls[[#This Row],[Date of Call]]),YEAR(calls[[#This Row],[Date of Call]])+1)</f>
        <v>2023</v>
      </c>
      <c r="I194" t="str">
        <f>TEXT(calls[[#This Row],[Date of Call]],"DDDD")</f>
        <v>Wednesday</v>
      </c>
      <c r="J194" t="str" cm="1">
        <f t="array" ref="J194">_xlfn.IFS(calls[[#This Row],[Duration]]&lt;=10,"UNDER 10 MINS",calls[[#This Row],[Duration]]&lt;=30,"10 TO 30 MINS",calls[[#This Row],[Duration]]&lt;=60,"30 TO 60 MINS",calls[[#This Row],[Duration]]&lt;=120,"1 TO 2 HRS",TRUE,"MORE THAN 2 HRS")</f>
        <v>1 TO 2 HRS</v>
      </c>
      <c r="K194">
        <f>ROUND(calls[[#This Row],[Satisfaction Rating]],0)</f>
        <v>3</v>
      </c>
    </row>
    <row r="195" spans="1:11" x14ac:dyDescent="0.3">
      <c r="A195" s="41" t="s">
        <v>1246</v>
      </c>
      <c r="B195" s="10" t="s">
        <v>1071</v>
      </c>
      <c r="C195" s="10">
        <v>20</v>
      </c>
      <c r="D195" s="39" t="s">
        <v>1038</v>
      </c>
      <c r="E195" s="40">
        <v>44994</v>
      </c>
      <c r="F195" s="10">
        <v>22</v>
      </c>
      <c r="G195" s="42">
        <v>1.6</v>
      </c>
      <c r="H195">
        <f>IF(MONTH(calls[[#This Row],[Date of Call]])&lt;=6,YEAR(calls[[#This Row],[Date of Call]]),YEAR(calls[[#This Row],[Date of Call]])+1)</f>
        <v>2023</v>
      </c>
      <c r="I195" t="str">
        <f>TEXT(calls[[#This Row],[Date of Call]],"DDDD")</f>
        <v>Thursday</v>
      </c>
      <c r="J195" t="str" cm="1">
        <f t="array" ref="J195">_xlfn.IFS(calls[[#This Row],[Duration]]&lt;=10,"UNDER 10 MINS",calls[[#This Row],[Duration]]&lt;=30,"10 TO 30 MINS",calls[[#This Row],[Duration]]&lt;=60,"30 TO 60 MINS",calls[[#This Row],[Duration]]&lt;=120,"1 TO 2 HRS",TRUE,"MORE THAN 2 HRS")</f>
        <v>10 TO 30 MINS</v>
      </c>
      <c r="K195">
        <f>ROUND(calls[[#This Row],[Satisfaction Rating]],0)</f>
        <v>2</v>
      </c>
    </row>
    <row r="196" spans="1:11" x14ac:dyDescent="0.3">
      <c r="A196" s="41" t="s">
        <v>1247</v>
      </c>
      <c r="B196" s="10" t="s">
        <v>1109</v>
      </c>
      <c r="C196" s="10">
        <v>75</v>
      </c>
      <c r="D196" s="39" t="s">
        <v>1057</v>
      </c>
      <c r="E196" s="40">
        <v>44994</v>
      </c>
      <c r="F196" s="10">
        <v>195</v>
      </c>
      <c r="G196" s="42">
        <v>3</v>
      </c>
      <c r="H196">
        <f>IF(MONTH(calls[[#This Row],[Date of Call]])&lt;=6,YEAR(calls[[#This Row],[Date of Call]]),YEAR(calls[[#This Row],[Date of Call]])+1)</f>
        <v>2023</v>
      </c>
      <c r="I196" t="str">
        <f>TEXT(calls[[#This Row],[Date of Call]],"DDDD")</f>
        <v>Thursday</v>
      </c>
      <c r="J196" t="str" cm="1">
        <f t="array" ref="J196">_xlfn.IFS(calls[[#This Row],[Duration]]&lt;=10,"UNDER 10 MINS",calls[[#This Row],[Duration]]&lt;=30,"10 TO 30 MINS",calls[[#This Row],[Duration]]&lt;=60,"30 TO 60 MINS",calls[[#This Row],[Duration]]&lt;=120,"1 TO 2 HRS",TRUE,"MORE THAN 2 HRS")</f>
        <v>1 TO 2 HRS</v>
      </c>
      <c r="K196">
        <f>ROUND(calls[[#This Row],[Satisfaction Rating]],0)</f>
        <v>3</v>
      </c>
    </row>
    <row r="197" spans="1:11" x14ac:dyDescent="0.3">
      <c r="A197" s="41" t="s">
        <v>1248</v>
      </c>
      <c r="B197" s="10" t="s">
        <v>1060</v>
      </c>
      <c r="C197" s="10">
        <v>80</v>
      </c>
      <c r="D197" s="39" t="s">
        <v>1048</v>
      </c>
      <c r="E197" s="40">
        <v>44994</v>
      </c>
      <c r="F197" s="10">
        <v>168</v>
      </c>
      <c r="G197" s="42">
        <v>3.7</v>
      </c>
      <c r="H197">
        <f>IF(MONTH(calls[[#This Row],[Date of Call]])&lt;=6,YEAR(calls[[#This Row],[Date of Call]]),YEAR(calls[[#This Row],[Date of Call]])+1)</f>
        <v>2023</v>
      </c>
      <c r="I197" t="str">
        <f>TEXT(calls[[#This Row],[Date of Call]],"DDDD")</f>
        <v>Thursday</v>
      </c>
      <c r="J197" t="str" cm="1">
        <f t="array" ref="J197">_xlfn.IFS(calls[[#This Row],[Duration]]&lt;=10,"UNDER 10 MINS",calls[[#This Row],[Duration]]&lt;=30,"10 TO 30 MINS",calls[[#This Row],[Duration]]&lt;=60,"30 TO 60 MINS",calls[[#This Row],[Duration]]&lt;=120,"1 TO 2 HRS",TRUE,"MORE THAN 2 HRS")</f>
        <v>1 TO 2 HRS</v>
      </c>
      <c r="K197">
        <f>ROUND(calls[[#This Row],[Satisfaction Rating]],0)</f>
        <v>4</v>
      </c>
    </row>
    <row r="198" spans="1:11" x14ac:dyDescent="0.3">
      <c r="A198" s="41" t="s">
        <v>1249</v>
      </c>
      <c r="B198" s="10" t="s">
        <v>1051</v>
      </c>
      <c r="C198" s="10">
        <v>85</v>
      </c>
      <c r="D198" s="39" t="s">
        <v>1053</v>
      </c>
      <c r="E198" s="40">
        <v>44995</v>
      </c>
      <c r="F198" s="10">
        <v>46</v>
      </c>
      <c r="G198" s="42">
        <v>4.9000000000000004</v>
      </c>
      <c r="H198">
        <f>IF(MONTH(calls[[#This Row],[Date of Call]])&lt;=6,YEAR(calls[[#This Row],[Date of Call]]),YEAR(calls[[#This Row],[Date of Call]])+1)</f>
        <v>2023</v>
      </c>
      <c r="I198" t="str">
        <f>TEXT(calls[[#This Row],[Date of Call]],"DDDD")</f>
        <v>Friday</v>
      </c>
      <c r="J198" t="str" cm="1">
        <f t="array" ref="J198">_xlfn.IFS(calls[[#This Row],[Duration]]&lt;=10,"UNDER 10 MINS",calls[[#This Row],[Duration]]&lt;=30,"10 TO 30 MINS",calls[[#This Row],[Duration]]&lt;=60,"30 TO 60 MINS",calls[[#This Row],[Duration]]&lt;=120,"1 TO 2 HRS",TRUE,"MORE THAN 2 HRS")</f>
        <v>1 TO 2 HRS</v>
      </c>
      <c r="K198">
        <f>ROUND(calls[[#This Row],[Satisfaction Rating]],0)</f>
        <v>5</v>
      </c>
    </row>
    <row r="199" spans="1:11" x14ac:dyDescent="0.3">
      <c r="A199" s="41" t="s">
        <v>1250</v>
      </c>
      <c r="B199" s="10" t="s">
        <v>1040</v>
      </c>
      <c r="C199" s="10">
        <v>155</v>
      </c>
      <c r="D199" s="39" t="s">
        <v>1038</v>
      </c>
      <c r="E199" s="40">
        <v>44995</v>
      </c>
      <c r="F199" s="10">
        <v>164</v>
      </c>
      <c r="G199" s="42">
        <v>3.4</v>
      </c>
      <c r="H199">
        <f>IF(MONTH(calls[[#This Row],[Date of Call]])&lt;=6,YEAR(calls[[#This Row],[Date of Call]]),YEAR(calls[[#This Row],[Date of Call]])+1)</f>
        <v>2023</v>
      </c>
      <c r="I199" t="str">
        <f>TEXT(calls[[#This Row],[Date of Call]],"DDDD")</f>
        <v>Friday</v>
      </c>
      <c r="J199" t="str" cm="1">
        <f t="array" ref="J199">_xlfn.IFS(calls[[#This Row],[Duration]]&lt;=10,"UNDER 10 MINS",calls[[#This Row],[Duration]]&lt;=30,"10 TO 30 MINS",calls[[#This Row],[Duration]]&lt;=60,"30 TO 60 MINS",calls[[#This Row],[Duration]]&lt;=120,"1 TO 2 HRS",TRUE,"MORE THAN 2 HRS")</f>
        <v>MORE THAN 2 HRS</v>
      </c>
      <c r="K199">
        <f>ROUND(calls[[#This Row],[Satisfaction Rating]],0)</f>
        <v>3</v>
      </c>
    </row>
    <row r="200" spans="1:11" x14ac:dyDescent="0.3">
      <c r="A200" s="41" t="s">
        <v>1251</v>
      </c>
      <c r="B200" s="10" t="s">
        <v>1051</v>
      </c>
      <c r="C200" s="10">
        <v>63</v>
      </c>
      <c r="D200" s="39" t="s">
        <v>1053</v>
      </c>
      <c r="E200" s="40">
        <v>44995</v>
      </c>
      <c r="F200" s="10">
        <v>48</v>
      </c>
      <c r="G200" s="42">
        <v>5</v>
      </c>
      <c r="H200">
        <f>IF(MONTH(calls[[#This Row],[Date of Call]])&lt;=6,YEAR(calls[[#This Row],[Date of Call]]),YEAR(calls[[#This Row],[Date of Call]])+1)</f>
        <v>2023</v>
      </c>
      <c r="I200" t="str">
        <f>TEXT(calls[[#This Row],[Date of Call]],"DDDD")</f>
        <v>Friday</v>
      </c>
      <c r="J200" t="str" cm="1">
        <f t="array" ref="J200">_xlfn.IFS(calls[[#This Row],[Duration]]&lt;=10,"UNDER 10 MINS",calls[[#This Row],[Duration]]&lt;=30,"10 TO 30 MINS",calls[[#This Row],[Duration]]&lt;=60,"30 TO 60 MINS",calls[[#This Row],[Duration]]&lt;=120,"1 TO 2 HRS",TRUE,"MORE THAN 2 HRS")</f>
        <v>1 TO 2 HRS</v>
      </c>
      <c r="K200">
        <f>ROUND(calls[[#This Row],[Satisfaction Rating]],0)</f>
        <v>5</v>
      </c>
    </row>
    <row r="201" spans="1:11" x14ac:dyDescent="0.3">
      <c r="A201" s="41" t="s">
        <v>1252</v>
      </c>
      <c r="B201" s="10" t="s">
        <v>1042</v>
      </c>
      <c r="C201" s="10">
        <v>105</v>
      </c>
      <c r="D201" s="39" t="s">
        <v>1043</v>
      </c>
      <c r="E201" s="40">
        <v>44995</v>
      </c>
      <c r="F201" s="10">
        <v>96</v>
      </c>
      <c r="G201" s="42">
        <v>5</v>
      </c>
      <c r="H201">
        <f>IF(MONTH(calls[[#This Row],[Date of Call]])&lt;=6,YEAR(calls[[#This Row],[Date of Call]]),YEAR(calls[[#This Row],[Date of Call]])+1)</f>
        <v>2023</v>
      </c>
      <c r="I201" t="str">
        <f>TEXT(calls[[#This Row],[Date of Call]],"DDDD")</f>
        <v>Friday</v>
      </c>
      <c r="J201" t="str" cm="1">
        <f t="array" ref="J201">_xlfn.IFS(calls[[#This Row],[Duration]]&lt;=10,"UNDER 10 MINS",calls[[#This Row],[Duration]]&lt;=30,"10 TO 30 MINS",calls[[#This Row],[Duration]]&lt;=60,"30 TO 60 MINS",calls[[#This Row],[Duration]]&lt;=120,"1 TO 2 HRS",TRUE,"MORE THAN 2 HRS")</f>
        <v>1 TO 2 HRS</v>
      </c>
      <c r="K201">
        <f>ROUND(calls[[#This Row],[Satisfaction Rating]],0)</f>
        <v>5</v>
      </c>
    </row>
    <row r="202" spans="1:11" x14ac:dyDescent="0.3">
      <c r="A202" s="41" t="s">
        <v>1253</v>
      </c>
      <c r="B202" s="10" t="s">
        <v>1051</v>
      </c>
      <c r="C202" s="10">
        <v>71</v>
      </c>
      <c r="D202" s="39" t="s">
        <v>1053</v>
      </c>
      <c r="E202" s="40">
        <v>44995</v>
      </c>
      <c r="F202" s="10">
        <v>105</v>
      </c>
      <c r="G202" s="42">
        <v>4</v>
      </c>
      <c r="H202">
        <f>IF(MONTH(calls[[#This Row],[Date of Call]])&lt;=6,YEAR(calls[[#This Row],[Date of Call]]),YEAR(calls[[#This Row],[Date of Call]])+1)</f>
        <v>2023</v>
      </c>
      <c r="I202" t="str">
        <f>TEXT(calls[[#This Row],[Date of Call]],"DDDD")</f>
        <v>Friday</v>
      </c>
      <c r="J202" t="str" cm="1">
        <f t="array" ref="J202">_xlfn.IFS(calls[[#This Row],[Duration]]&lt;=10,"UNDER 10 MINS",calls[[#This Row],[Duration]]&lt;=30,"10 TO 30 MINS",calls[[#This Row],[Duration]]&lt;=60,"30 TO 60 MINS",calls[[#This Row],[Duration]]&lt;=120,"1 TO 2 HRS",TRUE,"MORE THAN 2 HRS")</f>
        <v>1 TO 2 HRS</v>
      </c>
      <c r="K202">
        <f>ROUND(calls[[#This Row],[Satisfaction Rating]],0)</f>
        <v>4</v>
      </c>
    </row>
    <row r="203" spans="1:11" x14ac:dyDescent="0.3">
      <c r="A203" s="41" t="s">
        <v>1254</v>
      </c>
      <c r="B203" s="10" t="s">
        <v>1040</v>
      </c>
      <c r="C203" s="10">
        <v>100</v>
      </c>
      <c r="D203" s="39" t="s">
        <v>1053</v>
      </c>
      <c r="E203" s="40">
        <v>44996</v>
      </c>
      <c r="F203" s="10">
        <v>44</v>
      </c>
      <c r="G203" s="42">
        <v>3.6</v>
      </c>
      <c r="H203">
        <f>IF(MONTH(calls[[#This Row],[Date of Call]])&lt;=6,YEAR(calls[[#This Row],[Date of Call]]),YEAR(calls[[#This Row],[Date of Call]])+1)</f>
        <v>2023</v>
      </c>
      <c r="I203" t="str">
        <f>TEXT(calls[[#This Row],[Date of Call]],"DDDD")</f>
        <v>Saturday</v>
      </c>
      <c r="J203" t="str" cm="1">
        <f t="array" ref="J203">_xlfn.IFS(calls[[#This Row],[Duration]]&lt;=10,"UNDER 10 MINS",calls[[#This Row],[Duration]]&lt;=30,"10 TO 30 MINS",calls[[#This Row],[Duration]]&lt;=60,"30 TO 60 MINS",calls[[#This Row],[Duration]]&lt;=120,"1 TO 2 HRS",TRUE,"MORE THAN 2 HRS")</f>
        <v>1 TO 2 HRS</v>
      </c>
      <c r="K203">
        <f>ROUND(calls[[#This Row],[Satisfaction Rating]],0)</f>
        <v>4</v>
      </c>
    </row>
    <row r="204" spans="1:11" x14ac:dyDescent="0.3">
      <c r="A204" s="41" t="s">
        <v>1255</v>
      </c>
      <c r="B204" s="10" t="s">
        <v>1037</v>
      </c>
      <c r="C204" s="10">
        <v>93</v>
      </c>
      <c r="D204" s="39" t="s">
        <v>1048</v>
      </c>
      <c r="E204" s="40">
        <v>44996</v>
      </c>
      <c r="F204" s="10">
        <v>132</v>
      </c>
      <c r="G204" s="42">
        <v>3.7</v>
      </c>
      <c r="H204">
        <f>IF(MONTH(calls[[#This Row],[Date of Call]])&lt;=6,YEAR(calls[[#This Row],[Date of Call]]),YEAR(calls[[#This Row],[Date of Call]])+1)</f>
        <v>2023</v>
      </c>
      <c r="I204" t="str">
        <f>TEXT(calls[[#This Row],[Date of Call]],"DDDD")</f>
        <v>Saturday</v>
      </c>
      <c r="J204" t="str" cm="1">
        <f t="array" ref="J204">_xlfn.IFS(calls[[#This Row],[Duration]]&lt;=10,"UNDER 10 MINS",calls[[#This Row],[Duration]]&lt;=30,"10 TO 30 MINS",calls[[#This Row],[Duration]]&lt;=60,"30 TO 60 MINS",calls[[#This Row],[Duration]]&lt;=120,"1 TO 2 HRS",TRUE,"MORE THAN 2 HRS")</f>
        <v>1 TO 2 HRS</v>
      </c>
      <c r="K204">
        <f>ROUND(calls[[#This Row],[Satisfaction Rating]],0)</f>
        <v>4</v>
      </c>
    </row>
    <row r="205" spans="1:11" x14ac:dyDescent="0.3">
      <c r="A205" s="41" t="s">
        <v>1256</v>
      </c>
      <c r="B205" s="10" t="s">
        <v>1042</v>
      </c>
      <c r="C205" s="10">
        <v>84</v>
      </c>
      <c r="D205" s="39" t="s">
        <v>1038</v>
      </c>
      <c r="E205" s="40">
        <v>44996</v>
      </c>
      <c r="F205" s="10">
        <v>54</v>
      </c>
      <c r="G205" s="42">
        <v>4.2</v>
      </c>
      <c r="H205">
        <f>IF(MONTH(calls[[#This Row],[Date of Call]])&lt;=6,YEAR(calls[[#This Row],[Date of Call]]),YEAR(calls[[#This Row],[Date of Call]])+1)</f>
        <v>2023</v>
      </c>
      <c r="I205" t="str">
        <f>TEXT(calls[[#This Row],[Date of Call]],"DDDD")</f>
        <v>Saturday</v>
      </c>
      <c r="J205" t="str" cm="1">
        <f t="array" ref="J205">_xlfn.IFS(calls[[#This Row],[Duration]]&lt;=10,"UNDER 10 MINS",calls[[#This Row],[Duration]]&lt;=30,"10 TO 30 MINS",calls[[#This Row],[Duration]]&lt;=60,"30 TO 60 MINS",calls[[#This Row],[Duration]]&lt;=120,"1 TO 2 HRS",TRUE,"MORE THAN 2 HRS")</f>
        <v>1 TO 2 HRS</v>
      </c>
      <c r="K205">
        <f>ROUND(calls[[#This Row],[Satisfaction Rating]],0)</f>
        <v>4</v>
      </c>
    </row>
    <row r="206" spans="1:11" x14ac:dyDescent="0.3">
      <c r="A206" s="41" t="s">
        <v>1257</v>
      </c>
      <c r="B206" s="10" t="s">
        <v>1089</v>
      </c>
      <c r="C206" s="10">
        <v>56</v>
      </c>
      <c r="D206" s="39" t="s">
        <v>1057</v>
      </c>
      <c r="E206" s="40">
        <v>44996</v>
      </c>
      <c r="F206" s="10">
        <v>129</v>
      </c>
      <c r="G206" s="42">
        <v>2.1</v>
      </c>
      <c r="H206">
        <f>IF(MONTH(calls[[#This Row],[Date of Call]])&lt;=6,YEAR(calls[[#This Row],[Date of Call]]),YEAR(calls[[#This Row],[Date of Call]])+1)</f>
        <v>2023</v>
      </c>
      <c r="I206" t="str">
        <f>TEXT(calls[[#This Row],[Date of Call]],"DDDD")</f>
        <v>Saturday</v>
      </c>
      <c r="J206" t="str" cm="1">
        <f t="array" ref="J206">_xlfn.IFS(calls[[#This Row],[Duration]]&lt;=10,"UNDER 10 MINS",calls[[#This Row],[Duration]]&lt;=30,"10 TO 30 MINS",calls[[#This Row],[Duration]]&lt;=60,"30 TO 60 MINS",calls[[#This Row],[Duration]]&lt;=120,"1 TO 2 HRS",TRUE,"MORE THAN 2 HRS")</f>
        <v>30 TO 60 MINS</v>
      </c>
      <c r="K206">
        <f>ROUND(calls[[#This Row],[Satisfaction Rating]],0)</f>
        <v>2</v>
      </c>
    </row>
    <row r="207" spans="1:11" x14ac:dyDescent="0.3">
      <c r="A207" s="41" t="s">
        <v>1258</v>
      </c>
      <c r="B207" s="10" t="s">
        <v>1089</v>
      </c>
      <c r="C207" s="10">
        <v>63</v>
      </c>
      <c r="D207" s="39" t="s">
        <v>1053</v>
      </c>
      <c r="E207" s="40">
        <v>44996</v>
      </c>
      <c r="F207" s="10">
        <v>42</v>
      </c>
      <c r="G207" s="42">
        <v>4</v>
      </c>
      <c r="H207">
        <f>IF(MONTH(calls[[#This Row],[Date of Call]])&lt;=6,YEAR(calls[[#This Row],[Date of Call]]),YEAR(calls[[#This Row],[Date of Call]])+1)</f>
        <v>2023</v>
      </c>
      <c r="I207" t="str">
        <f>TEXT(calls[[#This Row],[Date of Call]],"DDDD")</f>
        <v>Saturday</v>
      </c>
      <c r="J207" t="str" cm="1">
        <f t="array" ref="J207">_xlfn.IFS(calls[[#This Row],[Duration]]&lt;=10,"UNDER 10 MINS",calls[[#This Row],[Duration]]&lt;=30,"10 TO 30 MINS",calls[[#This Row],[Duration]]&lt;=60,"30 TO 60 MINS",calls[[#This Row],[Duration]]&lt;=120,"1 TO 2 HRS",TRUE,"MORE THAN 2 HRS")</f>
        <v>1 TO 2 HRS</v>
      </c>
      <c r="K207">
        <f>ROUND(calls[[#This Row],[Satisfaction Rating]],0)</f>
        <v>4</v>
      </c>
    </row>
    <row r="208" spans="1:11" x14ac:dyDescent="0.3">
      <c r="A208" s="41" t="s">
        <v>1259</v>
      </c>
      <c r="B208" s="10" t="s">
        <v>1068</v>
      </c>
      <c r="C208" s="10">
        <v>83</v>
      </c>
      <c r="D208" s="39" t="s">
        <v>1053</v>
      </c>
      <c r="E208" s="40">
        <v>44996</v>
      </c>
      <c r="F208" s="10">
        <v>42</v>
      </c>
      <c r="G208" s="42">
        <v>4.2</v>
      </c>
      <c r="H208">
        <f>IF(MONTH(calls[[#This Row],[Date of Call]])&lt;=6,YEAR(calls[[#This Row],[Date of Call]]),YEAR(calls[[#This Row],[Date of Call]])+1)</f>
        <v>2023</v>
      </c>
      <c r="I208" t="str">
        <f>TEXT(calls[[#This Row],[Date of Call]],"DDDD")</f>
        <v>Saturday</v>
      </c>
      <c r="J208" t="str" cm="1">
        <f t="array" ref="J208">_xlfn.IFS(calls[[#This Row],[Duration]]&lt;=10,"UNDER 10 MINS",calls[[#This Row],[Duration]]&lt;=30,"10 TO 30 MINS",calls[[#This Row],[Duration]]&lt;=60,"30 TO 60 MINS",calls[[#This Row],[Duration]]&lt;=120,"1 TO 2 HRS",TRUE,"MORE THAN 2 HRS")</f>
        <v>1 TO 2 HRS</v>
      </c>
      <c r="K208">
        <f>ROUND(calls[[#This Row],[Satisfaction Rating]],0)</f>
        <v>4</v>
      </c>
    </row>
    <row r="209" spans="1:11" x14ac:dyDescent="0.3">
      <c r="A209" s="41" t="s">
        <v>1260</v>
      </c>
      <c r="B209" s="10" t="s">
        <v>1060</v>
      </c>
      <c r="C209" s="10">
        <v>134</v>
      </c>
      <c r="D209" s="39" t="s">
        <v>1038</v>
      </c>
      <c r="E209" s="40">
        <v>44996</v>
      </c>
      <c r="F209" s="10">
        <v>180</v>
      </c>
      <c r="G209" s="42">
        <v>3.1</v>
      </c>
      <c r="H209">
        <f>IF(MONTH(calls[[#This Row],[Date of Call]])&lt;=6,YEAR(calls[[#This Row],[Date of Call]]),YEAR(calls[[#This Row],[Date of Call]])+1)</f>
        <v>2023</v>
      </c>
      <c r="I209" t="str">
        <f>TEXT(calls[[#This Row],[Date of Call]],"DDDD")</f>
        <v>Saturday</v>
      </c>
      <c r="J209" t="str" cm="1">
        <f t="array" ref="J209">_xlfn.IFS(calls[[#This Row],[Duration]]&lt;=10,"UNDER 10 MINS",calls[[#This Row],[Duration]]&lt;=30,"10 TO 30 MINS",calls[[#This Row],[Duration]]&lt;=60,"30 TO 60 MINS",calls[[#This Row],[Duration]]&lt;=120,"1 TO 2 HRS",TRUE,"MORE THAN 2 HRS")</f>
        <v>MORE THAN 2 HRS</v>
      </c>
      <c r="K209">
        <f>ROUND(calls[[#This Row],[Satisfaction Rating]],0)</f>
        <v>3</v>
      </c>
    </row>
    <row r="210" spans="1:11" x14ac:dyDescent="0.3">
      <c r="A210" s="41" t="s">
        <v>1261</v>
      </c>
      <c r="B210" s="10" t="s">
        <v>1047</v>
      </c>
      <c r="C210" s="10">
        <v>73</v>
      </c>
      <c r="D210" s="39" t="s">
        <v>1053</v>
      </c>
      <c r="E210" s="40">
        <v>44997</v>
      </c>
      <c r="F210" s="10">
        <v>34</v>
      </c>
      <c r="G210" s="42">
        <v>4.8</v>
      </c>
      <c r="H210">
        <f>IF(MONTH(calls[[#This Row],[Date of Call]])&lt;=6,YEAR(calls[[#This Row],[Date of Call]]),YEAR(calls[[#This Row],[Date of Call]])+1)</f>
        <v>2023</v>
      </c>
      <c r="I210" t="str">
        <f>TEXT(calls[[#This Row],[Date of Call]],"DDDD")</f>
        <v>Sunday</v>
      </c>
      <c r="J210" t="str" cm="1">
        <f t="array" ref="J210">_xlfn.IFS(calls[[#This Row],[Duration]]&lt;=10,"UNDER 10 MINS",calls[[#This Row],[Duration]]&lt;=30,"10 TO 30 MINS",calls[[#This Row],[Duration]]&lt;=60,"30 TO 60 MINS",calls[[#This Row],[Duration]]&lt;=120,"1 TO 2 HRS",TRUE,"MORE THAN 2 HRS")</f>
        <v>1 TO 2 HRS</v>
      </c>
      <c r="K210">
        <f>ROUND(calls[[#This Row],[Satisfaction Rating]],0)</f>
        <v>5</v>
      </c>
    </row>
    <row r="211" spans="1:11" x14ac:dyDescent="0.3">
      <c r="A211" s="41" t="s">
        <v>1262</v>
      </c>
      <c r="B211" s="10" t="s">
        <v>1109</v>
      </c>
      <c r="C211" s="10">
        <v>6</v>
      </c>
      <c r="D211" s="39" t="s">
        <v>1057</v>
      </c>
      <c r="E211" s="40">
        <v>44997</v>
      </c>
      <c r="F211" s="10">
        <v>29</v>
      </c>
      <c r="G211" s="42">
        <v>4.7</v>
      </c>
      <c r="H211">
        <f>IF(MONTH(calls[[#This Row],[Date of Call]])&lt;=6,YEAR(calls[[#This Row],[Date of Call]]),YEAR(calls[[#This Row],[Date of Call]])+1)</f>
        <v>2023</v>
      </c>
      <c r="I211" t="str">
        <f>TEXT(calls[[#This Row],[Date of Call]],"DDDD")</f>
        <v>Sunday</v>
      </c>
      <c r="J211" t="str" cm="1">
        <f t="array" ref="J211">_xlfn.IFS(calls[[#This Row],[Duration]]&lt;=10,"UNDER 10 MINS",calls[[#This Row],[Duration]]&lt;=30,"10 TO 30 MINS",calls[[#This Row],[Duration]]&lt;=60,"30 TO 60 MINS",calls[[#This Row],[Duration]]&lt;=120,"1 TO 2 HRS",TRUE,"MORE THAN 2 HRS")</f>
        <v>UNDER 10 MINS</v>
      </c>
      <c r="K211">
        <f>ROUND(calls[[#This Row],[Satisfaction Rating]],0)</f>
        <v>5</v>
      </c>
    </row>
    <row r="212" spans="1:11" x14ac:dyDescent="0.3">
      <c r="A212" s="41" t="s">
        <v>1263</v>
      </c>
      <c r="B212" s="10" t="s">
        <v>1079</v>
      </c>
      <c r="C212" s="10">
        <v>46</v>
      </c>
      <c r="D212" s="39" t="s">
        <v>1043</v>
      </c>
      <c r="E212" s="40">
        <v>44997</v>
      </c>
      <c r="F212" s="10">
        <v>165</v>
      </c>
      <c r="G212" s="42">
        <v>3.3</v>
      </c>
      <c r="H212">
        <f>IF(MONTH(calls[[#This Row],[Date of Call]])&lt;=6,YEAR(calls[[#This Row],[Date of Call]]),YEAR(calls[[#This Row],[Date of Call]])+1)</f>
        <v>2023</v>
      </c>
      <c r="I212" t="str">
        <f>TEXT(calls[[#This Row],[Date of Call]],"DDDD")</f>
        <v>Sunday</v>
      </c>
      <c r="J212" t="str" cm="1">
        <f t="array" ref="J212">_xlfn.IFS(calls[[#This Row],[Duration]]&lt;=10,"UNDER 10 MINS",calls[[#This Row],[Duration]]&lt;=30,"10 TO 30 MINS",calls[[#This Row],[Duration]]&lt;=60,"30 TO 60 MINS",calls[[#This Row],[Duration]]&lt;=120,"1 TO 2 HRS",TRUE,"MORE THAN 2 HRS")</f>
        <v>30 TO 60 MINS</v>
      </c>
      <c r="K212">
        <f>ROUND(calls[[#This Row],[Satisfaction Rating]],0)</f>
        <v>3</v>
      </c>
    </row>
    <row r="213" spans="1:11" x14ac:dyDescent="0.3">
      <c r="A213" s="41" t="s">
        <v>1264</v>
      </c>
      <c r="B213" s="10" t="s">
        <v>1109</v>
      </c>
      <c r="C213" s="10">
        <v>121</v>
      </c>
      <c r="D213" s="39" t="s">
        <v>1053</v>
      </c>
      <c r="E213" s="40">
        <v>44998</v>
      </c>
      <c r="F213" s="10">
        <v>32</v>
      </c>
      <c r="G213" s="42">
        <v>3.7</v>
      </c>
      <c r="H213">
        <f>IF(MONTH(calls[[#This Row],[Date of Call]])&lt;=6,YEAR(calls[[#This Row],[Date of Call]]),YEAR(calls[[#This Row],[Date of Call]])+1)</f>
        <v>2023</v>
      </c>
      <c r="I213" t="str">
        <f>TEXT(calls[[#This Row],[Date of Call]],"DDDD")</f>
        <v>Monday</v>
      </c>
      <c r="J213" t="str" cm="1">
        <f t="array" ref="J213">_xlfn.IFS(calls[[#This Row],[Duration]]&lt;=10,"UNDER 10 MINS",calls[[#This Row],[Duration]]&lt;=30,"10 TO 30 MINS",calls[[#This Row],[Duration]]&lt;=60,"30 TO 60 MINS",calls[[#This Row],[Duration]]&lt;=120,"1 TO 2 HRS",TRUE,"MORE THAN 2 HRS")</f>
        <v>MORE THAN 2 HRS</v>
      </c>
      <c r="K213">
        <f>ROUND(calls[[#This Row],[Satisfaction Rating]],0)</f>
        <v>4</v>
      </c>
    </row>
    <row r="214" spans="1:11" x14ac:dyDescent="0.3">
      <c r="A214" s="41" t="s">
        <v>1265</v>
      </c>
      <c r="B214" s="10" t="s">
        <v>1089</v>
      </c>
      <c r="C214" s="10">
        <v>61</v>
      </c>
      <c r="D214" s="39" t="s">
        <v>1048</v>
      </c>
      <c r="E214" s="40">
        <v>44998</v>
      </c>
      <c r="F214" s="10">
        <v>160</v>
      </c>
      <c r="G214" s="42">
        <v>4.9000000000000004</v>
      </c>
      <c r="H214">
        <f>IF(MONTH(calls[[#This Row],[Date of Call]])&lt;=6,YEAR(calls[[#This Row],[Date of Call]]),YEAR(calls[[#This Row],[Date of Call]])+1)</f>
        <v>2023</v>
      </c>
      <c r="I214" t="str">
        <f>TEXT(calls[[#This Row],[Date of Call]],"DDDD")</f>
        <v>Monday</v>
      </c>
      <c r="J214" t="str" cm="1">
        <f t="array" ref="J214">_xlfn.IFS(calls[[#This Row],[Duration]]&lt;=10,"UNDER 10 MINS",calls[[#This Row],[Duration]]&lt;=30,"10 TO 30 MINS",calls[[#This Row],[Duration]]&lt;=60,"30 TO 60 MINS",calls[[#This Row],[Duration]]&lt;=120,"1 TO 2 HRS",TRUE,"MORE THAN 2 HRS")</f>
        <v>1 TO 2 HRS</v>
      </c>
      <c r="K214">
        <f>ROUND(calls[[#This Row],[Satisfaction Rating]],0)</f>
        <v>5</v>
      </c>
    </row>
    <row r="215" spans="1:11" x14ac:dyDescent="0.3">
      <c r="A215" s="41" t="s">
        <v>1266</v>
      </c>
      <c r="B215" s="10" t="s">
        <v>1060</v>
      </c>
      <c r="C215" s="10">
        <v>144</v>
      </c>
      <c r="D215" s="39" t="s">
        <v>1038</v>
      </c>
      <c r="E215" s="40">
        <v>44998</v>
      </c>
      <c r="F215" s="10">
        <v>140</v>
      </c>
      <c r="G215" s="42">
        <v>3.5</v>
      </c>
      <c r="H215">
        <f>IF(MONTH(calls[[#This Row],[Date of Call]])&lt;=6,YEAR(calls[[#This Row],[Date of Call]]),YEAR(calls[[#This Row],[Date of Call]])+1)</f>
        <v>2023</v>
      </c>
      <c r="I215" t="str">
        <f>TEXT(calls[[#This Row],[Date of Call]],"DDDD")</f>
        <v>Monday</v>
      </c>
      <c r="J215" t="str" cm="1">
        <f t="array" ref="J215">_xlfn.IFS(calls[[#This Row],[Duration]]&lt;=10,"UNDER 10 MINS",calls[[#This Row],[Duration]]&lt;=30,"10 TO 30 MINS",calls[[#This Row],[Duration]]&lt;=60,"30 TO 60 MINS",calls[[#This Row],[Duration]]&lt;=120,"1 TO 2 HRS",TRUE,"MORE THAN 2 HRS")</f>
        <v>MORE THAN 2 HRS</v>
      </c>
      <c r="K215">
        <f>ROUND(calls[[#This Row],[Satisfaction Rating]],0)</f>
        <v>4</v>
      </c>
    </row>
    <row r="216" spans="1:11" x14ac:dyDescent="0.3">
      <c r="A216" s="41" t="s">
        <v>1267</v>
      </c>
      <c r="B216" s="10" t="s">
        <v>1079</v>
      </c>
      <c r="C216" s="10">
        <v>145</v>
      </c>
      <c r="D216" s="39" t="s">
        <v>1038</v>
      </c>
      <c r="E216" s="40">
        <v>44998</v>
      </c>
      <c r="F216" s="10">
        <v>136</v>
      </c>
      <c r="G216" s="42">
        <v>4.4000000000000004</v>
      </c>
      <c r="H216">
        <f>IF(MONTH(calls[[#This Row],[Date of Call]])&lt;=6,YEAR(calls[[#This Row],[Date of Call]]),YEAR(calls[[#This Row],[Date of Call]])+1)</f>
        <v>2023</v>
      </c>
      <c r="I216" t="str">
        <f>TEXT(calls[[#This Row],[Date of Call]],"DDDD")</f>
        <v>Monday</v>
      </c>
      <c r="J216" t="str" cm="1">
        <f t="array" ref="J216">_xlfn.IFS(calls[[#This Row],[Duration]]&lt;=10,"UNDER 10 MINS",calls[[#This Row],[Duration]]&lt;=30,"10 TO 30 MINS",calls[[#This Row],[Duration]]&lt;=60,"30 TO 60 MINS",calls[[#This Row],[Duration]]&lt;=120,"1 TO 2 HRS",TRUE,"MORE THAN 2 HRS")</f>
        <v>MORE THAN 2 HRS</v>
      </c>
      <c r="K216">
        <f>ROUND(calls[[#This Row],[Satisfaction Rating]],0)</f>
        <v>4</v>
      </c>
    </row>
    <row r="217" spans="1:11" x14ac:dyDescent="0.3">
      <c r="A217" s="41" t="s">
        <v>1268</v>
      </c>
      <c r="B217" s="10" t="s">
        <v>1042</v>
      </c>
      <c r="C217" s="10">
        <v>85</v>
      </c>
      <c r="D217" s="39" t="s">
        <v>1057</v>
      </c>
      <c r="E217" s="40">
        <v>44998</v>
      </c>
      <c r="F217" s="10">
        <v>66</v>
      </c>
      <c r="G217" s="42">
        <v>2.8</v>
      </c>
      <c r="H217">
        <f>IF(MONTH(calls[[#This Row],[Date of Call]])&lt;=6,YEAR(calls[[#This Row],[Date of Call]]),YEAR(calls[[#This Row],[Date of Call]])+1)</f>
        <v>2023</v>
      </c>
      <c r="I217" t="str">
        <f>TEXT(calls[[#This Row],[Date of Call]],"DDDD")</f>
        <v>Monday</v>
      </c>
      <c r="J217" t="str" cm="1">
        <f t="array" ref="J217">_xlfn.IFS(calls[[#This Row],[Duration]]&lt;=10,"UNDER 10 MINS",calls[[#This Row],[Duration]]&lt;=30,"10 TO 30 MINS",calls[[#This Row],[Duration]]&lt;=60,"30 TO 60 MINS",calls[[#This Row],[Duration]]&lt;=120,"1 TO 2 HRS",TRUE,"MORE THAN 2 HRS")</f>
        <v>1 TO 2 HRS</v>
      </c>
      <c r="K217">
        <f>ROUND(calls[[#This Row],[Satisfaction Rating]],0)</f>
        <v>3</v>
      </c>
    </row>
    <row r="218" spans="1:11" x14ac:dyDescent="0.3">
      <c r="A218" s="41" t="s">
        <v>1269</v>
      </c>
      <c r="B218" s="10" t="s">
        <v>1079</v>
      </c>
      <c r="C218" s="10">
        <v>13</v>
      </c>
      <c r="D218" s="39" t="s">
        <v>1048</v>
      </c>
      <c r="E218" s="40">
        <v>44999</v>
      </c>
      <c r="F218" s="10">
        <v>63</v>
      </c>
      <c r="G218" s="42">
        <v>4.0999999999999996</v>
      </c>
      <c r="H218">
        <f>IF(MONTH(calls[[#This Row],[Date of Call]])&lt;=6,YEAR(calls[[#This Row],[Date of Call]]),YEAR(calls[[#This Row],[Date of Call]])+1)</f>
        <v>2023</v>
      </c>
      <c r="I218" t="str">
        <f>TEXT(calls[[#This Row],[Date of Call]],"DDDD")</f>
        <v>Tuesday</v>
      </c>
      <c r="J218" t="str" cm="1">
        <f t="array" ref="J218">_xlfn.IFS(calls[[#This Row],[Duration]]&lt;=10,"UNDER 10 MINS",calls[[#This Row],[Duration]]&lt;=30,"10 TO 30 MINS",calls[[#This Row],[Duration]]&lt;=60,"30 TO 60 MINS",calls[[#This Row],[Duration]]&lt;=120,"1 TO 2 HRS",TRUE,"MORE THAN 2 HRS")</f>
        <v>10 TO 30 MINS</v>
      </c>
      <c r="K218">
        <f>ROUND(calls[[#This Row],[Satisfaction Rating]],0)</f>
        <v>4</v>
      </c>
    </row>
    <row r="219" spans="1:11" x14ac:dyDescent="0.3">
      <c r="A219" s="41" t="s">
        <v>1270</v>
      </c>
      <c r="B219" s="10" t="s">
        <v>1037</v>
      </c>
      <c r="C219" s="10">
        <v>142</v>
      </c>
      <c r="D219" s="39" t="s">
        <v>1053</v>
      </c>
      <c r="E219" s="40">
        <v>44999</v>
      </c>
      <c r="F219" s="10">
        <v>44</v>
      </c>
      <c r="G219" s="42">
        <v>3.5</v>
      </c>
      <c r="H219">
        <f>IF(MONTH(calls[[#This Row],[Date of Call]])&lt;=6,YEAR(calls[[#This Row],[Date of Call]]),YEAR(calls[[#This Row],[Date of Call]])+1)</f>
        <v>2023</v>
      </c>
      <c r="I219" t="str">
        <f>TEXT(calls[[#This Row],[Date of Call]],"DDDD")</f>
        <v>Tuesday</v>
      </c>
      <c r="J219" t="str" cm="1">
        <f t="array" ref="J219">_xlfn.IFS(calls[[#This Row],[Duration]]&lt;=10,"UNDER 10 MINS",calls[[#This Row],[Duration]]&lt;=30,"10 TO 30 MINS",calls[[#This Row],[Duration]]&lt;=60,"30 TO 60 MINS",calls[[#This Row],[Duration]]&lt;=120,"1 TO 2 HRS",TRUE,"MORE THAN 2 HRS")</f>
        <v>MORE THAN 2 HRS</v>
      </c>
      <c r="K219">
        <f>ROUND(calls[[#This Row],[Satisfaction Rating]],0)</f>
        <v>4</v>
      </c>
    </row>
    <row r="220" spans="1:11" x14ac:dyDescent="0.3">
      <c r="A220" s="41" t="s">
        <v>1271</v>
      </c>
      <c r="B220" s="10" t="s">
        <v>1060</v>
      </c>
      <c r="C220" s="10">
        <v>28</v>
      </c>
      <c r="D220" s="39" t="s">
        <v>1043</v>
      </c>
      <c r="E220" s="40">
        <v>44999</v>
      </c>
      <c r="F220" s="10">
        <v>78</v>
      </c>
      <c r="G220" s="42">
        <v>3.8</v>
      </c>
      <c r="H220">
        <f>IF(MONTH(calls[[#This Row],[Date of Call]])&lt;=6,YEAR(calls[[#This Row],[Date of Call]]),YEAR(calls[[#This Row],[Date of Call]])+1)</f>
        <v>2023</v>
      </c>
      <c r="I220" t="str">
        <f>TEXT(calls[[#This Row],[Date of Call]],"DDDD")</f>
        <v>Tuesday</v>
      </c>
      <c r="J220" t="str" cm="1">
        <f t="array" ref="J220">_xlfn.IFS(calls[[#This Row],[Duration]]&lt;=10,"UNDER 10 MINS",calls[[#This Row],[Duration]]&lt;=30,"10 TO 30 MINS",calls[[#This Row],[Duration]]&lt;=60,"30 TO 60 MINS",calls[[#This Row],[Duration]]&lt;=120,"1 TO 2 HRS",TRUE,"MORE THAN 2 HRS")</f>
        <v>10 TO 30 MINS</v>
      </c>
      <c r="K220">
        <f>ROUND(calls[[#This Row],[Satisfaction Rating]],0)</f>
        <v>4</v>
      </c>
    </row>
    <row r="221" spans="1:11" x14ac:dyDescent="0.3">
      <c r="A221" s="41" t="s">
        <v>1272</v>
      </c>
      <c r="B221" s="10" t="s">
        <v>1060</v>
      </c>
      <c r="C221" s="10">
        <v>119</v>
      </c>
      <c r="D221" s="39" t="s">
        <v>1053</v>
      </c>
      <c r="E221" s="40">
        <v>44999</v>
      </c>
      <c r="F221" s="10">
        <v>20</v>
      </c>
      <c r="G221" s="42">
        <v>3.9</v>
      </c>
      <c r="H221">
        <f>IF(MONTH(calls[[#This Row],[Date of Call]])&lt;=6,YEAR(calls[[#This Row],[Date of Call]]),YEAR(calls[[#This Row],[Date of Call]])+1)</f>
        <v>2023</v>
      </c>
      <c r="I221" t="str">
        <f>TEXT(calls[[#This Row],[Date of Call]],"DDDD")</f>
        <v>Tuesday</v>
      </c>
      <c r="J221" t="str" cm="1">
        <f t="array" ref="J221">_xlfn.IFS(calls[[#This Row],[Duration]]&lt;=10,"UNDER 10 MINS",calls[[#This Row],[Duration]]&lt;=30,"10 TO 30 MINS",calls[[#This Row],[Duration]]&lt;=60,"30 TO 60 MINS",calls[[#This Row],[Duration]]&lt;=120,"1 TO 2 HRS",TRUE,"MORE THAN 2 HRS")</f>
        <v>1 TO 2 HRS</v>
      </c>
      <c r="K221">
        <f>ROUND(calls[[#This Row],[Satisfaction Rating]],0)</f>
        <v>4</v>
      </c>
    </row>
    <row r="222" spans="1:11" x14ac:dyDescent="0.3">
      <c r="A222" s="41" t="s">
        <v>1273</v>
      </c>
      <c r="B222" s="10" t="s">
        <v>1109</v>
      </c>
      <c r="C222" s="10">
        <v>65</v>
      </c>
      <c r="D222" s="39" t="s">
        <v>1057</v>
      </c>
      <c r="E222" s="40">
        <v>44999</v>
      </c>
      <c r="F222" s="10">
        <v>84</v>
      </c>
      <c r="G222" s="42">
        <v>2.5</v>
      </c>
      <c r="H222">
        <f>IF(MONTH(calls[[#This Row],[Date of Call]])&lt;=6,YEAR(calls[[#This Row],[Date of Call]]),YEAR(calls[[#This Row],[Date of Call]])+1)</f>
        <v>2023</v>
      </c>
      <c r="I222" t="str">
        <f>TEXT(calls[[#This Row],[Date of Call]],"DDDD")</f>
        <v>Tuesday</v>
      </c>
      <c r="J222" t="str" cm="1">
        <f t="array" ref="J222">_xlfn.IFS(calls[[#This Row],[Duration]]&lt;=10,"UNDER 10 MINS",calls[[#This Row],[Duration]]&lt;=30,"10 TO 30 MINS",calls[[#This Row],[Duration]]&lt;=60,"30 TO 60 MINS",calls[[#This Row],[Duration]]&lt;=120,"1 TO 2 HRS",TRUE,"MORE THAN 2 HRS")</f>
        <v>1 TO 2 HRS</v>
      </c>
      <c r="K222">
        <f>ROUND(calls[[#This Row],[Satisfaction Rating]],0)</f>
        <v>3</v>
      </c>
    </row>
    <row r="223" spans="1:11" x14ac:dyDescent="0.3">
      <c r="A223" s="41" t="s">
        <v>1274</v>
      </c>
      <c r="B223" s="10" t="s">
        <v>1062</v>
      </c>
      <c r="C223" s="10">
        <v>68</v>
      </c>
      <c r="D223" s="39" t="s">
        <v>1057</v>
      </c>
      <c r="E223" s="40">
        <v>44999</v>
      </c>
      <c r="F223" s="10">
        <v>32</v>
      </c>
      <c r="G223" s="42">
        <v>4.9000000000000004</v>
      </c>
      <c r="H223">
        <f>IF(MONTH(calls[[#This Row],[Date of Call]])&lt;=6,YEAR(calls[[#This Row],[Date of Call]]),YEAR(calls[[#This Row],[Date of Call]])+1)</f>
        <v>2023</v>
      </c>
      <c r="I223" t="str">
        <f>TEXT(calls[[#This Row],[Date of Call]],"DDDD")</f>
        <v>Tuesday</v>
      </c>
      <c r="J223" t="str" cm="1">
        <f t="array" ref="J223">_xlfn.IFS(calls[[#This Row],[Duration]]&lt;=10,"UNDER 10 MINS",calls[[#This Row],[Duration]]&lt;=30,"10 TO 30 MINS",calls[[#This Row],[Duration]]&lt;=60,"30 TO 60 MINS",calls[[#This Row],[Duration]]&lt;=120,"1 TO 2 HRS",TRUE,"MORE THAN 2 HRS")</f>
        <v>1 TO 2 HRS</v>
      </c>
      <c r="K223">
        <f>ROUND(calls[[#This Row],[Satisfaction Rating]],0)</f>
        <v>5</v>
      </c>
    </row>
    <row r="224" spans="1:11" x14ac:dyDescent="0.3">
      <c r="A224" s="41" t="s">
        <v>1275</v>
      </c>
      <c r="B224" s="10" t="s">
        <v>1068</v>
      </c>
      <c r="C224" s="10">
        <v>72</v>
      </c>
      <c r="D224" s="39" t="s">
        <v>1043</v>
      </c>
      <c r="E224" s="40">
        <v>44999</v>
      </c>
      <c r="F224" s="10">
        <v>132</v>
      </c>
      <c r="G224" s="42">
        <v>3.4</v>
      </c>
      <c r="H224">
        <f>IF(MONTH(calls[[#This Row],[Date of Call]])&lt;=6,YEAR(calls[[#This Row],[Date of Call]]),YEAR(calls[[#This Row],[Date of Call]])+1)</f>
        <v>2023</v>
      </c>
      <c r="I224" t="str">
        <f>TEXT(calls[[#This Row],[Date of Call]],"DDDD")</f>
        <v>Tuesday</v>
      </c>
      <c r="J224" t="str" cm="1">
        <f t="array" ref="J224">_xlfn.IFS(calls[[#This Row],[Duration]]&lt;=10,"UNDER 10 MINS",calls[[#This Row],[Duration]]&lt;=30,"10 TO 30 MINS",calls[[#This Row],[Duration]]&lt;=60,"30 TO 60 MINS",calls[[#This Row],[Duration]]&lt;=120,"1 TO 2 HRS",TRUE,"MORE THAN 2 HRS")</f>
        <v>1 TO 2 HRS</v>
      </c>
      <c r="K224">
        <f>ROUND(calls[[#This Row],[Satisfaction Rating]],0)</f>
        <v>3</v>
      </c>
    </row>
    <row r="225" spans="1:11" x14ac:dyDescent="0.3">
      <c r="A225" s="41" t="s">
        <v>1276</v>
      </c>
      <c r="B225" s="10" t="s">
        <v>1068</v>
      </c>
      <c r="C225" s="10">
        <v>63</v>
      </c>
      <c r="D225" s="39" t="s">
        <v>1038</v>
      </c>
      <c r="E225" s="40">
        <v>44999</v>
      </c>
      <c r="F225" s="10">
        <v>105</v>
      </c>
      <c r="G225" s="42">
        <v>3.3</v>
      </c>
      <c r="H225">
        <f>IF(MONTH(calls[[#This Row],[Date of Call]])&lt;=6,YEAR(calls[[#This Row],[Date of Call]]),YEAR(calls[[#This Row],[Date of Call]])+1)</f>
        <v>2023</v>
      </c>
      <c r="I225" t="str">
        <f>TEXT(calls[[#This Row],[Date of Call]],"DDDD")</f>
        <v>Tuesday</v>
      </c>
      <c r="J225" t="str" cm="1">
        <f t="array" ref="J225">_xlfn.IFS(calls[[#This Row],[Duration]]&lt;=10,"UNDER 10 MINS",calls[[#This Row],[Duration]]&lt;=30,"10 TO 30 MINS",calls[[#This Row],[Duration]]&lt;=60,"30 TO 60 MINS",calls[[#This Row],[Duration]]&lt;=120,"1 TO 2 HRS",TRUE,"MORE THAN 2 HRS")</f>
        <v>1 TO 2 HRS</v>
      </c>
      <c r="K225">
        <f>ROUND(calls[[#This Row],[Satisfaction Rating]],0)</f>
        <v>3</v>
      </c>
    </row>
    <row r="226" spans="1:11" x14ac:dyDescent="0.3">
      <c r="A226" s="41" t="s">
        <v>1277</v>
      </c>
      <c r="B226" s="10" t="s">
        <v>1040</v>
      </c>
      <c r="C226" s="10">
        <v>139</v>
      </c>
      <c r="D226" s="39" t="s">
        <v>1053</v>
      </c>
      <c r="E226" s="40">
        <v>45000</v>
      </c>
      <c r="F226" s="10">
        <v>48</v>
      </c>
      <c r="G226" s="42">
        <v>4.7</v>
      </c>
      <c r="H226">
        <f>IF(MONTH(calls[[#This Row],[Date of Call]])&lt;=6,YEAR(calls[[#This Row],[Date of Call]]),YEAR(calls[[#This Row],[Date of Call]])+1)</f>
        <v>2023</v>
      </c>
      <c r="I226" t="str">
        <f>TEXT(calls[[#This Row],[Date of Call]],"DDDD")</f>
        <v>Wednesday</v>
      </c>
      <c r="J226" t="str" cm="1">
        <f t="array" ref="J226">_xlfn.IFS(calls[[#This Row],[Duration]]&lt;=10,"UNDER 10 MINS",calls[[#This Row],[Duration]]&lt;=30,"10 TO 30 MINS",calls[[#This Row],[Duration]]&lt;=60,"30 TO 60 MINS",calls[[#This Row],[Duration]]&lt;=120,"1 TO 2 HRS",TRUE,"MORE THAN 2 HRS")</f>
        <v>MORE THAN 2 HRS</v>
      </c>
      <c r="K226">
        <f>ROUND(calls[[#This Row],[Satisfaction Rating]],0)</f>
        <v>5</v>
      </c>
    </row>
    <row r="227" spans="1:11" x14ac:dyDescent="0.3">
      <c r="A227" s="41" t="s">
        <v>1278</v>
      </c>
      <c r="B227" s="10" t="s">
        <v>1060</v>
      </c>
      <c r="C227" s="10">
        <v>59</v>
      </c>
      <c r="D227" s="39" t="s">
        <v>1053</v>
      </c>
      <c r="E227" s="40">
        <v>45000</v>
      </c>
      <c r="F227" s="10">
        <v>64</v>
      </c>
      <c r="G227" s="42">
        <v>4</v>
      </c>
      <c r="H227">
        <f>IF(MONTH(calls[[#This Row],[Date of Call]])&lt;=6,YEAR(calls[[#This Row],[Date of Call]]),YEAR(calls[[#This Row],[Date of Call]])+1)</f>
        <v>2023</v>
      </c>
      <c r="I227" t="str">
        <f>TEXT(calls[[#This Row],[Date of Call]],"DDDD")</f>
        <v>Wednesday</v>
      </c>
      <c r="J227" t="str" cm="1">
        <f t="array" ref="J227">_xlfn.IFS(calls[[#This Row],[Duration]]&lt;=10,"UNDER 10 MINS",calls[[#This Row],[Duration]]&lt;=30,"10 TO 30 MINS",calls[[#This Row],[Duration]]&lt;=60,"30 TO 60 MINS",calls[[#This Row],[Duration]]&lt;=120,"1 TO 2 HRS",TRUE,"MORE THAN 2 HRS")</f>
        <v>30 TO 60 MINS</v>
      </c>
      <c r="K227">
        <f>ROUND(calls[[#This Row],[Satisfaction Rating]],0)</f>
        <v>4</v>
      </c>
    </row>
    <row r="228" spans="1:11" x14ac:dyDescent="0.3">
      <c r="A228" s="41" t="s">
        <v>1279</v>
      </c>
      <c r="B228" s="10" t="s">
        <v>1071</v>
      </c>
      <c r="C228" s="10">
        <v>138</v>
      </c>
      <c r="D228" s="39" t="s">
        <v>1038</v>
      </c>
      <c r="E228" s="40">
        <v>45000</v>
      </c>
      <c r="F228" s="10">
        <v>44</v>
      </c>
      <c r="G228" s="42">
        <v>3.8</v>
      </c>
      <c r="H228">
        <f>IF(MONTH(calls[[#This Row],[Date of Call]])&lt;=6,YEAR(calls[[#This Row],[Date of Call]]),YEAR(calls[[#This Row],[Date of Call]])+1)</f>
        <v>2023</v>
      </c>
      <c r="I228" t="str">
        <f>TEXT(calls[[#This Row],[Date of Call]],"DDDD")</f>
        <v>Wednesday</v>
      </c>
      <c r="J228" t="str" cm="1">
        <f t="array" ref="J228">_xlfn.IFS(calls[[#This Row],[Duration]]&lt;=10,"UNDER 10 MINS",calls[[#This Row],[Duration]]&lt;=30,"10 TO 30 MINS",calls[[#This Row],[Duration]]&lt;=60,"30 TO 60 MINS",calls[[#This Row],[Duration]]&lt;=120,"1 TO 2 HRS",TRUE,"MORE THAN 2 HRS")</f>
        <v>MORE THAN 2 HRS</v>
      </c>
      <c r="K228">
        <f>ROUND(calls[[#This Row],[Satisfaction Rating]],0)</f>
        <v>4</v>
      </c>
    </row>
    <row r="229" spans="1:11" x14ac:dyDescent="0.3">
      <c r="A229" s="41" t="s">
        <v>1280</v>
      </c>
      <c r="B229" s="10" t="s">
        <v>1040</v>
      </c>
      <c r="C229" s="10">
        <v>47</v>
      </c>
      <c r="D229" s="39" t="s">
        <v>1043</v>
      </c>
      <c r="E229" s="40">
        <v>45000</v>
      </c>
      <c r="F229" s="10">
        <v>120</v>
      </c>
      <c r="G229" s="42">
        <v>3.1</v>
      </c>
      <c r="H229">
        <f>IF(MONTH(calls[[#This Row],[Date of Call]])&lt;=6,YEAR(calls[[#This Row],[Date of Call]]),YEAR(calls[[#This Row],[Date of Call]])+1)</f>
        <v>2023</v>
      </c>
      <c r="I229" t="str">
        <f>TEXT(calls[[#This Row],[Date of Call]],"DDDD")</f>
        <v>Wednesday</v>
      </c>
      <c r="J229" t="str" cm="1">
        <f t="array" ref="J229">_xlfn.IFS(calls[[#This Row],[Duration]]&lt;=10,"UNDER 10 MINS",calls[[#This Row],[Duration]]&lt;=30,"10 TO 30 MINS",calls[[#This Row],[Duration]]&lt;=60,"30 TO 60 MINS",calls[[#This Row],[Duration]]&lt;=120,"1 TO 2 HRS",TRUE,"MORE THAN 2 HRS")</f>
        <v>30 TO 60 MINS</v>
      </c>
      <c r="K229">
        <f>ROUND(calls[[#This Row],[Satisfaction Rating]],0)</f>
        <v>3</v>
      </c>
    </row>
    <row r="230" spans="1:11" x14ac:dyDescent="0.3">
      <c r="A230" s="41" t="s">
        <v>1281</v>
      </c>
      <c r="B230" s="10" t="s">
        <v>1071</v>
      </c>
      <c r="C230" s="10">
        <v>74</v>
      </c>
      <c r="D230" s="39" t="s">
        <v>1043</v>
      </c>
      <c r="E230" s="40">
        <v>45000</v>
      </c>
      <c r="F230" s="10">
        <v>144</v>
      </c>
      <c r="G230" s="42">
        <v>4.8</v>
      </c>
      <c r="H230">
        <f>IF(MONTH(calls[[#This Row],[Date of Call]])&lt;=6,YEAR(calls[[#This Row],[Date of Call]]),YEAR(calls[[#This Row],[Date of Call]])+1)</f>
        <v>2023</v>
      </c>
      <c r="I230" t="str">
        <f>TEXT(calls[[#This Row],[Date of Call]],"DDDD")</f>
        <v>Wednesday</v>
      </c>
      <c r="J230" t="str" cm="1">
        <f t="array" ref="J230">_xlfn.IFS(calls[[#This Row],[Duration]]&lt;=10,"UNDER 10 MINS",calls[[#This Row],[Duration]]&lt;=30,"10 TO 30 MINS",calls[[#This Row],[Duration]]&lt;=60,"30 TO 60 MINS",calls[[#This Row],[Duration]]&lt;=120,"1 TO 2 HRS",TRUE,"MORE THAN 2 HRS")</f>
        <v>1 TO 2 HRS</v>
      </c>
      <c r="K230">
        <f>ROUND(calls[[#This Row],[Satisfaction Rating]],0)</f>
        <v>5</v>
      </c>
    </row>
    <row r="231" spans="1:11" x14ac:dyDescent="0.3">
      <c r="A231" s="41" t="s">
        <v>1282</v>
      </c>
      <c r="B231" s="10" t="s">
        <v>1068</v>
      </c>
      <c r="C231" s="10">
        <v>65</v>
      </c>
      <c r="D231" s="39" t="s">
        <v>1043</v>
      </c>
      <c r="E231" s="40">
        <v>45000</v>
      </c>
      <c r="F231" s="10">
        <v>87</v>
      </c>
      <c r="G231" s="42">
        <v>2.7</v>
      </c>
      <c r="H231">
        <f>IF(MONTH(calls[[#This Row],[Date of Call]])&lt;=6,YEAR(calls[[#This Row],[Date of Call]]),YEAR(calls[[#This Row],[Date of Call]])+1)</f>
        <v>2023</v>
      </c>
      <c r="I231" t="str">
        <f>TEXT(calls[[#This Row],[Date of Call]],"DDDD")</f>
        <v>Wednesday</v>
      </c>
      <c r="J231" t="str" cm="1">
        <f t="array" ref="J231">_xlfn.IFS(calls[[#This Row],[Duration]]&lt;=10,"UNDER 10 MINS",calls[[#This Row],[Duration]]&lt;=30,"10 TO 30 MINS",calls[[#This Row],[Duration]]&lt;=60,"30 TO 60 MINS",calls[[#This Row],[Duration]]&lt;=120,"1 TO 2 HRS",TRUE,"MORE THAN 2 HRS")</f>
        <v>1 TO 2 HRS</v>
      </c>
      <c r="K231">
        <f>ROUND(calls[[#This Row],[Satisfaction Rating]],0)</f>
        <v>3</v>
      </c>
    </row>
    <row r="232" spans="1:11" x14ac:dyDescent="0.3">
      <c r="A232" s="41" t="s">
        <v>1283</v>
      </c>
      <c r="B232" s="10" t="s">
        <v>1047</v>
      </c>
      <c r="C232" s="10">
        <v>123</v>
      </c>
      <c r="D232" s="39" t="s">
        <v>1057</v>
      </c>
      <c r="E232" s="40">
        <v>45000</v>
      </c>
      <c r="F232" s="10">
        <v>36</v>
      </c>
      <c r="G232" s="42">
        <v>3.6</v>
      </c>
      <c r="H232">
        <f>IF(MONTH(calls[[#This Row],[Date of Call]])&lt;=6,YEAR(calls[[#This Row],[Date of Call]]),YEAR(calls[[#This Row],[Date of Call]])+1)</f>
        <v>2023</v>
      </c>
      <c r="I232" t="str">
        <f>TEXT(calls[[#This Row],[Date of Call]],"DDDD")</f>
        <v>Wednesday</v>
      </c>
      <c r="J232" t="str" cm="1">
        <f t="array" ref="J232">_xlfn.IFS(calls[[#This Row],[Duration]]&lt;=10,"UNDER 10 MINS",calls[[#This Row],[Duration]]&lt;=30,"10 TO 30 MINS",calls[[#This Row],[Duration]]&lt;=60,"30 TO 60 MINS",calls[[#This Row],[Duration]]&lt;=120,"1 TO 2 HRS",TRUE,"MORE THAN 2 HRS")</f>
        <v>MORE THAN 2 HRS</v>
      </c>
      <c r="K232">
        <f>ROUND(calls[[#This Row],[Satisfaction Rating]],0)</f>
        <v>4</v>
      </c>
    </row>
    <row r="233" spans="1:11" x14ac:dyDescent="0.3">
      <c r="A233" s="41" t="s">
        <v>1284</v>
      </c>
      <c r="B233" s="10" t="s">
        <v>1068</v>
      </c>
      <c r="C233" s="10">
        <v>90</v>
      </c>
      <c r="D233" s="39" t="s">
        <v>1053</v>
      </c>
      <c r="E233" s="40">
        <v>45001</v>
      </c>
      <c r="F233" s="10">
        <v>72</v>
      </c>
      <c r="G233" s="42">
        <v>4.7</v>
      </c>
      <c r="H233">
        <f>IF(MONTH(calls[[#This Row],[Date of Call]])&lt;=6,YEAR(calls[[#This Row],[Date of Call]]),YEAR(calls[[#This Row],[Date of Call]])+1)</f>
        <v>2023</v>
      </c>
      <c r="I233" t="str">
        <f>TEXT(calls[[#This Row],[Date of Call]],"DDDD")</f>
        <v>Thursday</v>
      </c>
      <c r="J233" t="str" cm="1">
        <f t="array" ref="J233">_xlfn.IFS(calls[[#This Row],[Duration]]&lt;=10,"UNDER 10 MINS",calls[[#This Row],[Duration]]&lt;=30,"10 TO 30 MINS",calls[[#This Row],[Duration]]&lt;=60,"30 TO 60 MINS",calls[[#This Row],[Duration]]&lt;=120,"1 TO 2 HRS",TRUE,"MORE THAN 2 HRS")</f>
        <v>1 TO 2 HRS</v>
      </c>
      <c r="K233">
        <f>ROUND(calls[[#This Row],[Satisfaction Rating]],0)</f>
        <v>5</v>
      </c>
    </row>
    <row r="234" spans="1:11" x14ac:dyDescent="0.3">
      <c r="A234" s="41" t="s">
        <v>1285</v>
      </c>
      <c r="B234" s="10" t="s">
        <v>1089</v>
      </c>
      <c r="C234" s="10">
        <v>127</v>
      </c>
      <c r="D234" s="39" t="s">
        <v>1038</v>
      </c>
      <c r="E234" s="40">
        <v>45001</v>
      </c>
      <c r="F234" s="10">
        <v>150</v>
      </c>
      <c r="G234" s="42">
        <v>4.4000000000000004</v>
      </c>
      <c r="H234">
        <f>IF(MONTH(calls[[#This Row],[Date of Call]])&lt;=6,YEAR(calls[[#This Row],[Date of Call]]),YEAR(calls[[#This Row],[Date of Call]])+1)</f>
        <v>2023</v>
      </c>
      <c r="I234" t="str">
        <f>TEXT(calls[[#This Row],[Date of Call]],"DDDD")</f>
        <v>Thursday</v>
      </c>
      <c r="J234" t="str" cm="1">
        <f t="array" ref="J234">_xlfn.IFS(calls[[#This Row],[Duration]]&lt;=10,"UNDER 10 MINS",calls[[#This Row],[Duration]]&lt;=30,"10 TO 30 MINS",calls[[#This Row],[Duration]]&lt;=60,"30 TO 60 MINS",calls[[#This Row],[Duration]]&lt;=120,"1 TO 2 HRS",TRUE,"MORE THAN 2 HRS")</f>
        <v>MORE THAN 2 HRS</v>
      </c>
      <c r="K234">
        <f>ROUND(calls[[#This Row],[Satisfaction Rating]],0)</f>
        <v>4</v>
      </c>
    </row>
    <row r="235" spans="1:11" x14ac:dyDescent="0.3">
      <c r="A235" s="41" t="s">
        <v>1286</v>
      </c>
      <c r="B235" s="10" t="s">
        <v>1045</v>
      </c>
      <c r="C235" s="10">
        <v>60</v>
      </c>
      <c r="D235" s="39" t="s">
        <v>1043</v>
      </c>
      <c r="E235" s="40">
        <v>45001</v>
      </c>
      <c r="F235" s="10">
        <v>68</v>
      </c>
      <c r="G235" s="42">
        <v>4.3</v>
      </c>
      <c r="H235">
        <f>IF(MONTH(calls[[#This Row],[Date of Call]])&lt;=6,YEAR(calls[[#This Row],[Date of Call]]),YEAR(calls[[#This Row],[Date of Call]])+1)</f>
        <v>2023</v>
      </c>
      <c r="I235" t="str">
        <f>TEXT(calls[[#This Row],[Date of Call]],"DDDD")</f>
        <v>Thursday</v>
      </c>
      <c r="J235" t="str" cm="1">
        <f t="array" ref="J235">_xlfn.IFS(calls[[#This Row],[Duration]]&lt;=10,"UNDER 10 MINS",calls[[#This Row],[Duration]]&lt;=30,"10 TO 30 MINS",calls[[#This Row],[Duration]]&lt;=60,"30 TO 60 MINS",calls[[#This Row],[Duration]]&lt;=120,"1 TO 2 HRS",TRUE,"MORE THAN 2 HRS")</f>
        <v>30 TO 60 MINS</v>
      </c>
      <c r="K235">
        <f>ROUND(calls[[#This Row],[Satisfaction Rating]],0)</f>
        <v>4</v>
      </c>
    </row>
    <row r="236" spans="1:11" x14ac:dyDescent="0.3">
      <c r="A236" s="41" t="s">
        <v>1287</v>
      </c>
      <c r="B236" s="10" t="s">
        <v>1040</v>
      </c>
      <c r="C236" s="10">
        <v>94</v>
      </c>
      <c r="D236" s="39" t="s">
        <v>1038</v>
      </c>
      <c r="E236" s="40">
        <v>45001</v>
      </c>
      <c r="F236" s="10">
        <v>99</v>
      </c>
      <c r="G236" s="42">
        <v>4.9000000000000004</v>
      </c>
      <c r="H236">
        <f>IF(MONTH(calls[[#This Row],[Date of Call]])&lt;=6,YEAR(calls[[#This Row],[Date of Call]]),YEAR(calls[[#This Row],[Date of Call]])+1)</f>
        <v>2023</v>
      </c>
      <c r="I236" t="str">
        <f>TEXT(calls[[#This Row],[Date of Call]],"DDDD")</f>
        <v>Thursday</v>
      </c>
      <c r="J236" t="str" cm="1">
        <f t="array" ref="J236">_xlfn.IFS(calls[[#This Row],[Duration]]&lt;=10,"UNDER 10 MINS",calls[[#This Row],[Duration]]&lt;=30,"10 TO 30 MINS",calls[[#This Row],[Duration]]&lt;=60,"30 TO 60 MINS",calls[[#This Row],[Duration]]&lt;=120,"1 TO 2 HRS",TRUE,"MORE THAN 2 HRS")</f>
        <v>1 TO 2 HRS</v>
      </c>
      <c r="K236">
        <f>ROUND(calls[[#This Row],[Satisfaction Rating]],0)</f>
        <v>5</v>
      </c>
    </row>
    <row r="237" spans="1:11" x14ac:dyDescent="0.3">
      <c r="A237" s="41" t="s">
        <v>1288</v>
      </c>
      <c r="B237" s="10" t="s">
        <v>1047</v>
      </c>
      <c r="C237" s="10">
        <v>54</v>
      </c>
      <c r="D237" s="39" t="s">
        <v>1043</v>
      </c>
      <c r="E237" s="40">
        <v>45001</v>
      </c>
      <c r="F237" s="10">
        <v>26</v>
      </c>
      <c r="G237" s="42">
        <v>4.8</v>
      </c>
      <c r="H237">
        <f>IF(MONTH(calls[[#This Row],[Date of Call]])&lt;=6,YEAR(calls[[#This Row],[Date of Call]]),YEAR(calls[[#This Row],[Date of Call]])+1)</f>
        <v>2023</v>
      </c>
      <c r="I237" t="str">
        <f>TEXT(calls[[#This Row],[Date of Call]],"DDDD")</f>
        <v>Thursday</v>
      </c>
      <c r="J237" t="str" cm="1">
        <f t="array" ref="J237">_xlfn.IFS(calls[[#This Row],[Duration]]&lt;=10,"UNDER 10 MINS",calls[[#This Row],[Duration]]&lt;=30,"10 TO 30 MINS",calls[[#This Row],[Duration]]&lt;=60,"30 TO 60 MINS",calls[[#This Row],[Duration]]&lt;=120,"1 TO 2 HRS",TRUE,"MORE THAN 2 HRS")</f>
        <v>30 TO 60 MINS</v>
      </c>
      <c r="K237">
        <f>ROUND(calls[[#This Row],[Satisfaction Rating]],0)</f>
        <v>5</v>
      </c>
    </row>
    <row r="238" spans="1:11" x14ac:dyDescent="0.3">
      <c r="A238" s="41" t="s">
        <v>1289</v>
      </c>
      <c r="B238" s="10" t="s">
        <v>1068</v>
      </c>
      <c r="C238" s="10">
        <v>104</v>
      </c>
      <c r="D238" s="39" t="s">
        <v>1043</v>
      </c>
      <c r="E238" s="40">
        <v>45001</v>
      </c>
      <c r="F238" s="10">
        <v>88</v>
      </c>
      <c r="G238" s="42">
        <v>3.2</v>
      </c>
      <c r="H238">
        <f>IF(MONTH(calls[[#This Row],[Date of Call]])&lt;=6,YEAR(calls[[#This Row],[Date of Call]]),YEAR(calls[[#This Row],[Date of Call]])+1)</f>
        <v>2023</v>
      </c>
      <c r="I238" t="str">
        <f>TEXT(calls[[#This Row],[Date of Call]],"DDDD")</f>
        <v>Thursday</v>
      </c>
      <c r="J238" t="str" cm="1">
        <f t="array" ref="J238">_xlfn.IFS(calls[[#This Row],[Duration]]&lt;=10,"UNDER 10 MINS",calls[[#This Row],[Duration]]&lt;=30,"10 TO 30 MINS",calls[[#This Row],[Duration]]&lt;=60,"30 TO 60 MINS",calls[[#This Row],[Duration]]&lt;=120,"1 TO 2 HRS",TRUE,"MORE THAN 2 HRS")</f>
        <v>1 TO 2 HRS</v>
      </c>
      <c r="K238">
        <f>ROUND(calls[[#This Row],[Satisfaction Rating]],0)</f>
        <v>3</v>
      </c>
    </row>
    <row r="239" spans="1:11" x14ac:dyDescent="0.3">
      <c r="A239" s="41" t="s">
        <v>1290</v>
      </c>
      <c r="B239" s="10" t="s">
        <v>1051</v>
      </c>
      <c r="C239" s="10">
        <v>100</v>
      </c>
      <c r="D239" s="39" t="s">
        <v>1043</v>
      </c>
      <c r="E239" s="40">
        <v>45001</v>
      </c>
      <c r="F239" s="10">
        <v>124</v>
      </c>
      <c r="G239" s="42">
        <v>3.4</v>
      </c>
      <c r="H239">
        <f>IF(MONTH(calls[[#This Row],[Date of Call]])&lt;=6,YEAR(calls[[#This Row],[Date of Call]]),YEAR(calls[[#This Row],[Date of Call]])+1)</f>
        <v>2023</v>
      </c>
      <c r="I239" t="str">
        <f>TEXT(calls[[#This Row],[Date of Call]],"DDDD")</f>
        <v>Thursday</v>
      </c>
      <c r="J239" t="str" cm="1">
        <f t="array" ref="J239">_xlfn.IFS(calls[[#This Row],[Duration]]&lt;=10,"UNDER 10 MINS",calls[[#This Row],[Duration]]&lt;=30,"10 TO 30 MINS",calls[[#This Row],[Duration]]&lt;=60,"30 TO 60 MINS",calls[[#This Row],[Duration]]&lt;=120,"1 TO 2 HRS",TRUE,"MORE THAN 2 HRS")</f>
        <v>1 TO 2 HRS</v>
      </c>
      <c r="K239">
        <f>ROUND(calls[[#This Row],[Satisfaction Rating]],0)</f>
        <v>3</v>
      </c>
    </row>
    <row r="240" spans="1:11" x14ac:dyDescent="0.3">
      <c r="A240" s="41" t="s">
        <v>1291</v>
      </c>
      <c r="B240" s="10" t="s">
        <v>1071</v>
      </c>
      <c r="C240" s="10">
        <v>84</v>
      </c>
      <c r="D240" s="39" t="s">
        <v>1043</v>
      </c>
      <c r="E240" s="40">
        <v>45001</v>
      </c>
      <c r="F240" s="10">
        <v>72</v>
      </c>
      <c r="G240" s="42">
        <v>3.5</v>
      </c>
      <c r="H240">
        <f>IF(MONTH(calls[[#This Row],[Date of Call]])&lt;=6,YEAR(calls[[#This Row],[Date of Call]]),YEAR(calls[[#This Row],[Date of Call]])+1)</f>
        <v>2023</v>
      </c>
      <c r="I240" t="str">
        <f>TEXT(calls[[#This Row],[Date of Call]],"DDDD")</f>
        <v>Thursday</v>
      </c>
      <c r="J240" t="str" cm="1">
        <f t="array" ref="J240">_xlfn.IFS(calls[[#This Row],[Duration]]&lt;=10,"UNDER 10 MINS",calls[[#This Row],[Duration]]&lt;=30,"10 TO 30 MINS",calls[[#This Row],[Duration]]&lt;=60,"30 TO 60 MINS",calls[[#This Row],[Duration]]&lt;=120,"1 TO 2 HRS",TRUE,"MORE THAN 2 HRS")</f>
        <v>1 TO 2 HRS</v>
      </c>
      <c r="K240">
        <f>ROUND(calls[[#This Row],[Satisfaction Rating]],0)</f>
        <v>4</v>
      </c>
    </row>
    <row r="241" spans="1:11" x14ac:dyDescent="0.3">
      <c r="A241" s="41" t="s">
        <v>1292</v>
      </c>
      <c r="B241" s="10" t="s">
        <v>1037</v>
      </c>
      <c r="C241" s="10">
        <v>92</v>
      </c>
      <c r="D241" s="39" t="s">
        <v>1048</v>
      </c>
      <c r="E241" s="40">
        <v>45002</v>
      </c>
      <c r="F241" s="10">
        <v>125</v>
      </c>
      <c r="G241" s="42">
        <v>4.9000000000000004</v>
      </c>
      <c r="H241">
        <f>IF(MONTH(calls[[#This Row],[Date of Call]])&lt;=6,YEAR(calls[[#This Row],[Date of Call]]),YEAR(calls[[#This Row],[Date of Call]])+1)</f>
        <v>2023</v>
      </c>
      <c r="I241" t="str">
        <f>TEXT(calls[[#This Row],[Date of Call]],"DDDD")</f>
        <v>Friday</v>
      </c>
      <c r="J241" t="str" cm="1">
        <f t="array" ref="J241">_xlfn.IFS(calls[[#This Row],[Duration]]&lt;=10,"UNDER 10 MINS",calls[[#This Row],[Duration]]&lt;=30,"10 TO 30 MINS",calls[[#This Row],[Duration]]&lt;=60,"30 TO 60 MINS",calls[[#This Row],[Duration]]&lt;=120,"1 TO 2 HRS",TRUE,"MORE THAN 2 HRS")</f>
        <v>1 TO 2 HRS</v>
      </c>
      <c r="K241">
        <f>ROUND(calls[[#This Row],[Satisfaction Rating]],0)</f>
        <v>5</v>
      </c>
    </row>
    <row r="242" spans="1:11" x14ac:dyDescent="0.3">
      <c r="A242" s="41" t="s">
        <v>1293</v>
      </c>
      <c r="B242" s="10" t="s">
        <v>1056</v>
      </c>
      <c r="C242" s="10">
        <v>64</v>
      </c>
      <c r="D242" s="39" t="s">
        <v>1038</v>
      </c>
      <c r="E242" s="40">
        <v>45002</v>
      </c>
      <c r="F242" s="10">
        <v>22</v>
      </c>
      <c r="G242" s="42">
        <v>4.0999999999999996</v>
      </c>
      <c r="H242">
        <f>IF(MONTH(calls[[#This Row],[Date of Call]])&lt;=6,YEAR(calls[[#This Row],[Date of Call]]),YEAR(calls[[#This Row],[Date of Call]])+1)</f>
        <v>2023</v>
      </c>
      <c r="I242" t="str">
        <f>TEXT(calls[[#This Row],[Date of Call]],"DDDD")</f>
        <v>Friday</v>
      </c>
      <c r="J242" t="str" cm="1">
        <f t="array" ref="J242">_xlfn.IFS(calls[[#This Row],[Duration]]&lt;=10,"UNDER 10 MINS",calls[[#This Row],[Duration]]&lt;=30,"10 TO 30 MINS",calls[[#This Row],[Duration]]&lt;=60,"30 TO 60 MINS",calls[[#This Row],[Duration]]&lt;=120,"1 TO 2 HRS",TRUE,"MORE THAN 2 HRS")</f>
        <v>1 TO 2 HRS</v>
      </c>
      <c r="K242">
        <f>ROUND(calls[[#This Row],[Satisfaction Rating]],0)</f>
        <v>4</v>
      </c>
    </row>
    <row r="243" spans="1:11" x14ac:dyDescent="0.3">
      <c r="A243" s="41" t="s">
        <v>1294</v>
      </c>
      <c r="B243" s="10" t="s">
        <v>1042</v>
      </c>
      <c r="C243" s="10">
        <v>89</v>
      </c>
      <c r="D243" s="39" t="s">
        <v>1053</v>
      </c>
      <c r="E243" s="40">
        <v>45003</v>
      </c>
      <c r="F243" s="10">
        <v>70</v>
      </c>
      <c r="G243" s="42">
        <v>4.9000000000000004</v>
      </c>
      <c r="H243">
        <f>IF(MONTH(calls[[#This Row],[Date of Call]])&lt;=6,YEAR(calls[[#This Row],[Date of Call]]),YEAR(calls[[#This Row],[Date of Call]])+1)</f>
        <v>2023</v>
      </c>
      <c r="I243" t="str">
        <f>TEXT(calls[[#This Row],[Date of Call]],"DDDD")</f>
        <v>Saturday</v>
      </c>
      <c r="J243" t="str" cm="1">
        <f t="array" ref="J243">_xlfn.IFS(calls[[#This Row],[Duration]]&lt;=10,"UNDER 10 MINS",calls[[#This Row],[Duration]]&lt;=30,"10 TO 30 MINS",calls[[#This Row],[Duration]]&lt;=60,"30 TO 60 MINS",calls[[#This Row],[Duration]]&lt;=120,"1 TO 2 HRS",TRUE,"MORE THAN 2 HRS")</f>
        <v>1 TO 2 HRS</v>
      </c>
      <c r="K243">
        <f>ROUND(calls[[#This Row],[Satisfaction Rating]],0)</f>
        <v>5</v>
      </c>
    </row>
    <row r="244" spans="1:11" x14ac:dyDescent="0.3">
      <c r="A244" s="41" t="s">
        <v>1295</v>
      </c>
      <c r="B244" s="10" t="s">
        <v>1076</v>
      </c>
      <c r="C244" s="10">
        <v>40</v>
      </c>
      <c r="D244" s="39" t="s">
        <v>1043</v>
      </c>
      <c r="E244" s="40">
        <v>45003</v>
      </c>
      <c r="F244" s="10">
        <v>24</v>
      </c>
      <c r="G244" s="42">
        <v>4.3</v>
      </c>
      <c r="H244">
        <f>IF(MONTH(calls[[#This Row],[Date of Call]])&lt;=6,YEAR(calls[[#This Row],[Date of Call]]),YEAR(calls[[#This Row],[Date of Call]])+1)</f>
        <v>2023</v>
      </c>
      <c r="I244" t="str">
        <f>TEXT(calls[[#This Row],[Date of Call]],"DDDD")</f>
        <v>Saturday</v>
      </c>
      <c r="J244" t="str" cm="1">
        <f t="array" ref="J244">_xlfn.IFS(calls[[#This Row],[Duration]]&lt;=10,"UNDER 10 MINS",calls[[#This Row],[Duration]]&lt;=30,"10 TO 30 MINS",calls[[#This Row],[Duration]]&lt;=60,"30 TO 60 MINS",calls[[#This Row],[Duration]]&lt;=120,"1 TO 2 HRS",TRUE,"MORE THAN 2 HRS")</f>
        <v>30 TO 60 MINS</v>
      </c>
      <c r="K244">
        <f>ROUND(calls[[#This Row],[Satisfaction Rating]],0)</f>
        <v>4</v>
      </c>
    </row>
    <row r="245" spans="1:11" x14ac:dyDescent="0.3">
      <c r="A245" s="41" t="s">
        <v>1296</v>
      </c>
      <c r="B245" s="10" t="s">
        <v>1060</v>
      </c>
      <c r="C245" s="10">
        <v>75</v>
      </c>
      <c r="D245" s="39" t="s">
        <v>1057</v>
      </c>
      <c r="E245" s="40">
        <v>45003</v>
      </c>
      <c r="F245" s="10">
        <v>32</v>
      </c>
      <c r="G245" s="42">
        <v>4.0999999999999996</v>
      </c>
      <c r="H245">
        <f>IF(MONTH(calls[[#This Row],[Date of Call]])&lt;=6,YEAR(calls[[#This Row],[Date of Call]]),YEAR(calls[[#This Row],[Date of Call]])+1)</f>
        <v>2023</v>
      </c>
      <c r="I245" t="str">
        <f>TEXT(calls[[#This Row],[Date of Call]],"DDDD")</f>
        <v>Saturday</v>
      </c>
      <c r="J245" t="str" cm="1">
        <f t="array" ref="J245">_xlfn.IFS(calls[[#This Row],[Duration]]&lt;=10,"UNDER 10 MINS",calls[[#This Row],[Duration]]&lt;=30,"10 TO 30 MINS",calls[[#This Row],[Duration]]&lt;=60,"30 TO 60 MINS",calls[[#This Row],[Duration]]&lt;=120,"1 TO 2 HRS",TRUE,"MORE THAN 2 HRS")</f>
        <v>1 TO 2 HRS</v>
      </c>
      <c r="K245">
        <f>ROUND(calls[[#This Row],[Satisfaction Rating]],0)</f>
        <v>4</v>
      </c>
    </row>
    <row r="246" spans="1:11" x14ac:dyDescent="0.3">
      <c r="A246" s="41" t="s">
        <v>1297</v>
      </c>
      <c r="B246" s="10" t="s">
        <v>1089</v>
      </c>
      <c r="C246" s="10">
        <v>106</v>
      </c>
      <c r="D246" s="39" t="s">
        <v>1048</v>
      </c>
      <c r="E246" s="40">
        <v>45003</v>
      </c>
      <c r="F246" s="10">
        <v>112</v>
      </c>
      <c r="G246" s="42">
        <v>4.4000000000000004</v>
      </c>
      <c r="H246">
        <f>IF(MONTH(calls[[#This Row],[Date of Call]])&lt;=6,YEAR(calls[[#This Row],[Date of Call]]),YEAR(calls[[#This Row],[Date of Call]])+1)</f>
        <v>2023</v>
      </c>
      <c r="I246" t="str">
        <f>TEXT(calls[[#This Row],[Date of Call]],"DDDD")</f>
        <v>Saturday</v>
      </c>
      <c r="J246" t="str" cm="1">
        <f t="array" ref="J246">_xlfn.IFS(calls[[#This Row],[Duration]]&lt;=10,"UNDER 10 MINS",calls[[#This Row],[Duration]]&lt;=30,"10 TO 30 MINS",calls[[#This Row],[Duration]]&lt;=60,"30 TO 60 MINS",calls[[#This Row],[Duration]]&lt;=120,"1 TO 2 HRS",TRUE,"MORE THAN 2 HRS")</f>
        <v>1 TO 2 HRS</v>
      </c>
      <c r="K246">
        <f>ROUND(calls[[#This Row],[Satisfaction Rating]],0)</f>
        <v>4</v>
      </c>
    </row>
    <row r="247" spans="1:11" x14ac:dyDescent="0.3">
      <c r="A247" s="41" t="s">
        <v>1298</v>
      </c>
      <c r="B247" s="10" t="s">
        <v>1056</v>
      </c>
      <c r="C247" s="10">
        <v>58</v>
      </c>
      <c r="D247" s="39" t="s">
        <v>1043</v>
      </c>
      <c r="E247" s="40">
        <v>45004</v>
      </c>
      <c r="F247" s="10">
        <v>43</v>
      </c>
      <c r="G247" s="42">
        <v>4.5</v>
      </c>
      <c r="H247">
        <f>IF(MONTH(calls[[#This Row],[Date of Call]])&lt;=6,YEAR(calls[[#This Row],[Date of Call]]),YEAR(calls[[#This Row],[Date of Call]])+1)</f>
        <v>2023</v>
      </c>
      <c r="I247" t="str">
        <f>TEXT(calls[[#This Row],[Date of Call]],"DDDD")</f>
        <v>Sunday</v>
      </c>
      <c r="J247" t="str" cm="1">
        <f t="array" ref="J247">_xlfn.IFS(calls[[#This Row],[Duration]]&lt;=10,"UNDER 10 MINS",calls[[#This Row],[Duration]]&lt;=30,"10 TO 30 MINS",calls[[#This Row],[Duration]]&lt;=60,"30 TO 60 MINS",calls[[#This Row],[Duration]]&lt;=120,"1 TO 2 HRS",TRUE,"MORE THAN 2 HRS")</f>
        <v>30 TO 60 MINS</v>
      </c>
      <c r="K247">
        <f>ROUND(calls[[#This Row],[Satisfaction Rating]],0)</f>
        <v>5</v>
      </c>
    </row>
    <row r="248" spans="1:11" x14ac:dyDescent="0.3">
      <c r="A248" s="41" t="s">
        <v>1299</v>
      </c>
      <c r="B248" s="10" t="s">
        <v>1071</v>
      </c>
      <c r="C248" s="10">
        <v>84</v>
      </c>
      <c r="D248" s="39" t="s">
        <v>1048</v>
      </c>
      <c r="E248" s="40">
        <v>45004</v>
      </c>
      <c r="F248" s="10">
        <v>22</v>
      </c>
      <c r="G248" s="42">
        <v>3.5</v>
      </c>
      <c r="H248">
        <f>IF(MONTH(calls[[#This Row],[Date of Call]])&lt;=6,YEAR(calls[[#This Row],[Date of Call]]),YEAR(calls[[#This Row],[Date of Call]])+1)</f>
        <v>2023</v>
      </c>
      <c r="I248" t="str">
        <f>TEXT(calls[[#This Row],[Date of Call]],"DDDD")</f>
        <v>Sunday</v>
      </c>
      <c r="J248" t="str" cm="1">
        <f t="array" ref="J248">_xlfn.IFS(calls[[#This Row],[Duration]]&lt;=10,"UNDER 10 MINS",calls[[#This Row],[Duration]]&lt;=30,"10 TO 30 MINS",calls[[#This Row],[Duration]]&lt;=60,"30 TO 60 MINS",calls[[#This Row],[Duration]]&lt;=120,"1 TO 2 HRS",TRUE,"MORE THAN 2 HRS")</f>
        <v>1 TO 2 HRS</v>
      </c>
      <c r="K248">
        <f>ROUND(calls[[#This Row],[Satisfaction Rating]],0)</f>
        <v>4</v>
      </c>
    </row>
    <row r="249" spans="1:11" x14ac:dyDescent="0.3">
      <c r="A249" s="41" t="s">
        <v>1300</v>
      </c>
      <c r="B249" s="10" t="s">
        <v>1068</v>
      </c>
      <c r="C249" s="10">
        <v>140</v>
      </c>
      <c r="D249" s="39" t="s">
        <v>1048</v>
      </c>
      <c r="E249" s="40">
        <v>45004</v>
      </c>
      <c r="F249" s="10">
        <v>93</v>
      </c>
      <c r="G249" s="42">
        <v>4.4000000000000004</v>
      </c>
      <c r="H249">
        <f>IF(MONTH(calls[[#This Row],[Date of Call]])&lt;=6,YEAR(calls[[#This Row],[Date of Call]]),YEAR(calls[[#This Row],[Date of Call]])+1)</f>
        <v>2023</v>
      </c>
      <c r="I249" t="str">
        <f>TEXT(calls[[#This Row],[Date of Call]],"DDDD")</f>
        <v>Sunday</v>
      </c>
      <c r="J249" t="str" cm="1">
        <f t="array" ref="J249">_xlfn.IFS(calls[[#This Row],[Duration]]&lt;=10,"UNDER 10 MINS",calls[[#This Row],[Duration]]&lt;=30,"10 TO 30 MINS",calls[[#This Row],[Duration]]&lt;=60,"30 TO 60 MINS",calls[[#This Row],[Duration]]&lt;=120,"1 TO 2 HRS",TRUE,"MORE THAN 2 HRS")</f>
        <v>MORE THAN 2 HRS</v>
      </c>
      <c r="K249">
        <f>ROUND(calls[[#This Row],[Satisfaction Rating]],0)</f>
        <v>4</v>
      </c>
    </row>
    <row r="250" spans="1:11" x14ac:dyDescent="0.3">
      <c r="A250" s="41" t="s">
        <v>1301</v>
      </c>
      <c r="B250" s="10" t="s">
        <v>1056</v>
      </c>
      <c r="C250" s="10">
        <v>67</v>
      </c>
      <c r="D250" s="39" t="s">
        <v>1048</v>
      </c>
      <c r="E250" s="40">
        <v>45004</v>
      </c>
      <c r="F250" s="10">
        <v>45</v>
      </c>
      <c r="G250" s="42">
        <v>3.5</v>
      </c>
      <c r="H250">
        <f>IF(MONTH(calls[[#This Row],[Date of Call]])&lt;=6,YEAR(calls[[#This Row],[Date of Call]]),YEAR(calls[[#This Row],[Date of Call]])+1)</f>
        <v>2023</v>
      </c>
      <c r="I250" t="str">
        <f>TEXT(calls[[#This Row],[Date of Call]],"DDDD")</f>
        <v>Sunday</v>
      </c>
      <c r="J250" t="str" cm="1">
        <f t="array" ref="J250">_xlfn.IFS(calls[[#This Row],[Duration]]&lt;=10,"UNDER 10 MINS",calls[[#This Row],[Duration]]&lt;=30,"10 TO 30 MINS",calls[[#This Row],[Duration]]&lt;=60,"30 TO 60 MINS",calls[[#This Row],[Duration]]&lt;=120,"1 TO 2 HRS",TRUE,"MORE THAN 2 HRS")</f>
        <v>1 TO 2 HRS</v>
      </c>
      <c r="K250">
        <f>ROUND(calls[[#This Row],[Satisfaction Rating]],0)</f>
        <v>4</v>
      </c>
    </row>
    <row r="251" spans="1:11" x14ac:dyDescent="0.3">
      <c r="A251" s="41" t="s">
        <v>1302</v>
      </c>
      <c r="B251" s="10" t="s">
        <v>1040</v>
      </c>
      <c r="C251" s="10">
        <v>126</v>
      </c>
      <c r="D251" s="39" t="s">
        <v>1048</v>
      </c>
      <c r="E251" s="40">
        <v>45005</v>
      </c>
      <c r="F251" s="10">
        <v>96</v>
      </c>
      <c r="G251" s="42">
        <v>3.8</v>
      </c>
      <c r="H251">
        <f>IF(MONTH(calls[[#This Row],[Date of Call]])&lt;=6,YEAR(calls[[#This Row],[Date of Call]]),YEAR(calls[[#This Row],[Date of Call]])+1)</f>
        <v>2023</v>
      </c>
      <c r="I251" t="str">
        <f>TEXT(calls[[#This Row],[Date of Call]],"DDDD")</f>
        <v>Monday</v>
      </c>
      <c r="J251" t="str" cm="1">
        <f t="array" ref="J251">_xlfn.IFS(calls[[#This Row],[Duration]]&lt;=10,"UNDER 10 MINS",calls[[#This Row],[Duration]]&lt;=30,"10 TO 30 MINS",calls[[#This Row],[Duration]]&lt;=60,"30 TO 60 MINS",calls[[#This Row],[Duration]]&lt;=120,"1 TO 2 HRS",TRUE,"MORE THAN 2 HRS")</f>
        <v>MORE THAN 2 HRS</v>
      </c>
      <c r="K251">
        <f>ROUND(calls[[#This Row],[Satisfaction Rating]],0)</f>
        <v>4</v>
      </c>
    </row>
    <row r="252" spans="1:11" x14ac:dyDescent="0.3">
      <c r="A252" s="41" t="s">
        <v>1303</v>
      </c>
      <c r="B252" s="10" t="s">
        <v>1040</v>
      </c>
      <c r="C252" s="10">
        <v>89</v>
      </c>
      <c r="D252" s="39" t="s">
        <v>1043</v>
      </c>
      <c r="E252" s="40">
        <v>45005</v>
      </c>
      <c r="F252" s="10">
        <v>96</v>
      </c>
      <c r="G252" s="42">
        <v>3.3</v>
      </c>
      <c r="H252">
        <f>IF(MONTH(calls[[#This Row],[Date of Call]])&lt;=6,YEAR(calls[[#This Row],[Date of Call]]),YEAR(calls[[#This Row],[Date of Call]])+1)</f>
        <v>2023</v>
      </c>
      <c r="I252" t="str">
        <f>TEXT(calls[[#This Row],[Date of Call]],"DDDD")</f>
        <v>Monday</v>
      </c>
      <c r="J252" t="str" cm="1">
        <f t="array" ref="J252">_xlfn.IFS(calls[[#This Row],[Duration]]&lt;=10,"UNDER 10 MINS",calls[[#This Row],[Duration]]&lt;=30,"10 TO 30 MINS",calls[[#This Row],[Duration]]&lt;=60,"30 TO 60 MINS",calls[[#This Row],[Duration]]&lt;=120,"1 TO 2 HRS",TRUE,"MORE THAN 2 HRS")</f>
        <v>1 TO 2 HRS</v>
      </c>
      <c r="K252">
        <f>ROUND(calls[[#This Row],[Satisfaction Rating]],0)</f>
        <v>3</v>
      </c>
    </row>
    <row r="253" spans="1:11" x14ac:dyDescent="0.3">
      <c r="A253" s="41" t="s">
        <v>1304</v>
      </c>
      <c r="B253" s="10" t="s">
        <v>1042</v>
      </c>
      <c r="C253" s="10">
        <v>56</v>
      </c>
      <c r="D253" s="39" t="s">
        <v>1038</v>
      </c>
      <c r="E253" s="40">
        <v>45005</v>
      </c>
      <c r="F253" s="10">
        <v>31</v>
      </c>
      <c r="G253" s="42">
        <v>4.4000000000000004</v>
      </c>
      <c r="H253">
        <f>IF(MONTH(calls[[#This Row],[Date of Call]])&lt;=6,YEAR(calls[[#This Row],[Date of Call]]),YEAR(calls[[#This Row],[Date of Call]])+1)</f>
        <v>2023</v>
      </c>
      <c r="I253" t="str">
        <f>TEXT(calls[[#This Row],[Date of Call]],"DDDD")</f>
        <v>Monday</v>
      </c>
      <c r="J253" t="str" cm="1">
        <f t="array" ref="J253">_xlfn.IFS(calls[[#This Row],[Duration]]&lt;=10,"UNDER 10 MINS",calls[[#This Row],[Duration]]&lt;=30,"10 TO 30 MINS",calls[[#This Row],[Duration]]&lt;=60,"30 TO 60 MINS",calls[[#This Row],[Duration]]&lt;=120,"1 TO 2 HRS",TRUE,"MORE THAN 2 HRS")</f>
        <v>30 TO 60 MINS</v>
      </c>
      <c r="K253">
        <f>ROUND(calls[[#This Row],[Satisfaction Rating]],0)</f>
        <v>4</v>
      </c>
    </row>
    <row r="254" spans="1:11" x14ac:dyDescent="0.3">
      <c r="A254" s="41" t="s">
        <v>1305</v>
      </c>
      <c r="B254" s="10" t="s">
        <v>1047</v>
      </c>
      <c r="C254" s="10">
        <v>48</v>
      </c>
      <c r="D254" s="39" t="s">
        <v>1043</v>
      </c>
      <c r="E254" s="40">
        <v>45005</v>
      </c>
      <c r="F254" s="10">
        <v>200</v>
      </c>
      <c r="G254" s="42">
        <v>3.9</v>
      </c>
      <c r="H254">
        <f>IF(MONTH(calls[[#This Row],[Date of Call]])&lt;=6,YEAR(calls[[#This Row],[Date of Call]]),YEAR(calls[[#This Row],[Date of Call]])+1)</f>
        <v>2023</v>
      </c>
      <c r="I254" t="str">
        <f>TEXT(calls[[#This Row],[Date of Call]],"DDDD")</f>
        <v>Monday</v>
      </c>
      <c r="J254" t="str" cm="1">
        <f t="array" ref="J254">_xlfn.IFS(calls[[#This Row],[Duration]]&lt;=10,"UNDER 10 MINS",calls[[#This Row],[Duration]]&lt;=30,"10 TO 30 MINS",calls[[#This Row],[Duration]]&lt;=60,"30 TO 60 MINS",calls[[#This Row],[Duration]]&lt;=120,"1 TO 2 HRS",TRUE,"MORE THAN 2 HRS")</f>
        <v>30 TO 60 MINS</v>
      </c>
      <c r="K254">
        <f>ROUND(calls[[#This Row],[Satisfaction Rating]],0)</f>
        <v>4</v>
      </c>
    </row>
    <row r="255" spans="1:11" x14ac:dyDescent="0.3">
      <c r="A255" s="41" t="s">
        <v>1306</v>
      </c>
      <c r="B255" s="10" t="s">
        <v>1040</v>
      </c>
      <c r="C255" s="10">
        <v>55</v>
      </c>
      <c r="D255" s="39" t="s">
        <v>1038</v>
      </c>
      <c r="E255" s="40">
        <v>45005</v>
      </c>
      <c r="F255" s="10">
        <v>99</v>
      </c>
      <c r="G255" s="42">
        <v>2.7</v>
      </c>
      <c r="H255">
        <f>IF(MONTH(calls[[#This Row],[Date of Call]])&lt;=6,YEAR(calls[[#This Row],[Date of Call]]),YEAR(calls[[#This Row],[Date of Call]])+1)</f>
        <v>2023</v>
      </c>
      <c r="I255" t="str">
        <f>TEXT(calls[[#This Row],[Date of Call]],"DDDD")</f>
        <v>Monday</v>
      </c>
      <c r="J255" t="str" cm="1">
        <f t="array" ref="J255">_xlfn.IFS(calls[[#This Row],[Duration]]&lt;=10,"UNDER 10 MINS",calls[[#This Row],[Duration]]&lt;=30,"10 TO 30 MINS",calls[[#This Row],[Duration]]&lt;=60,"30 TO 60 MINS",calls[[#This Row],[Duration]]&lt;=120,"1 TO 2 HRS",TRUE,"MORE THAN 2 HRS")</f>
        <v>30 TO 60 MINS</v>
      </c>
      <c r="K255">
        <f>ROUND(calls[[#This Row],[Satisfaction Rating]],0)</f>
        <v>3</v>
      </c>
    </row>
    <row r="256" spans="1:11" x14ac:dyDescent="0.3">
      <c r="A256" s="41" t="s">
        <v>1307</v>
      </c>
      <c r="B256" s="10" t="s">
        <v>1045</v>
      </c>
      <c r="C256" s="10">
        <v>88</v>
      </c>
      <c r="D256" s="39" t="s">
        <v>1057</v>
      </c>
      <c r="E256" s="40">
        <v>45005</v>
      </c>
      <c r="F256" s="10">
        <v>144</v>
      </c>
      <c r="G256" s="42">
        <v>2.9</v>
      </c>
      <c r="H256">
        <f>IF(MONTH(calls[[#This Row],[Date of Call]])&lt;=6,YEAR(calls[[#This Row],[Date of Call]]),YEAR(calls[[#This Row],[Date of Call]])+1)</f>
        <v>2023</v>
      </c>
      <c r="I256" t="str">
        <f>TEXT(calls[[#This Row],[Date of Call]],"DDDD")</f>
        <v>Monday</v>
      </c>
      <c r="J256" t="str" cm="1">
        <f t="array" ref="J256">_xlfn.IFS(calls[[#This Row],[Duration]]&lt;=10,"UNDER 10 MINS",calls[[#This Row],[Duration]]&lt;=30,"10 TO 30 MINS",calls[[#This Row],[Duration]]&lt;=60,"30 TO 60 MINS",calls[[#This Row],[Duration]]&lt;=120,"1 TO 2 HRS",TRUE,"MORE THAN 2 HRS")</f>
        <v>1 TO 2 HRS</v>
      </c>
      <c r="K256">
        <f>ROUND(calls[[#This Row],[Satisfaction Rating]],0)</f>
        <v>3</v>
      </c>
    </row>
    <row r="257" spans="1:11" x14ac:dyDescent="0.3">
      <c r="A257" s="41" t="s">
        <v>1308</v>
      </c>
      <c r="B257" s="10" t="s">
        <v>1042</v>
      </c>
      <c r="C257" s="10">
        <v>102</v>
      </c>
      <c r="D257" s="39" t="s">
        <v>1048</v>
      </c>
      <c r="E257" s="40">
        <v>45006</v>
      </c>
      <c r="F257" s="10">
        <v>81</v>
      </c>
      <c r="G257" s="42">
        <v>4</v>
      </c>
      <c r="H257">
        <f>IF(MONTH(calls[[#This Row],[Date of Call]])&lt;=6,YEAR(calls[[#This Row],[Date of Call]]),YEAR(calls[[#This Row],[Date of Call]])+1)</f>
        <v>2023</v>
      </c>
      <c r="I257" t="str">
        <f>TEXT(calls[[#This Row],[Date of Call]],"DDDD")</f>
        <v>Tuesday</v>
      </c>
      <c r="J257" t="str" cm="1">
        <f t="array" ref="J257">_xlfn.IFS(calls[[#This Row],[Duration]]&lt;=10,"UNDER 10 MINS",calls[[#This Row],[Duration]]&lt;=30,"10 TO 30 MINS",calls[[#This Row],[Duration]]&lt;=60,"30 TO 60 MINS",calls[[#This Row],[Duration]]&lt;=120,"1 TO 2 HRS",TRUE,"MORE THAN 2 HRS")</f>
        <v>1 TO 2 HRS</v>
      </c>
      <c r="K257">
        <f>ROUND(calls[[#This Row],[Satisfaction Rating]],0)</f>
        <v>4</v>
      </c>
    </row>
    <row r="258" spans="1:11" x14ac:dyDescent="0.3">
      <c r="A258" s="41" t="s">
        <v>1309</v>
      </c>
      <c r="B258" s="10" t="s">
        <v>1045</v>
      </c>
      <c r="C258" s="10">
        <v>155</v>
      </c>
      <c r="D258" s="39" t="s">
        <v>1057</v>
      </c>
      <c r="E258" s="40">
        <v>45006</v>
      </c>
      <c r="F258" s="10">
        <v>70</v>
      </c>
      <c r="G258" s="42">
        <v>4.4000000000000004</v>
      </c>
      <c r="H258">
        <f>IF(MONTH(calls[[#This Row],[Date of Call]])&lt;=6,YEAR(calls[[#This Row],[Date of Call]]),YEAR(calls[[#This Row],[Date of Call]])+1)</f>
        <v>2023</v>
      </c>
      <c r="I258" t="str">
        <f>TEXT(calls[[#This Row],[Date of Call]],"DDDD")</f>
        <v>Tuesday</v>
      </c>
      <c r="J258" t="str" cm="1">
        <f t="array" ref="J258">_xlfn.IFS(calls[[#This Row],[Duration]]&lt;=10,"UNDER 10 MINS",calls[[#This Row],[Duration]]&lt;=30,"10 TO 30 MINS",calls[[#This Row],[Duration]]&lt;=60,"30 TO 60 MINS",calls[[#This Row],[Duration]]&lt;=120,"1 TO 2 HRS",TRUE,"MORE THAN 2 HRS")</f>
        <v>MORE THAN 2 HRS</v>
      </c>
      <c r="K258">
        <f>ROUND(calls[[#This Row],[Satisfaction Rating]],0)</f>
        <v>4</v>
      </c>
    </row>
    <row r="259" spans="1:11" x14ac:dyDescent="0.3">
      <c r="A259" s="41" t="s">
        <v>1310</v>
      </c>
      <c r="B259" s="10" t="s">
        <v>1040</v>
      </c>
      <c r="C259" s="10">
        <v>63</v>
      </c>
      <c r="D259" s="39" t="s">
        <v>1057</v>
      </c>
      <c r="E259" s="40">
        <v>45006</v>
      </c>
      <c r="F259" s="10">
        <v>148</v>
      </c>
      <c r="G259" s="42">
        <v>5</v>
      </c>
      <c r="H259">
        <f>IF(MONTH(calls[[#This Row],[Date of Call]])&lt;=6,YEAR(calls[[#This Row],[Date of Call]]),YEAR(calls[[#This Row],[Date of Call]])+1)</f>
        <v>2023</v>
      </c>
      <c r="I259" t="str">
        <f>TEXT(calls[[#This Row],[Date of Call]],"DDDD")</f>
        <v>Tuesday</v>
      </c>
      <c r="J259" t="str" cm="1">
        <f t="array" ref="J259">_xlfn.IFS(calls[[#This Row],[Duration]]&lt;=10,"UNDER 10 MINS",calls[[#This Row],[Duration]]&lt;=30,"10 TO 30 MINS",calls[[#This Row],[Duration]]&lt;=60,"30 TO 60 MINS",calls[[#This Row],[Duration]]&lt;=120,"1 TO 2 HRS",TRUE,"MORE THAN 2 HRS")</f>
        <v>1 TO 2 HRS</v>
      </c>
      <c r="K259">
        <f>ROUND(calls[[#This Row],[Satisfaction Rating]],0)</f>
        <v>5</v>
      </c>
    </row>
    <row r="260" spans="1:11" x14ac:dyDescent="0.3">
      <c r="A260" s="41" t="s">
        <v>1311</v>
      </c>
      <c r="B260" s="10" t="s">
        <v>1051</v>
      </c>
      <c r="C260" s="10">
        <v>59</v>
      </c>
      <c r="D260" s="39" t="s">
        <v>1048</v>
      </c>
      <c r="E260" s="40">
        <v>45006</v>
      </c>
      <c r="F260" s="10">
        <v>215</v>
      </c>
      <c r="G260" s="42">
        <v>4.0999999999999996</v>
      </c>
      <c r="H260">
        <f>IF(MONTH(calls[[#This Row],[Date of Call]])&lt;=6,YEAR(calls[[#This Row],[Date of Call]]),YEAR(calls[[#This Row],[Date of Call]])+1)</f>
        <v>2023</v>
      </c>
      <c r="I260" t="str">
        <f>TEXT(calls[[#This Row],[Date of Call]],"DDDD")</f>
        <v>Tuesday</v>
      </c>
      <c r="J260" t="str" cm="1">
        <f t="array" ref="J260">_xlfn.IFS(calls[[#This Row],[Duration]]&lt;=10,"UNDER 10 MINS",calls[[#This Row],[Duration]]&lt;=30,"10 TO 30 MINS",calls[[#This Row],[Duration]]&lt;=60,"30 TO 60 MINS",calls[[#This Row],[Duration]]&lt;=120,"1 TO 2 HRS",TRUE,"MORE THAN 2 HRS")</f>
        <v>30 TO 60 MINS</v>
      </c>
      <c r="K260">
        <f>ROUND(calls[[#This Row],[Satisfaction Rating]],0)</f>
        <v>4</v>
      </c>
    </row>
    <row r="261" spans="1:11" x14ac:dyDescent="0.3">
      <c r="A261" s="41" t="s">
        <v>1312</v>
      </c>
      <c r="B261" s="10" t="s">
        <v>1051</v>
      </c>
      <c r="C261" s="10">
        <v>144</v>
      </c>
      <c r="D261" s="39" t="s">
        <v>1043</v>
      </c>
      <c r="E261" s="40">
        <v>45006</v>
      </c>
      <c r="F261" s="10">
        <v>124</v>
      </c>
      <c r="G261" s="42">
        <v>4.4000000000000004</v>
      </c>
      <c r="H261">
        <f>IF(MONTH(calls[[#This Row],[Date of Call]])&lt;=6,YEAR(calls[[#This Row],[Date of Call]]),YEAR(calls[[#This Row],[Date of Call]])+1)</f>
        <v>2023</v>
      </c>
      <c r="I261" t="str">
        <f>TEXT(calls[[#This Row],[Date of Call]],"DDDD")</f>
        <v>Tuesday</v>
      </c>
      <c r="J261" t="str" cm="1">
        <f t="array" ref="J261">_xlfn.IFS(calls[[#This Row],[Duration]]&lt;=10,"UNDER 10 MINS",calls[[#This Row],[Duration]]&lt;=30,"10 TO 30 MINS",calls[[#This Row],[Duration]]&lt;=60,"30 TO 60 MINS",calls[[#This Row],[Duration]]&lt;=120,"1 TO 2 HRS",TRUE,"MORE THAN 2 HRS")</f>
        <v>MORE THAN 2 HRS</v>
      </c>
      <c r="K261">
        <f>ROUND(calls[[#This Row],[Satisfaction Rating]],0)</f>
        <v>4</v>
      </c>
    </row>
    <row r="262" spans="1:11" x14ac:dyDescent="0.3">
      <c r="A262" s="41" t="s">
        <v>1313</v>
      </c>
      <c r="B262" s="10" t="s">
        <v>1071</v>
      </c>
      <c r="C262" s="10">
        <v>113</v>
      </c>
      <c r="D262" s="39" t="s">
        <v>1053</v>
      </c>
      <c r="E262" s="40">
        <v>45006</v>
      </c>
      <c r="F262" s="10">
        <v>168</v>
      </c>
      <c r="G262" s="42">
        <v>4.0999999999999996</v>
      </c>
      <c r="H262">
        <f>IF(MONTH(calls[[#This Row],[Date of Call]])&lt;=6,YEAR(calls[[#This Row],[Date of Call]]),YEAR(calls[[#This Row],[Date of Call]])+1)</f>
        <v>2023</v>
      </c>
      <c r="I262" t="str">
        <f>TEXT(calls[[#This Row],[Date of Call]],"DDDD")</f>
        <v>Tuesday</v>
      </c>
      <c r="J262" t="str" cm="1">
        <f t="array" ref="J262">_xlfn.IFS(calls[[#This Row],[Duration]]&lt;=10,"UNDER 10 MINS",calls[[#This Row],[Duration]]&lt;=30,"10 TO 30 MINS",calls[[#This Row],[Duration]]&lt;=60,"30 TO 60 MINS",calls[[#This Row],[Duration]]&lt;=120,"1 TO 2 HRS",TRUE,"MORE THAN 2 HRS")</f>
        <v>1 TO 2 HRS</v>
      </c>
      <c r="K262">
        <f>ROUND(calls[[#This Row],[Satisfaction Rating]],0)</f>
        <v>4</v>
      </c>
    </row>
    <row r="263" spans="1:11" x14ac:dyDescent="0.3">
      <c r="A263" s="41" t="s">
        <v>1314</v>
      </c>
      <c r="B263" s="10" t="s">
        <v>1079</v>
      </c>
      <c r="C263" s="10">
        <v>154</v>
      </c>
      <c r="D263" s="39" t="s">
        <v>1038</v>
      </c>
      <c r="E263" s="40">
        <v>45006</v>
      </c>
      <c r="F263" s="10">
        <v>90</v>
      </c>
      <c r="G263" s="42">
        <v>4.5</v>
      </c>
      <c r="H263">
        <f>IF(MONTH(calls[[#This Row],[Date of Call]])&lt;=6,YEAR(calls[[#This Row],[Date of Call]]),YEAR(calls[[#This Row],[Date of Call]])+1)</f>
        <v>2023</v>
      </c>
      <c r="I263" t="str">
        <f>TEXT(calls[[#This Row],[Date of Call]],"DDDD")</f>
        <v>Tuesday</v>
      </c>
      <c r="J263" t="str" cm="1">
        <f t="array" ref="J263">_xlfn.IFS(calls[[#This Row],[Duration]]&lt;=10,"UNDER 10 MINS",calls[[#This Row],[Duration]]&lt;=30,"10 TO 30 MINS",calls[[#This Row],[Duration]]&lt;=60,"30 TO 60 MINS",calls[[#This Row],[Duration]]&lt;=120,"1 TO 2 HRS",TRUE,"MORE THAN 2 HRS")</f>
        <v>MORE THAN 2 HRS</v>
      </c>
      <c r="K263">
        <f>ROUND(calls[[#This Row],[Satisfaction Rating]],0)</f>
        <v>5</v>
      </c>
    </row>
    <row r="264" spans="1:11" x14ac:dyDescent="0.3">
      <c r="A264" s="41" t="s">
        <v>1315</v>
      </c>
      <c r="B264" s="10" t="s">
        <v>1079</v>
      </c>
      <c r="C264" s="10">
        <v>58</v>
      </c>
      <c r="D264" s="39" t="s">
        <v>1048</v>
      </c>
      <c r="E264" s="40">
        <v>45007</v>
      </c>
      <c r="F264" s="10">
        <v>176</v>
      </c>
      <c r="G264" s="42">
        <v>4.2</v>
      </c>
      <c r="H264">
        <f>IF(MONTH(calls[[#This Row],[Date of Call]])&lt;=6,YEAR(calls[[#This Row],[Date of Call]]),YEAR(calls[[#This Row],[Date of Call]])+1)</f>
        <v>2023</v>
      </c>
      <c r="I264" t="str">
        <f>TEXT(calls[[#This Row],[Date of Call]],"DDDD")</f>
        <v>Wednesday</v>
      </c>
      <c r="J264" t="str" cm="1">
        <f t="array" ref="J264">_xlfn.IFS(calls[[#This Row],[Duration]]&lt;=10,"UNDER 10 MINS",calls[[#This Row],[Duration]]&lt;=30,"10 TO 30 MINS",calls[[#This Row],[Duration]]&lt;=60,"30 TO 60 MINS",calls[[#This Row],[Duration]]&lt;=120,"1 TO 2 HRS",TRUE,"MORE THAN 2 HRS")</f>
        <v>30 TO 60 MINS</v>
      </c>
      <c r="K264">
        <f>ROUND(calls[[#This Row],[Satisfaction Rating]],0)</f>
        <v>4</v>
      </c>
    </row>
    <row r="265" spans="1:11" x14ac:dyDescent="0.3">
      <c r="A265" s="41" t="s">
        <v>1316</v>
      </c>
      <c r="B265" s="10" t="s">
        <v>1047</v>
      </c>
      <c r="C265" s="10">
        <v>63</v>
      </c>
      <c r="D265" s="39" t="s">
        <v>1057</v>
      </c>
      <c r="E265" s="40">
        <v>45007</v>
      </c>
      <c r="F265" s="10">
        <v>87</v>
      </c>
      <c r="G265" s="42">
        <v>4.5999999999999996</v>
      </c>
      <c r="H265">
        <f>IF(MONTH(calls[[#This Row],[Date of Call]])&lt;=6,YEAR(calls[[#This Row],[Date of Call]]),YEAR(calls[[#This Row],[Date of Call]])+1)</f>
        <v>2023</v>
      </c>
      <c r="I265" t="str">
        <f>TEXT(calls[[#This Row],[Date of Call]],"DDDD")</f>
        <v>Wednesday</v>
      </c>
      <c r="J265" t="str" cm="1">
        <f t="array" ref="J265">_xlfn.IFS(calls[[#This Row],[Duration]]&lt;=10,"UNDER 10 MINS",calls[[#This Row],[Duration]]&lt;=30,"10 TO 30 MINS",calls[[#This Row],[Duration]]&lt;=60,"30 TO 60 MINS",calls[[#This Row],[Duration]]&lt;=120,"1 TO 2 HRS",TRUE,"MORE THAN 2 HRS")</f>
        <v>1 TO 2 HRS</v>
      </c>
      <c r="K265">
        <f>ROUND(calls[[#This Row],[Satisfaction Rating]],0)</f>
        <v>5</v>
      </c>
    </row>
    <row r="266" spans="1:11" x14ac:dyDescent="0.3">
      <c r="A266" s="41" t="s">
        <v>1317</v>
      </c>
      <c r="B266" s="10" t="s">
        <v>1068</v>
      </c>
      <c r="C266" s="10">
        <v>59</v>
      </c>
      <c r="D266" s="39" t="s">
        <v>1043</v>
      </c>
      <c r="E266" s="40">
        <v>45007</v>
      </c>
      <c r="F266" s="10">
        <v>128</v>
      </c>
      <c r="G266" s="42">
        <v>4.5</v>
      </c>
      <c r="H266">
        <f>IF(MONTH(calls[[#This Row],[Date of Call]])&lt;=6,YEAR(calls[[#This Row],[Date of Call]]),YEAR(calls[[#This Row],[Date of Call]])+1)</f>
        <v>2023</v>
      </c>
      <c r="I266" t="str">
        <f>TEXT(calls[[#This Row],[Date of Call]],"DDDD")</f>
        <v>Wednesday</v>
      </c>
      <c r="J266" t="str" cm="1">
        <f t="array" ref="J266">_xlfn.IFS(calls[[#This Row],[Duration]]&lt;=10,"UNDER 10 MINS",calls[[#This Row],[Duration]]&lt;=30,"10 TO 30 MINS",calls[[#This Row],[Duration]]&lt;=60,"30 TO 60 MINS",calls[[#This Row],[Duration]]&lt;=120,"1 TO 2 HRS",TRUE,"MORE THAN 2 HRS")</f>
        <v>30 TO 60 MINS</v>
      </c>
      <c r="K266">
        <f>ROUND(calls[[#This Row],[Satisfaction Rating]],0)</f>
        <v>5</v>
      </c>
    </row>
    <row r="267" spans="1:11" x14ac:dyDescent="0.3">
      <c r="A267" s="41" t="s">
        <v>1318</v>
      </c>
      <c r="B267" s="10" t="s">
        <v>1109</v>
      </c>
      <c r="C267" s="10">
        <v>129</v>
      </c>
      <c r="D267" s="39" t="s">
        <v>1057</v>
      </c>
      <c r="E267" s="40">
        <v>45007</v>
      </c>
      <c r="F267" s="10">
        <v>120</v>
      </c>
      <c r="G267" s="42">
        <v>4.0999999999999996</v>
      </c>
      <c r="H267">
        <f>IF(MONTH(calls[[#This Row],[Date of Call]])&lt;=6,YEAR(calls[[#This Row],[Date of Call]]),YEAR(calls[[#This Row],[Date of Call]])+1)</f>
        <v>2023</v>
      </c>
      <c r="I267" t="str">
        <f>TEXT(calls[[#This Row],[Date of Call]],"DDDD")</f>
        <v>Wednesday</v>
      </c>
      <c r="J267" t="str" cm="1">
        <f t="array" ref="J267">_xlfn.IFS(calls[[#This Row],[Duration]]&lt;=10,"UNDER 10 MINS",calls[[#This Row],[Duration]]&lt;=30,"10 TO 30 MINS",calls[[#This Row],[Duration]]&lt;=60,"30 TO 60 MINS",calls[[#This Row],[Duration]]&lt;=120,"1 TO 2 HRS",TRUE,"MORE THAN 2 HRS")</f>
        <v>MORE THAN 2 HRS</v>
      </c>
      <c r="K267">
        <f>ROUND(calls[[#This Row],[Satisfaction Rating]],0)</f>
        <v>4</v>
      </c>
    </row>
    <row r="268" spans="1:11" x14ac:dyDescent="0.3">
      <c r="A268" s="41" t="s">
        <v>1319</v>
      </c>
      <c r="B268" s="10" t="s">
        <v>1062</v>
      </c>
      <c r="C268" s="10">
        <v>101</v>
      </c>
      <c r="D268" s="39" t="s">
        <v>1053</v>
      </c>
      <c r="E268" s="40">
        <v>45007</v>
      </c>
      <c r="F268" s="10">
        <v>130</v>
      </c>
      <c r="G268" s="42">
        <v>4.8</v>
      </c>
      <c r="H268">
        <f>IF(MONTH(calls[[#This Row],[Date of Call]])&lt;=6,YEAR(calls[[#This Row],[Date of Call]]),YEAR(calls[[#This Row],[Date of Call]])+1)</f>
        <v>2023</v>
      </c>
      <c r="I268" t="str">
        <f>TEXT(calls[[#This Row],[Date of Call]],"DDDD")</f>
        <v>Wednesday</v>
      </c>
      <c r="J268" t="str" cm="1">
        <f t="array" ref="J268">_xlfn.IFS(calls[[#This Row],[Duration]]&lt;=10,"UNDER 10 MINS",calls[[#This Row],[Duration]]&lt;=30,"10 TO 30 MINS",calls[[#This Row],[Duration]]&lt;=60,"30 TO 60 MINS",calls[[#This Row],[Duration]]&lt;=120,"1 TO 2 HRS",TRUE,"MORE THAN 2 HRS")</f>
        <v>1 TO 2 HRS</v>
      </c>
      <c r="K268">
        <f>ROUND(calls[[#This Row],[Satisfaction Rating]],0)</f>
        <v>5</v>
      </c>
    </row>
    <row r="269" spans="1:11" x14ac:dyDescent="0.3">
      <c r="A269" s="41" t="s">
        <v>1320</v>
      </c>
      <c r="B269" s="10" t="s">
        <v>1076</v>
      </c>
      <c r="C269" s="10">
        <v>154</v>
      </c>
      <c r="D269" s="39" t="s">
        <v>1043</v>
      </c>
      <c r="E269" s="40">
        <v>45007</v>
      </c>
      <c r="F269" s="10">
        <v>172</v>
      </c>
      <c r="G269" s="42">
        <v>3.1</v>
      </c>
      <c r="H269">
        <f>IF(MONTH(calls[[#This Row],[Date of Call]])&lt;=6,YEAR(calls[[#This Row],[Date of Call]]),YEAR(calls[[#This Row],[Date of Call]])+1)</f>
        <v>2023</v>
      </c>
      <c r="I269" t="str">
        <f>TEXT(calls[[#This Row],[Date of Call]],"DDDD")</f>
        <v>Wednesday</v>
      </c>
      <c r="J269" t="str" cm="1">
        <f t="array" ref="J269">_xlfn.IFS(calls[[#This Row],[Duration]]&lt;=10,"UNDER 10 MINS",calls[[#This Row],[Duration]]&lt;=30,"10 TO 30 MINS",calls[[#This Row],[Duration]]&lt;=60,"30 TO 60 MINS",calls[[#This Row],[Duration]]&lt;=120,"1 TO 2 HRS",TRUE,"MORE THAN 2 HRS")</f>
        <v>MORE THAN 2 HRS</v>
      </c>
      <c r="K269">
        <f>ROUND(calls[[#This Row],[Satisfaction Rating]],0)</f>
        <v>3</v>
      </c>
    </row>
    <row r="270" spans="1:11" x14ac:dyDescent="0.3">
      <c r="A270" s="41" t="s">
        <v>1321</v>
      </c>
      <c r="B270" s="10" t="s">
        <v>1056</v>
      </c>
      <c r="C270" s="10">
        <v>131</v>
      </c>
      <c r="D270" s="39" t="s">
        <v>1043</v>
      </c>
      <c r="E270" s="40">
        <v>45007</v>
      </c>
      <c r="F270" s="10">
        <v>58</v>
      </c>
      <c r="G270" s="42">
        <v>4.9000000000000004</v>
      </c>
      <c r="H270">
        <f>IF(MONTH(calls[[#This Row],[Date of Call]])&lt;=6,YEAR(calls[[#This Row],[Date of Call]]),YEAR(calls[[#This Row],[Date of Call]])+1)</f>
        <v>2023</v>
      </c>
      <c r="I270" t="str">
        <f>TEXT(calls[[#This Row],[Date of Call]],"DDDD")</f>
        <v>Wednesday</v>
      </c>
      <c r="J270" t="str" cm="1">
        <f t="array" ref="J270">_xlfn.IFS(calls[[#This Row],[Duration]]&lt;=10,"UNDER 10 MINS",calls[[#This Row],[Duration]]&lt;=30,"10 TO 30 MINS",calls[[#This Row],[Duration]]&lt;=60,"30 TO 60 MINS",calls[[#This Row],[Duration]]&lt;=120,"1 TO 2 HRS",TRUE,"MORE THAN 2 HRS")</f>
        <v>MORE THAN 2 HRS</v>
      </c>
      <c r="K270">
        <f>ROUND(calls[[#This Row],[Satisfaction Rating]],0)</f>
        <v>5</v>
      </c>
    </row>
    <row r="271" spans="1:11" x14ac:dyDescent="0.3">
      <c r="A271" s="41" t="s">
        <v>1322</v>
      </c>
      <c r="B271" s="10" t="s">
        <v>1051</v>
      </c>
      <c r="C271" s="10">
        <v>111</v>
      </c>
      <c r="D271" s="39" t="s">
        <v>1053</v>
      </c>
      <c r="E271" s="40">
        <v>45008</v>
      </c>
      <c r="F271" s="10">
        <v>86</v>
      </c>
      <c r="G271" s="42">
        <v>4.0999999999999996</v>
      </c>
      <c r="H271">
        <f>IF(MONTH(calls[[#This Row],[Date of Call]])&lt;=6,YEAR(calls[[#This Row],[Date of Call]]),YEAR(calls[[#This Row],[Date of Call]])+1)</f>
        <v>2023</v>
      </c>
      <c r="I271" t="str">
        <f>TEXT(calls[[#This Row],[Date of Call]],"DDDD")</f>
        <v>Thursday</v>
      </c>
      <c r="J271" t="str" cm="1">
        <f t="array" ref="J271">_xlfn.IFS(calls[[#This Row],[Duration]]&lt;=10,"UNDER 10 MINS",calls[[#This Row],[Duration]]&lt;=30,"10 TO 30 MINS",calls[[#This Row],[Duration]]&lt;=60,"30 TO 60 MINS",calls[[#This Row],[Duration]]&lt;=120,"1 TO 2 HRS",TRUE,"MORE THAN 2 HRS")</f>
        <v>1 TO 2 HRS</v>
      </c>
      <c r="K271">
        <f>ROUND(calls[[#This Row],[Satisfaction Rating]],0)</f>
        <v>4</v>
      </c>
    </row>
    <row r="272" spans="1:11" x14ac:dyDescent="0.3">
      <c r="A272" s="41" t="s">
        <v>1323</v>
      </c>
      <c r="B272" s="10" t="s">
        <v>1079</v>
      </c>
      <c r="C272" s="10">
        <v>142</v>
      </c>
      <c r="D272" s="39" t="s">
        <v>1053</v>
      </c>
      <c r="E272" s="40">
        <v>45009</v>
      </c>
      <c r="F272" s="10">
        <v>31</v>
      </c>
      <c r="G272" s="42">
        <v>4.4000000000000004</v>
      </c>
      <c r="H272">
        <f>IF(MONTH(calls[[#This Row],[Date of Call]])&lt;=6,YEAR(calls[[#This Row],[Date of Call]]),YEAR(calls[[#This Row],[Date of Call]])+1)</f>
        <v>2023</v>
      </c>
      <c r="I272" t="str">
        <f>TEXT(calls[[#This Row],[Date of Call]],"DDDD")</f>
        <v>Friday</v>
      </c>
      <c r="J272" t="str" cm="1">
        <f t="array" ref="J272">_xlfn.IFS(calls[[#This Row],[Duration]]&lt;=10,"UNDER 10 MINS",calls[[#This Row],[Duration]]&lt;=30,"10 TO 30 MINS",calls[[#This Row],[Duration]]&lt;=60,"30 TO 60 MINS",calls[[#This Row],[Duration]]&lt;=120,"1 TO 2 HRS",TRUE,"MORE THAN 2 HRS")</f>
        <v>MORE THAN 2 HRS</v>
      </c>
      <c r="K272">
        <f>ROUND(calls[[#This Row],[Satisfaction Rating]],0)</f>
        <v>4</v>
      </c>
    </row>
    <row r="273" spans="1:11" x14ac:dyDescent="0.3">
      <c r="A273" s="41" t="s">
        <v>1324</v>
      </c>
      <c r="B273" s="10" t="s">
        <v>1042</v>
      </c>
      <c r="C273" s="10">
        <v>93</v>
      </c>
      <c r="D273" s="39" t="s">
        <v>1057</v>
      </c>
      <c r="E273" s="40">
        <v>45009</v>
      </c>
      <c r="F273" s="10">
        <v>72</v>
      </c>
      <c r="G273" s="42">
        <v>4.4000000000000004</v>
      </c>
      <c r="H273">
        <f>IF(MONTH(calls[[#This Row],[Date of Call]])&lt;=6,YEAR(calls[[#This Row],[Date of Call]]),YEAR(calls[[#This Row],[Date of Call]])+1)</f>
        <v>2023</v>
      </c>
      <c r="I273" t="str">
        <f>TEXT(calls[[#This Row],[Date of Call]],"DDDD")</f>
        <v>Friday</v>
      </c>
      <c r="J273" t="str" cm="1">
        <f t="array" ref="J273">_xlfn.IFS(calls[[#This Row],[Duration]]&lt;=10,"UNDER 10 MINS",calls[[#This Row],[Duration]]&lt;=30,"10 TO 30 MINS",calls[[#This Row],[Duration]]&lt;=60,"30 TO 60 MINS",calls[[#This Row],[Duration]]&lt;=120,"1 TO 2 HRS",TRUE,"MORE THAN 2 HRS")</f>
        <v>1 TO 2 HRS</v>
      </c>
      <c r="K273">
        <f>ROUND(calls[[#This Row],[Satisfaction Rating]],0)</f>
        <v>4</v>
      </c>
    </row>
    <row r="274" spans="1:11" x14ac:dyDescent="0.3">
      <c r="A274" s="41" t="s">
        <v>1325</v>
      </c>
      <c r="B274" s="10" t="s">
        <v>1079</v>
      </c>
      <c r="C274" s="10">
        <v>125</v>
      </c>
      <c r="D274" s="39" t="s">
        <v>1038</v>
      </c>
      <c r="E274" s="40">
        <v>45010</v>
      </c>
      <c r="F274" s="10">
        <v>27</v>
      </c>
      <c r="G274" s="42">
        <v>3</v>
      </c>
      <c r="H274">
        <f>IF(MONTH(calls[[#This Row],[Date of Call]])&lt;=6,YEAR(calls[[#This Row],[Date of Call]]),YEAR(calls[[#This Row],[Date of Call]])+1)</f>
        <v>2023</v>
      </c>
      <c r="I274" t="str">
        <f>TEXT(calls[[#This Row],[Date of Call]],"DDDD")</f>
        <v>Saturday</v>
      </c>
      <c r="J274" t="str" cm="1">
        <f t="array" ref="J274">_xlfn.IFS(calls[[#This Row],[Duration]]&lt;=10,"UNDER 10 MINS",calls[[#This Row],[Duration]]&lt;=30,"10 TO 30 MINS",calls[[#This Row],[Duration]]&lt;=60,"30 TO 60 MINS",calls[[#This Row],[Duration]]&lt;=120,"1 TO 2 HRS",TRUE,"MORE THAN 2 HRS")</f>
        <v>MORE THAN 2 HRS</v>
      </c>
      <c r="K274">
        <f>ROUND(calls[[#This Row],[Satisfaction Rating]],0)</f>
        <v>3</v>
      </c>
    </row>
    <row r="275" spans="1:11" x14ac:dyDescent="0.3">
      <c r="A275" s="41" t="s">
        <v>1326</v>
      </c>
      <c r="B275" s="10" t="s">
        <v>1109</v>
      </c>
      <c r="C275" s="10">
        <v>76</v>
      </c>
      <c r="D275" s="39" t="s">
        <v>1043</v>
      </c>
      <c r="E275" s="40">
        <v>45010</v>
      </c>
      <c r="F275" s="10">
        <v>110</v>
      </c>
      <c r="G275" s="42">
        <v>4.4000000000000004</v>
      </c>
      <c r="H275">
        <f>IF(MONTH(calls[[#This Row],[Date of Call]])&lt;=6,YEAR(calls[[#This Row],[Date of Call]]),YEAR(calls[[#This Row],[Date of Call]])+1)</f>
        <v>2023</v>
      </c>
      <c r="I275" t="str">
        <f>TEXT(calls[[#This Row],[Date of Call]],"DDDD")</f>
        <v>Saturday</v>
      </c>
      <c r="J275" t="str" cm="1">
        <f t="array" ref="J275">_xlfn.IFS(calls[[#This Row],[Duration]]&lt;=10,"UNDER 10 MINS",calls[[#This Row],[Duration]]&lt;=30,"10 TO 30 MINS",calls[[#This Row],[Duration]]&lt;=60,"30 TO 60 MINS",calls[[#This Row],[Duration]]&lt;=120,"1 TO 2 HRS",TRUE,"MORE THAN 2 HRS")</f>
        <v>1 TO 2 HRS</v>
      </c>
      <c r="K275">
        <f>ROUND(calls[[#This Row],[Satisfaction Rating]],0)</f>
        <v>4</v>
      </c>
    </row>
    <row r="276" spans="1:11" x14ac:dyDescent="0.3">
      <c r="A276" s="41" t="s">
        <v>1327</v>
      </c>
      <c r="B276" s="10" t="s">
        <v>1071</v>
      </c>
      <c r="C276" s="10">
        <v>69</v>
      </c>
      <c r="D276" s="39" t="s">
        <v>1057</v>
      </c>
      <c r="E276" s="40">
        <v>45010</v>
      </c>
      <c r="F276" s="10">
        <v>126</v>
      </c>
      <c r="G276" s="42">
        <v>3.7</v>
      </c>
      <c r="H276">
        <f>IF(MONTH(calls[[#This Row],[Date of Call]])&lt;=6,YEAR(calls[[#This Row],[Date of Call]]),YEAR(calls[[#This Row],[Date of Call]])+1)</f>
        <v>2023</v>
      </c>
      <c r="I276" t="str">
        <f>TEXT(calls[[#This Row],[Date of Call]],"DDDD")</f>
        <v>Saturday</v>
      </c>
      <c r="J276" t="str" cm="1">
        <f t="array" ref="J276">_xlfn.IFS(calls[[#This Row],[Duration]]&lt;=10,"UNDER 10 MINS",calls[[#This Row],[Duration]]&lt;=30,"10 TO 30 MINS",calls[[#This Row],[Duration]]&lt;=60,"30 TO 60 MINS",calls[[#This Row],[Duration]]&lt;=120,"1 TO 2 HRS",TRUE,"MORE THAN 2 HRS")</f>
        <v>1 TO 2 HRS</v>
      </c>
      <c r="K276">
        <f>ROUND(calls[[#This Row],[Satisfaction Rating]],0)</f>
        <v>4</v>
      </c>
    </row>
    <row r="277" spans="1:11" x14ac:dyDescent="0.3">
      <c r="A277" s="41" t="s">
        <v>1328</v>
      </c>
      <c r="B277" s="10" t="s">
        <v>1068</v>
      </c>
      <c r="C277" s="10">
        <v>149</v>
      </c>
      <c r="D277" s="39" t="s">
        <v>1038</v>
      </c>
      <c r="E277" s="40">
        <v>45010</v>
      </c>
      <c r="F277" s="10">
        <v>60</v>
      </c>
      <c r="G277" s="42">
        <v>3.9</v>
      </c>
      <c r="H277">
        <f>IF(MONTH(calls[[#This Row],[Date of Call]])&lt;=6,YEAR(calls[[#This Row],[Date of Call]]),YEAR(calls[[#This Row],[Date of Call]])+1)</f>
        <v>2023</v>
      </c>
      <c r="I277" t="str">
        <f>TEXT(calls[[#This Row],[Date of Call]],"DDDD")</f>
        <v>Saturday</v>
      </c>
      <c r="J277" t="str" cm="1">
        <f t="array" ref="J277">_xlfn.IFS(calls[[#This Row],[Duration]]&lt;=10,"UNDER 10 MINS",calls[[#This Row],[Duration]]&lt;=30,"10 TO 30 MINS",calls[[#This Row],[Duration]]&lt;=60,"30 TO 60 MINS",calls[[#This Row],[Duration]]&lt;=120,"1 TO 2 HRS",TRUE,"MORE THAN 2 HRS")</f>
        <v>MORE THAN 2 HRS</v>
      </c>
      <c r="K277">
        <f>ROUND(calls[[#This Row],[Satisfaction Rating]],0)</f>
        <v>4</v>
      </c>
    </row>
    <row r="278" spans="1:11" x14ac:dyDescent="0.3">
      <c r="A278" s="41" t="s">
        <v>1329</v>
      </c>
      <c r="B278" s="10" t="s">
        <v>1079</v>
      </c>
      <c r="C278" s="10">
        <v>57</v>
      </c>
      <c r="D278" s="39" t="s">
        <v>1057</v>
      </c>
      <c r="E278" s="40">
        <v>45010</v>
      </c>
      <c r="F278" s="10">
        <v>35</v>
      </c>
      <c r="G278" s="42">
        <v>3.5</v>
      </c>
      <c r="H278">
        <f>IF(MONTH(calls[[#This Row],[Date of Call]])&lt;=6,YEAR(calls[[#This Row],[Date of Call]]),YEAR(calls[[#This Row],[Date of Call]])+1)</f>
        <v>2023</v>
      </c>
      <c r="I278" t="str">
        <f>TEXT(calls[[#This Row],[Date of Call]],"DDDD")</f>
        <v>Saturday</v>
      </c>
      <c r="J278" t="str" cm="1">
        <f t="array" ref="J278">_xlfn.IFS(calls[[#This Row],[Duration]]&lt;=10,"UNDER 10 MINS",calls[[#This Row],[Duration]]&lt;=30,"10 TO 30 MINS",calls[[#This Row],[Duration]]&lt;=60,"30 TO 60 MINS",calls[[#This Row],[Duration]]&lt;=120,"1 TO 2 HRS",TRUE,"MORE THAN 2 HRS")</f>
        <v>30 TO 60 MINS</v>
      </c>
      <c r="K278">
        <f>ROUND(calls[[#This Row],[Satisfaction Rating]],0)</f>
        <v>4</v>
      </c>
    </row>
    <row r="279" spans="1:11" x14ac:dyDescent="0.3">
      <c r="A279" s="41" t="s">
        <v>1330</v>
      </c>
      <c r="B279" s="10" t="s">
        <v>1040</v>
      </c>
      <c r="C279" s="10">
        <v>113</v>
      </c>
      <c r="D279" s="39" t="s">
        <v>1043</v>
      </c>
      <c r="E279" s="40">
        <v>45010</v>
      </c>
      <c r="F279" s="10">
        <v>81</v>
      </c>
      <c r="G279" s="42">
        <v>3.5</v>
      </c>
      <c r="H279">
        <f>IF(MONTH(calls[[#This Row],[Date of Call]])&lt;=6,YEAR(calls[[#This Row],[Date of Call]]),YEAR(calls[[#This Row],[Date of Call]])+1)</f>
        <v>2023</v>
      </c>
      <c r="I279" t="str">
        <f>TEXT(calls[[#This Row],[Date of Call]],"DDDD")</f>
        <v>Saturday</v>
      </c>
      <c r="J279" t="str" cm="1">
        <f t="array" ref="J279">_xlfn.IFS(calls[[#This Row],[Duration]]&lt;=10,"UNDER 10 MINS",calls[[#This Row],[Duration]]&lt;=30,"10 TO 30 MINS",calls[[#This Row],[Duration]]&lt;=60,"30 TO 60 MINS",calls[[#This Row],[Duration]]&lt;=120,"1 TO 2 HRS",TRUE,"MORE THAN 2 HRS")</f>
        <v>1 TO 2 HRS</v>
      </c>
      <c r="K279">
        <f>ROUND(calls[[#This Row],[Satisfaction Rating]],0)</f>
        <v>4</v>
      </c>
    </row>
    <row r="280" spans="1:11" x14ac:dyDescent="0.3">
      <c r="A280" s="41" t="s">
        <v>1331</v>
      </c>
      <c r="B280" s="10" t="s">
        <v>1037</v>
      </c>
      <c r="C280" s="10">
        <v>160</v>
      </c>
      <c r="D280" s="39" t="s">
        <v>1038</v>
      </c>
      <c r="E280" s="40">
        <v>45010</v>
      </c>
      <c r="F280" s="10">
        <v>116</v>
      </c>
      <c r="G280" s="42">
        <v>3.4</v>
      </c>
      <c r="H280">
        <f>IF(MONTH(calls[[#This Row],[Date of Call]])&lt;=6,YEAR(calls[[#This Row],[Date of Call]]),YEAR(calls[[#This Row],[Date of Call]])+1)</f>
        <v>2023</v>
      </c>
      <c r="I280" t="str">
        <f>TEXT(calls[[#This Row],[Date of Call]],"DDDD")</f>
        <v>Saturday</v>
      </c>
      <c r="J280" t="str" cm="1">
        <f t="array" ref="J280">_xlfn.IFS(calls[[#This Row],[Duration]]&lt;=10,"UNDER 10 MINS",calls[[#This Row],[Duration]]&lt;=30,"10 TO 30 MINS",calls[[#This Row],[Duration]]&lt;=60,"30 TO 60 MINS",calls[[#This Row],[Duration]]&lt;=120,"1 TO 2 HRS",TRUE,"MORE THAN 2 HRS")</f>
        <v>MORE THAN 2 HRS</v>
      </c>
      <c r="K280">
        <f>ROUND(calls[[#This Row],[Satisfaction Rating]],0)</f>
        <v>3</v>
      </c>
    </row>
    <row r="281" spans="1:11" x14ac:dyDescent="0.3">
      <c r="A281" s="41" t="s">
        <v>1332</v>
      </c>
      <c r="B281" s="10" t="s">
        <v>1047</v>
      </c>
      <c r="C281" s="10">
        <v>158</v>
      </c>
      <c r="D281" s="39" t="s">
        <v>1048</v>
      </c>
      <c r="E281" s="40">
        <v>45010</v>
      </c>
      <c r="F281" s="10">
        <v>60</v>
      </c>
      <c r="G281" s="42">
        <v>4.5</v>
      </c>
      <c r="H281">
        <f>IF(MONTH(calls[[#This Row],[Date of Call]])&lt;=6,YEAR(calls[[#This Row],[Date of Call]]),YEAR(calls[[#This Row],[Date of Call]])+1)</f>
        <v>2023</v>
      </c>
      <c r="I281" t="str">
        <f>TEXT(calls[[#This Row],[Date of Call]],"DDDD")</f>
        <v>Saturday</v>
      </c>
      <c r="J281" t="str" cm="1">
        <f t="array" ref="J281">_xlfn.IFS(calls[[#This Row],[Duration]]&lt;=10,"UNDER 10 MINS",calls[[#This Row],[Duration]]&lt;=30,"10 TO 30 MINS",calls[[#This Row],[Duration]]&lt;=60,"30 TO 60 MINS",calls[[#This Row],[Duration]]&lt;=120,"1 TO 2 HRS",TRUE,"MORE THAN 2 HRS")</f>
        <v>MORE THAN 2 HRS</v>
      </c>
      <c r="K281">
        <f>ROUND(calls[[#This Row],[Satisfaction Rating]],0)</f>
        <v>5</v>
      </c>
    </row>
    <row r="282" spans="1:11" x14ac:dyDescent="0.3">
      <c r="A282" s="41" t="s">
        <v>1333</v>
      </c>
      <c r="B282" s="10" t="s">
        <v>1071</v>
      </c>
      <c r="C282" s="10">
        <v>77</v>
      </c>
      <c r="D282" s="39" t="s">
        <v>1038</v>
      </c>
      <c r="E282" s="40">
        <v>45011</v>
      </c>
      <c r="F282" s="10">
        <v>130</v>
      </c>
      <c r="G282" s="42">
        <v>4.2</v>
      </c>
      <c r="H282">
        <f>IF(MONTH(calls[[#This Row],[Date of Call]])&lt;=6,YEAR(calls[[#This Row],[Date of Call]]),YEAR(calls[[#This Row],[Date of Call]])+1)</f>
        <v>2023</v>
      </c>
      <c r="I282" t="str">
        <f>TEXT(calls[[#This Row],[Date of Call]],"DDDD")</f>
        <v>Sunday</v>
      </c>
      <c r="J282" t="str" cm="1">
        <f t="array" ref="J282">_xlfn.IFS(calls[[#This Row],[Duration]]&lt;=10,"UNDER 10 MINS",calls[[#This Row],[Duration]]&lt;=30,"10 TO 30 MINS",calls[[#This Row],[Duration]]&lt;=60,"30 TO 60 MINS",calls[[#This Row],[Duration]]&lt;=120,"1 TO 2 HRS",TRUE,"MORE THAN 2 HRS")</f>
        <v>1 TO 2 HRS</v>
      </c>
      <c r="K282">
        <f>ROUND(calls[[#This Row],[Satisfaction Rating]],0)</f>
        <v>4</v>
      </c>
    </row>
    <row r="283" spans="1:11" x14ac:dyDescent="0.3">
      <c r="A283" s="41" t="s">
        <v>1334</v>
      </c>
      <c r="B283" s="10" t="s">
        <v>1060</v>
      </c>
      <c r="C283" s="10">
        <v>118</v>
      </c>
      <c r="D283" s="39" t="s">
        <v>1053</v>
      </c>
      <c r="E283" s="40">
        <v>45011</v>
      </c>
      <c r="F283" s="10">
        <v>99</v>
      </c>
      <c r="G283" s="42">
        <v>5</v>
      </c>
      <c r="H283">
        <f>IF(MONTH(calls[[#This Row],[Date of Call]])&lt;=6,YEAR(calls[[#This Row],[Date of Call]]),YEAR(calls[[#This Row],[Date of Call]])+1)</f>
        <v>2023</v>
      </c>
      <c r="I283" t="str">
        <f>TEXT(calls[[#This Row],[Date of Call]],"DDDD")</f>
        <v>Sunday</v>
      </c>
      <c r="J283" t="str" cm="1">
        <f t="array" ref="J283">_xlfn.IFS(calls[[#This Row],[Duration]]&lt;=10,"UNDER 10 MINS",calls[[#This Row],[Duration]]&lt;=30,"10 TO 30 MINS",calls[[#This Row],[Duration]]&lt;=60,"30 TO 60 MINS",calls[[#This Row],[Duration]]&lt;=120,"1 TO 2 HRS",TRUE,"MORE THAN 2 HRS")</f>
        <v>1 TO 2 HRS</v>
      </c>
      <c r="K283">
        <f>ROUND(calls[[#This Row],[Satisfaction Rating]],0)</f>
        <v>5</v>
      </c>
    </row>
    <row r="284" spans="1:11" x14ac:dyDescent="0.3">
      <c r="A284" s="41" t="s">
        <v>1335</v>
      </c>
      <c r="B284" s="10" t="s">
        <v>1076</v>
      </c>
      <c r="C284" s="10">
        <v>75</v>
      </c>
      <c r="D284" s="39" t="s">
        <v>1043</v>
      </c>
      <c r="E284" s="40">
        <v>45011</v>
      </c>
      <c r="F284" s="10">
        <v>135</v>
      </c>
      <c r="G284" s="42">
        <v>4.7</v>
      </c>
      <c r="H284">
        <f>IF(MONTH(calls[[#This Row],[Date of Call]])&lt;=6,YEAR(calls[[#This Row],[Date of Call]]),YEAR(calls[[#This Row],[Date of Call]])+1)</f>
        <v>2023</v>
      </c>
      <c r="I284" t="str">
        <f>TEXT(calls[[#This Row],[Date of Call]],"DDDD")</f>
        <v>Sunday</v>
      </c>
      <c r="J284" t="str" cm="1">
        <f t="array" ref="J284">_xlfn.IFS(calls[[#This Row],[Duration]]&lt;=10,"UNDER 10 MINS",calls[[#This Row],[Duration]]&lt;=30,"10 TO 30 MINS",calls[[#This Row],[Duration]]&lt;=60,"30 TO 60 MINS",calls[[#This Row],[Duration]]&lt;=120,"1 TO 2 HRS",TRUE,"MORE THAN 2 HRS")</f>
        <v>1 TO 2 HRS</v>
      </c>
      <c r="K284">
        <f>ROUND(calls[[#This Row],[Satisfaction Rating]],0)</f>
        <v>5</v>
      </c>
    </row>
    <row r="285" spans="1:11" x14ac:dyDescent="0.3">
      <c r="A285" s="41" t="s">
        <v>1336</v>
      </c>
      <c r="B285" s="10" t="s">
        <v>1040</v>
      </c>
      <c r="C285" s="10">
        <v>103</v>
      </c>
      <c r="D285" s="39" t="s">
        <v>1038</v>
      </c>
      <c r="E285" s="40">
        <v>45011</v>
      </c>
      <c r="F285" s="10">
        <v>42</v>
      </c>
      <c r="G285" s="42">
        <v>2.8</v>
      </c>
      <c r="H285">
        <f>IF(MONTH(calls[[#This Row],[Date of Call]])&lt;=6,YEAR(calls[[#This Row],[Date of Call]]),YEAR(calls[[#This Row],[Date of Call]])+1)</f>
        <v>2023</v>
      </c>
      <c r="I285" t="str">
        <f>TEXT(calls[[#This Row],[Date of Call]],"DDDD")</f>
        <v>Sunday</v>
      </c>
      <c r="J285" t="str" cm="1">
        <f t="array" ref="J285">_xlfn.IFS(calls[[#This Row],[Duration]]&lt;=10,"UNDER 10 MINS",calls[[#This Row],[Duration]]&lt;=30,"10 TO 30 MINS",calls[[#This Row],[Duration]]&lt;=60,"30 TO 60 MINS",calls[[#This Row],[Duration]]&lt;=120,"1 TO 2 HRS",TRUE,"MORE THAN 2 HRS")</f>
        <v>1 TO 2 HRS</v>
      </c>
      <c r="K285">
        <f>ROUND(calls[[#This Row],[Satisfaction Rating]],0)</f>
        <v>3</v>
      </c>
    </row>
    <row r="286" spans="1:11" x14ac:dyDescent="0.3">
      <c r="A286" s="41" t="s">
        <v>1337</v>
      </c>
      <c r="B286" s="10" t="s">
        <v>1071</v>
      </c>
      <c r="C286" s="10">
        <v>116</v>
      </c>
      <c r="D286" s="39" t="s">
        <v>1053</v>
      </c>
      <c r="E286" s="40">
        <v>45012</v>
      </c>
      <c r="F286" s="10">
        <v>63</v>
      </c>
      <c r="G286" s="42">
        <v>3.4</v>
      </c>
      <c r="H286">
        <f>IF(MONTH(calls[[#This Row],[Date of Call]])&lt;=6,YEAR(calls[[#This Row],[Date of Call]]),YEAR(calls[[#This Row],[Date of Call]])+1)</f>
        <v>2023</v>
      </c>
      <c r="I286" t="str">
        <f>TEXT(calls[[#This Row],[Date of Call]],"DDDD")</f>
        <v>Monday</v>
      </c>
      <c r="J286" t="str" cm="1">
        <f t="array" ref="J286">_xlfn.IFS(calls[[#This Row],[Duration]]&lt;=10,"UNDER 10 MINS",calls[[#This Row],[Duration]]&lt;=30,"10 TO 30 MINS",calls[[#This Row],[Duration]]&lt;=60,"30 TO 60 MINS",calls[[#This Row],[Duration]]&lt;=120,"1 TO 2 HRS",TRUE,"MORE THAN 2 HRS")</f>
        <v>1 TO 2 HRS</v>
      </c>
      <c r="K286">
        <f>ROUND(calls[[#This Row],[Satisfaction Rating]],0)</f>
        <v>3</v>
      </c>
    </row>
    <row r="287" spans="1:11" x14ac:dyDescent="0.3">
      <c r="A287" s="41" t="s">
        <v>1338</v>
      </c>
      <c r="B287" s="10" t="s">
        <v>1051</v>
      </c>
      <c r="C287" s="10">
        <v>61</v>
      </c>
      <c r="D287" s="39" t="s">
        <v>1048</v>
      </c>
      <c r="E287" s="40">
        <v>45012</v>
      </c>
      <c r="F287" s="10">
        <v>140</v>
      </c>
      <c r="G287" s="42">
        <v>1.8</v>
      </c>
      <c r="H287">
        <f>IF(MONTH(calls[[#This Row],[Date of Call]])&lt;=6,YEAR(calls[[#This Row],[Date of Call]]),YEAR(calls[[#This Row],[Date of Call]])+1)</f>
        <v>2023</v>
      </c>
      <c r="I287" t="str">
        <f>TEXT(calls[[#This Row],[Date of Call]],"DDDD")</f>
        <v>Monday</v>
      </c>
      <c r="J287" t="str" cm="1">
        <f t="array" ref="J287">_xlfn.IFS(calls[[#This Row],[Duration]]&lt;=10,"UNDER 10 MINS",calls[[#This Row],[Duration]]&lt;=30,"10 TO 30 MINS",calls[[#This Row],[Duration]]&lt;=60,"30 TO 60 MINS",calls[[#This Row],[Duration]]&lt;=120,"1 TO 2 HRS",TRUE,"MORE THAN 2 HRS")</f>
        <v>1 TO 2 HRS</v>
      </c>
      <c r="K287">
        <f>ROUND(calls[[#This Row],[Satisfaction Rating]],0)</f>
        <v>2</v>
      </c>
    </row>
    <row r="288" spans="1:11" x14ac:dyDescent="0.3">
      <c r="A288" s="41" t="s">
        <v>1339</v>
      </c>
      <c r="B288" s="10" t="s">
        <v>1079</v>
      </c>
      <c r="C288" s="10">
        <v>126</v>
      </c>
      <c r="D288" s="39" t="s">
        <v>1043</v>
      </c>
      <c r="E288" s="40">
        <v>45012</v>
      </c>
      <c r="F288" s="10">
        <v>128</v>
      </c>
      <c r="G288" s="42">
        <v>4.2</v>
      </c>
      <c r="H288">
        <f>IF(MONTH(calls[[#This Row],[Date of Call]])&lt;=6,YEAR(calls[[#This Row],[Date of Call]]),YEAR(calls[[#This Row],[Date of Call]])+1)</f>
        <v>2023</v>
      </c>
      <c r="I288" t="str">
        <f>TEXT(calls[[#This Row],[Date of Call]],"DDDD")</f>
        <v>Monday</v>
      </c>
      <c r="J288" t="str" cm="1">
        <f t="array" ref="J288">_xlfn.IFS(calls[[#This Row],[Duration]]&lt;=10,"UNDER 10 MINS",calls[[#This Row],[Duration]]&lt;=30,"10 TO 30 MINS",calls[[#This Row],[Duration]]&lt;=60,"30 TO 60 MINS",calls[[#This Row],[Duration]]&lt;=120,"1 TO 2 HRS",TRUE,"MORE THAN 2 HRS")</f>
        <v>MORE THAN 2 HRS</v>
      </c>
      <c r="K288">
        <f>ROUND(calls[[#This Row],[Satisfaction Rating]],0)</f>
        <v>4</v>
      </c>
    </row>
    <row r="289" spans="1:11" x14ac:dyDescent="0.3">
      <c r="A289" s="41" t="s">
        <v>1340</v>
      </c>
      <c r="B289" s="10" t="s">
        <v>1062</v>
      </c>
      <c r="C289" s="10">
        <v>141</v>
      </c>
      <c r="D289" s="39" t="s">
        <v>1057</v>
      </c>
      <c r="E289" s="40">
        <v>45012</v>
      </c>
      <c r="F289" s="10">
        <v>80</v>
      </c>
      <c r="G289" s="42">
        <v>4.4000000000000004</v>
      </c>
      <c r="H289">
        <f>IF(MONTH(calls[[#This Row],[Date of Call]])&lt;=6,YEAR(calls[[#This Row],[Date of Call]]),YEAR(calls[[#This Row],[Date of Call]])+1)</f>
        <v>2023</v>
      </c>
      <c r="I289" t="str">
        <f>TEXT(calls[[#This Row],[Date of Call]],"DDDD")</f>
        <v>Monday</v>
      </c>
      <c r="J289" t="str" cm="1">
        <f t="array" ref="J289">_xlfn.IFS(calls[[#This Row],[Duration]]&lt;=10,"UNDER 10 MINS",calls[[#This Row],[Duration]]&lt;=30,"10 TO 30 MINS",calls[[#This Row],[Duration]]&lt;=60,"30 TO 60 MINS",calls[[#This Row],[Duration]]&lt;=120,"1 TO 2 HRS",TRUE,"MORE THAN 2 HRS")</f>
        <v>MORE THAN 2 HRS</v>
      </c>
      <c r="K289">
        <f>ROUND(calls[[#This Row],[Satisfaction Rating]],0)</f>
        <v>4</v>
      </c>
    </row>
    <row r="290" spans="1:11" x14ac:dyDescent="0.3">
      <c r="A290" s="41" t="s">
        <v>1341</v>
      </c>
      <c r="B290" s="10" t="s">
        <v>1047</v>
      </c>
      <c r="C290" s="10">
        <v>95</v>
      </c>
      <c r="D290" s="39" t="s">
        <v>1053</v>
      </c>
      <c r="E290" s="40">
        <v>45012</v>
      </c>
      <c r="F290" s="10">
        <v>28</v>
      </c>
      <c r="G290" s="42">
        <v>2.7</v>
      </c>
      <c r="H290">
        <f>IF(MONTH(calls[[#This Row],[Date of Call]])&lt;=6,YEAR(calls[[#This Row],[Date of Call]]),YEAR(calls[[#This Row],[Date of Call]])+1)</f>
        <v>2023</v>
      </c>
      <c r="I290" t="str">
        <f>TEXT(calls[[#This Row],[Date of Call]],"DDDD")</f>
        <v>Monday</v>
      </c>
      <c r="J290" t="str" cm="1">
        <f t="array" ref="J290">_xlfn.IFS(calls[[#This Row],[Duration]]&lt;=10,"UNDER 10 MINS",calls[[#This Row],[Duration]]&lt;=30,"10 TO 30 MINS",calls[[#This Row],[Duration]]&lt;=60,"30 TO 60 MINS",calls[[#This Row],[Duration]]&lt;=120,"1 TO 2 HRS",TRUE,"MORE THAN 2 HRS")</f>
        <v>1 TO 2 HRS</v>
      </c>
      <c r="K290">
        <f>ROUND(calls[[#This Row],[Satisfaction Rating]],0)</f>
        <v>3</v>
      </c>
    </row>
    <row r="291" spans="1:11" x14ac:dyDescent="0.3">
      <c r="A291" s="41" t="s">
        <v>1342</v>
      </c>
      <c r="B291" s="10" t="s">
        <v>1076</v>
      </c>
      <c r="C291" s="10">
        <v>39</v>
      </c>
      <c r="D291" s="39" t="s">
        <v>1048</v>
      </c>
      <c r="E291" s="40">
        <v>45013</v>
      </c>
      <c r="F291" s="10">
        <v>81</v>
      </c>
      <c r="G291" s="42">
        <v>5</v>
      </c>
      <c r="H291">
        <f>IF(MONTH(calls[[#This Row],[Date of Call]])&lt;=6,YEAR(calls[[#This Row],[Date of Call]]),YEAR(calls[[#This Row],[Date of Call]])+1)</f>
        <v>2023</v>
      </c>
      <c r="I291" t="str">
        <f>TEXT(calls[[#This Row],[Date of Call]],"DDDD")</f>
        <v>Tuesday</v>
      </c>
      <c r="J291" t="str" cm="1">
        <f t="array" ref="J291">_xlfn.IFS(calls[[#This Row],[Duration]]&lt;=10,"UNDER 10 MINS",calls[[#This Row],[Duration]]&lt;=30,"10 TO 30 MINS",calls[[#This Row],[Duration]]&lt;=60,"30 TO 60 MINS",calls[[#This Row],[Duration]]&lt;=120,"1 TO 2 HRS",TRUE,"MORE THAN 2 HRS")</f>
        <v>30 TO 60 MINS</v>
      </c>
      <c r="K291">
        <f>ROUND(calls[[#This Row],[Satisfaction Rating]],0)</f>
        <v>5</v>
      </c>
    </row>
    <row r="292" spans="1:11" x14ac:dyDescent="0.3">
      <c r="A292" s="41" t="s">
        <v>1343</v>
      </c>
      <c r="B292" s="10" t="s">
        <v>1040</v>
      </c>
      <c r="C292" s="10">
        <v>127</v>
      </c>
      <c r="D292" s="39" t="s">
        <v>1043</v>
      </c>
      <c r="E292" s="40">
        <v>45013</v>
      </c>
      <c r="F292" s="10">
        <v>99</v>
      </c>
      <c r="G292" s="42">
        <v>3.9</v>
      </c>
      <c r="H292">
        <f>IF(MONTH(calls[[#This Row],[Date of Call]])&lt;=6,YEAR(calls[[#This Row],[Date of Call]]),YEAR(calls[[#This Row],[Date of Call]])+1)</f>
        <v>2023</v>
      </c>
      <c r="I292" t="str">
        <f>TEXT(calls[[#This Row],[Date of Call]],"DDDD")</f>
        <v>Tuesday</v>
      </c>
      <c r="J292" t="str" cm="1">
        <f t="array" ref="J292">_xlfn.IFS(calls[[#This Row],[Duration]]&lt;=10,"UNDER 10 MINS",calls[[#This Row],[Duration]]&lt;=30,"10 TO 30 MINS",calls[[#This Row],[Duration]]&lt;=60,"30 TO 60 MINS",calls[[#This Row],[Duration]]&lt;=120,"1 TO 2 HRS",TRUE,"MORE THAN 2 HRS")</f>
        <v>MORE THAN 2 HRS</v>
      </c>
      <c r="K292">
        <f>ROUND(calls[[#This Row],[Satisfaction Rating]],0)</f>
        <v>4</v>
      </c>
    </row>
    <row r="293" spans="1:11" x14ac:dyDescent="0.3">
      <c r="A293" s="41" t="s">
        <v>1344</v>
      </c>
      <c r="B293" s="10" t="s">
        <v>1051</v>
      </c>
      <c r="C293" s="10">
        <v>78</v>
      </c>
      <c r="D293" s="39" t="s">
        <v>1043</v>
      </c>
      <c r="E293" s="40">
        <v>45013</v>
      </c>
      <c r="F293" s="10">
        <v>43</v>
      </c>
      <c r="G293" s="42">
        <v>3.8</v>
      </c>
      <c r="H293">
        <f>IF(MONTH(calls[[#This Row],[Date of Call]])&lt;=6,YEAR(calls[[#This Row],[Date of Call]]),YEAR(calls[[#This Row],[Date of Call]])+1)</f>
        <v>2023</v>
      </c>
      <c r="I293" t="str">
        <f>TEXT(calls[[#This Row],[Date of Call]],"DDDD")</f>
        <v>Tuesday</v>
      </c>
      <c r="J293" t="str" cm="1">
        <f t="array" ref="J293">_xlfn.IFS(calls[[#This Row],[Duration]]&lt;=10,"UNDER 10 MINS",calls[[#This Row],[Duration]]&lt;=30,"10 TO 30 MINS",calls[[#This Row],[Duration]]&lt;=60,"30 TO 60 MINS",calls[[#This Row],[Duration]]&lt;=120,"1 TO 2 HRS",TRUE,"MORE THAN 2 HRS")</f>
        <v>1 TO 2 HRS</v>
      </c>
      <c r="K293">
        <f>ROUND(calls[[#This Row],[Satisfaction Rating]],0)</f>
        <v>4</v>
      </c>
    </row>
    <row r="294" spans="1:11" x14ac:dyDescent="0.3">
      <c r="A294" s="41" t="s">
        <v>1345</v>
      </c>
      <c r="B294" s="10" t="s">
        <v>1060</v>
      </c>
      <c r="C294" s="10">
        <v>40</v>
      </c>
      <c r="D294" s="39" t="s">
        <v>1043</v>
      </c>
      <c r="E294" s="40">
        <v>45013</v>
      </c>
      <c r="F294" s="10">
        <v>34</v>
      </c>
      <c r="G294" s="42">
        <v>4.5999999999999996</v>
      </c>
      <c r="H294">
        <f>IF(MONTH(calls[[#This Row],[Date of Call]])&lt;=6,YEAR(calls[[#This Row],[Date of Call]]),YEAR(calls[[#This Row],[Date of Call]])+1)</f>
        <v>2023</v>
      </c>
      <c r="I294" t="str">
        <f>TEXT(calls[[#This Row],[Date of Call]],"DDDD")</f>
        <v>Tuesday</v>
      </c>
      <c r="J294" t="str" cm="1">
        <f t="array" ref="J294">_xlfn.IFS(calls[[#This Row],[Duration]]&lt;=10,"UNDER 10 MINS",calls[[#This Row],[Duration]]&lt;=30,"10 TO 30 MINS",calls[[#This Row],[Duration]]&lt;=60,"30 TO 60 MINS",calls[[#This Row],[Duration]]&lt;=120,"1 TO 2 HRS",TRUE,"MORE THAN 2 HRS")</f>
        <v>30 TO 60 MINS</v>
      </c>
      <c r="K294">
        <f>ROUND(calls[[#This Row],[Satisfaction Rating]],0)</f>
        <v>5</v>
      </c>
    </row>
    <row r="295" spans="1:11" x14ac:dyDescent="0.3">
      <c r="A295" s="41" t="s">
        <v>1346</v>
      </c>
      <c r="B295" s="10" t="s">
        <v>1051</v>
      </c>
      <c r="C295" s="10">
        <v>56</v>
      </c>
      <c r="D295" s="39" t="s">
        <v>1048</v>
      </c>
      <c r="E295" s="40">
        <v>45013</v>
      </c>
      <c r="F295" s="10">
        <v>225</v>
      </c>
      <c r="G295" s="42">
        <v>4.5999999999999996</v>
      </c>
      <c r="H295">
        <f>IF(MONTH(calls[[#This Row],[Date of Call]])&lt;=6,YEAR(calls[[#This Row],[Date of Call]]),YEAR(calls[[#This Row],[Date of Call]])+1)</f>
        <v>2023</v>
      </c>
      <c r="I295" t="str">
        <f>TEXT(calls[[#This Row],[Date of Call]],"DDDD")</f>
        <v>Tuesday</v>
      </c>
      <c r="J295" t="str" cm="1">
        <f t="array" ref="J295">_xlfn.IFS(calls[[#This Row],[Duration]]&lt;=10,"UNDER 10 MINS",calls[[#This Row],[Duration]]&lt;=30,"10 TO 30 MINS",calls[[#This Row],[Duration]]&lt;=60,"30 TO 60 MINS",calls[[#This Row],[Duration]]&lt;=120,"1 TO 2 HRS",TRUE,"MORE THAN 2 HRS")</f>
        <v>30 TO 60 MINS</v>
      </c>
      <c r="K295">
        <f>ROUND(calls[[#This Row],[Satisfaction Rating]],0)</f>
        <v>5</v>
      </c>
    </row>
    <row r="296" spans="1:11" x14ac:dyDescent="0.3">
      <c r="A296" s="41" t="s">
        <v>1347</v>
      </c>
      <c r="B296" s="10" t="s">
        <v>1076</v>
      </c>
      <c r="C296" s="10">
        <v>59</v>
      </c>
      <c r="D296" s="39" t="s">
        <v>1057</v>
      </c>
      <c r="E296" s="40">
        <v>45013</v>
      </c>
      <c r="F296" s="10">
        <v>210</v>
      </c>
      <c r="G296" s="42">
        <v>4.5</v>
      </c>
      <c r="H296">
        <f>IF(MONTH(calls[[#This Row],[Date of Call]])&lt;=6,YEAR(calls[[#This Row],[Date of Call]]),YEAR(calls[[#This Row],[Date of Call]])+1)</f>
        <v>2023</v>
      </c>
      <c r="I296" t="str">
        <f>TEXT(calls[[#This Row],[Date of Call]],"DDDD")</f>
        <v>Tuesday</v>
      </c>
      <c r="J296" t="str" cm="1">
        <f t="array" ref="J296">_xlfn.IFS(calls[[#This Row],[Duration]]&lt;=10,"UNDER 10 MINS",calls[[#This Row],[Duration]]&lt;=30,"10 TO 30 MINS",calls[[#This Row],[Duration]]&lt;=60,"30 TO 60 MINS",calls[[#This Row],[Duration]]&lt;=120,"1 TO 2 HRS",TRUE,"MORE THAN 2 HRS")</f>
        <v>30 TO 60 MINS</v>
      </c>
      <c r="K296">
        <f>ROUND(calls[[#This Row],[Satisfaction Rating]],0)</f>
        <v>5</v>
      </c>
    </row>
    <row r="297" spans="1:11" x14ac:dyDescent="0.3">
      <c r="A297" s="41" t="s">
        <v>1348</v>
      </c>
      <c r="B297" s="10" t="s">
        <v>1079</v>
      </c>
      <c r="C297" s="10">
        <v>30</v>
      </c>
      <c r="D297" s="39" t="s">
        <v>1043</v>
      </c>
      <c r="E297" s="40">
        <v>45013</v>
      </c>
      <c r="F297" s="10">
        <v>168</v>
      </c>
      <c r="G297" s="42">
        <v>4.2</v>
      </c>
      <c r="H297">
        <f>IF(MONTH(calls[[#This Row],[Date of Call]])&lt;=6,YEAR(calls[[#This Row],[Date of Call]]),YEAR(calls[[#This Row],[Date of Call]])+1)</f>
        <v>2023</v>
      </c>
      <c r="I297" t="str">
        <f>TEXT(calls[[#This Row],[Date of Call]],"DDDD")</f>
        <v>Tuesday</v>
      </c>
      <c r="J297" t="str" cm="1">
        <f t="array" ref="J297">_xlfn.IFS(calls[[#This Row],[Duration]]&lt;=10,"UNDER 10 MINS",calls[[#This Row],[Duration]]&lt;=30,"10 TO 30 MINS",calls[[#This Row],[Duration]]&lt;=60,"30 TO 60 MINS",calls[[#This Row],[Duration]]&lt;=120,"1 TO 2 HRS",TRUE,"MORE THAN 2 HRS")</f>
        <v>10 TO 30 MINS</v>
      </c>
      <c r="K297">
        <f>ROUND(calls[[#This Row],[Satisfaction Rating]],0)</f>
        <v>4</v>
      </c>
    </row>
    <row r="298" spans="1:11" x14ac:dyDescent="0.3">
      <c r="A298" s="41" t="s">
        <v>1349</v>
      </c>
      <c r="B298" s="10" t="s">
        <v>1060</v>
      </c>
      <c r="C298" s="10">
        <v>63</v>
      </c>
      <c r="D298" s="39" t="s">
        <v>1038</v>
      </c>
      <c r="E298" s="40">
        <v>45014</v>
      </c>
      <c r="F298" s="10">
        <v>82</v>
      </c>
      <c r="G298" s="42">
        <v>4.5</v>
      </c>
      <c r="H298">
        <f>IF(MONTH(calls[[#This Row],[Date of Call]])&lt;=6,YEAR(calls[[#This Row],[Date of Call]]),YEAR(calls[[#This Row],[Date of Call]])+1)</f>
        <v>2023</v>
      </c>
      <c r="I298" t="str">
        <f>TEXT(calls[[#This Row],[Date of Call]],"DDDD")</f>
        <v>Wednesday</v>
      </c>
      <c r="J298" t="str" cm="1">
        <f t="array" ref="J298">_xlfn.IFS(calls[[#This Row],[Duration]]&lt;=10,"UNDER 10 MINS",calls[[#This Row],[Duration]]&lt;=30,"10 TO 30 MINS",calls[[#This Row],[Duration]]&lt;=60,"30 TO 60 MINS",calls[[#This Row],[Duration]]&lt;=120,"1 TO 2 HRS",TRUE,"MORE THAN 2 HRS")</f>
        <v>1 TO 2 HRS</v>
      </c>
      <c r="K298">
        <f>ROUND(calls[[#This Row],[Satisfaction Rating]],0)</f>
        <v>5</v>
      </c>
    </row>
    <row r="299" spans="1:11" x14ac:dyDescent="0.3">
      <c r="A299" s="41" t="s">
        <v>1350</v>
      </c>
      <c r="B299" s="10" t="s">
        <v>1042</v>
      </c>
      <c r="C299" s="10">
        <v>56</v>
      </c>
      <c r="D299" s="39" t="s">
        <v>1053</v>
      </c>
      <c r="E299" s="40">
        <v>45014</v>
      </c>
      <c r="F299" s="10">
        <v>88</v>
      </c>
      <c r="G299" s="42">
        <v>4.0999999999999996</v>
      </c>
      <c r="H299">
        <f>IF(MONTH(calls[[#This Row],[Date of Call]])&lt;=6,YEAR(calls[[#This Row],[Date of Call]]),YEAR(calls[[#This Row],[Date of Call]])+1)</f>
        <v>2023</v>
      </c>
      <c r="I299" t="str">
        <f>TEXT(calls[[#This Row],[Date of Call]],"DDDD")</f>
        <v>Wednesday</v>
      </c>
      <c r="J299" t="str" cm="1">
        <f t="array" ref="J299">_xlfn.IFS(calls[[#This Row],[Duration]]&lt;=10,"UNDER 10 MINS",calls[[#This Row],[Duration]]&lt;=30,"10 TO 30 MINS",calls[[#This Row],[Duration]]&lt;=60,"30 TO 60 MINS",calls[[#This Row],[Duration]]&lt;=120,"1 TO 2 HRS",TRUE,"MORE THAN 2 HRS")</f>
        <v>30 TO 60 MINS</v>
      </c>
      <c r="K299">
        <f>ROUND(calls[[#This Row],[Satisfaction Rating]],0)</f>
        <v>4</v>
      </c>
    </row>
    <row r="300" spans="1:11" x14ac:dyDescent="0.3">
      <c r="A300" s="41" t="s">
        <v>1351</v>
      </c>
      <c r="B300" s="10" t="s">
        <v>1109</v>
      </c>
      <c r="C300" s="10">
        <v>95</v>
      </c>
      <c r="D300" s="39" t="s">
        <v>1038</v>
      </c>
      <c r="E300" s="40">
        <v>45014</v>
      </c>
      <c r="F300" s="10">
        <v>111</v>
      </c>
      <c r="G300" s="42">
        <v>3.3</v>
      </c>
      <c r="H300">
        <f>IF(MONTH(calls[[#This Row],[Date of Call]])&lt;=6,YEAR(calls[[#This Row],[Date of Call]]),YEAR(calls[[#This Row],[Date of Call]])+1)</f>
        <v>2023</v>
      </c>
      <c r="I300" t="str">
        <f>TEXT(calls[[#This Row],[Date of Call]],"DDDD")</f>
        <v>Wednesday</v>
      </c>
      <c r="J300" t="str" cm="1">
        <f t="array" ref="J300">_xlfn.IFS(calls[[#This Row],[Duration]]&lt;=10,"UNDER 10 MINS",calls[[#This Row],[Duration]]&lt;=30,"10 TO 30 MINS",calls[[#This Row],[Duration]]&lt;=60,"30 TO 60 MINS",calls[[#This Row],[Duration]]&lt;=120,"1 TO 2 HRS",TRUE,"MORE THAN 2 HRS")</f>
        <v>1 TO 2 HRS</v>
      </c>
      <c r="K300">
        <f>ROUND(calls[[#This Row],[Satisfaction Rating]],0)</f>
        <v>3</v>
      </c>
    </row>
    <row r="301" spans="1:11" x14ac:dyDescent="0.3">
      <c r="A301" s="41" t="s">
        <v>1352</v>
      </c>
      <c r="B301" s="10" t="s">
        <v>1089</v>
      </c>
      <c r="C301" s="10">
        <v>128</v>
      </c>
      <c r="D301" s="39" t="s">
        <v>1057</v>
      </c>
      <c r="E301" s="40">
        <v>45014</v>
      </c>
      <c r="F301" s="10">
        <v>60</v>
      </c>
      <c r="G301" s="42">
        <v>3.8</v>
      </c>
      <c r="H301">
        <f>IF(MONTH(calls[[#This Row],[Date of Call]])&lt;=6,YEAR(calls[[#This Row],[Date of Call]]),YEAR(calls[[#This Row],[Date of Call]])+1)</f>
        <v>2023</v>
      </c>
      <c r="I301" t="str">
        <f>TEXT(calls[[#This Row],[Date of Call]],"DDDD")</f>
        <v>Wednesday</v>
      </c>
      <c r="J301" t="str" cm="1">
        <f t="array" ref="J301">_xlfn.IFS(calls[[#This Row],[Duration]]&lt;=10,"UNDER 10 MINS",calls[[#This Row],[Duration]]&lt;=30,"10 TO 30 MINS",calls[[#This Row],[Duration]]&lt;=60,"30 TO 60 MINS",calls[[#This Row],[Duration]]&lt;=120,"1 TO 2 HRS",TRUE,"MORE THAN 2 HRS")</f>
        <v>MORE THAN 2 HRS</v>
      </c>
      <c r="K301">
        <f>ROUND(calls[[#This Row],[Satisfaction Rating]],0)</f>
        <v>4</v>
      </c>
    </row>
    <row r="302" spans="1:11" x14ac:dyDescent="0.3">
      <c r="A302" s="41" t="s">
        <v>1353</v>
      </c>
      <c r="B302" s="10" t="s">
        <v>1047</v>
      </c>
      <c r="C302" s="10">
        <v>49</v>
      </c>
      <c r="D302" s="39" t="s">
        <v>1038</v>
      </c>
      <c r="E302" s="40">
        <v>45014</v>
      </c>
      <c r="F302" s="10">
        <v>80</v>
      </c>
      <c r="G302" s="42">
        <v>3</v>
      </c>
      <c r="H302">
        <f>IF(MONTH(calls[[#This Row],[Date of Call]])&lt;=6,YEAR(calls[[#This Row],[Date of Call]]),YEAR(calls[[#This Row],[Date of Call]])+1)</f>
        <v>2023</v>
      </c>
      <c r="I302" t="str">
        <f>TEXT(calls[[#This Row],[Date of Call]],"DDDD")</f>
        <v>Wednesday</v>
      </c>
      <c r="J302" t="str" cm="1">
        <f t="array" ref="J302">_xlfn.IFS(calls[[#This Row],[Duration]]&lt;=10,"UNDER 10 MINS",calls[[#This Row],[Duration]]&lt;=30,"10 TO 30 MINS",calls[[#This Row],[Duration]]&lt;=60,"30 TO 60 MINS",calls[[#This Row],[Duration]]&lt;=120,"1 TO 2 HRS",TRUE,"MORE THAN 2 HRS")</f>
        <v>30 TO 60 MINS</v>
      </c>
      <c r="K302">
        <f>ROUND(calls[[#This Row],[Satisfaction Rating]],0)</f>
        <v>3</v>
      </c>
    </row>
    <row r="303" spans="1:11" x14ac:dyDescent="0.3">
      <c r="A303" s="41" t="s">
        <v>1354</v>
      </c>
      <c r="B303" s="10" t="s">
        <v>1089</v>
      </c>
      <c r="C303" s="10">
        <v>89</v>
      </c>
      <c r="D303" s="39" t="s">
        <v>1048</v>
      </c>
      <c r="E303" s="40">
        <v>45016</v>
      </c>
      <c r="F303" s="10">
        <v>90</v>
      </c>
      <c r="G303" s="42">
        <v>4.5999999999999996</v>
      </c>
      <c r="H303">
        <f>IF(MONTH(calls[[#This Row],[Date of Call]])&lt;=6,YEAR(calls[[#This Row],[Date of Call]]),YEAR(calls[[#This Row],[Date of Call]])+1)</f>
        <v>2023</v>
      </c>
      <c r="I303" t="str">
        <f>TEXT(calls[[#This Row],[Date of Call]],"DDDD")</f>
        <v>Friday</v>
      </c>
      <c r="J303" t="str" cm="1">
        <f t="array" ref="J303">_xlfn.IFS(calls[[#This Row],[Duration]]&lt;=10,"UNDER 10 MINS",calls[[#This Row],[Duration]]&lt;=30,"10 TO 30 MINS",calls[[#This Row],[Duration]]&lt;=60,"30 TO 60 MINS",calls[[#This Row],[Duration]]&lt;=120,"1 TO 2 HRS",TRUE,"MORE THAN 2 HRS")</f>
        <v>1 TO 2 HRS</v>
      </c>
      <c r="K303">
        <f>ROUND(calls[[#This Row],[Satisfaction Rating]],0)</f>
        <v>5</v>
      </c>
    </row>
    <row r="304" spans="1:11" x14ac:dyDescent="0.3">
      <c r="A304" s="41" t="s">
        <v>1355</v>
      </c>
      <c r="B304" s="10" t="s">
        <v>1068</v>
      </c>
      <c r="C304" s="10">
        <v>87</v>
      </c>
      <c r="D304" s="39" t="s">
        <v>1038</v>
      </c>
      <c r="E304" s="40">
        <v>45016</v>
      </c>
      <c r="F304" s="10">
        <v>225</v>
      </c>
      <c r="G304" s="42">
        <v>2.9</v>
      </c>
      <c r="H304">
        <f>IF(MONTH(calls[[#This Row],[Date of Call]])&lt;=6,YEAR(calls[[#This Row],[Date of Call]]),YEAR(calls[[#This Row],[Date of Call]])+1)</f>
        <v>2023</v>
      </c>
      <c r="I304" t="str">
        <f>TEXT(calls[[#This Row],[Date of Call]],"DDDD")</f>
        <v>Friday</v>
      </c>
      <c r="J304" t="str" cm="1">
        <f t="array" ref="J304">_xlfn.IFS(calls[[#This Row],[Duration]]&lt;=10,"UNDER 10 MINS",calls[[#This Row],[Duration]]&lt;=30,"10 TO 30 MINS",calls[[#This Row],[Duration]]&lt;=60,"30 TO 60 MINS",calls[[#This Row],[Duration]]&lt;=120,"1 TO 2 HRS",TRUE,"MORE THAN 2 HRS")</f>
        <v>1 TO 2 HRS</v>
      </c>
      <c r="K304">
        <f>ROUND(calls[[#This Row],[Satisfaction Rating]],0)</f>
        <v>3</v>
      </c>
    </row>
    <row r="305" spans="1:11" x14ac:dyDescent="0.3">
      <c r="A305" s="41" t="s">
        <v>1356</v>
      </c>
      <c r="B305" s="10" t="s">
        <v>1037</v>
      </c>
      <c r="C305" s="10">
        <v>60</v>
      </c>
      <c r="D305" s="39" t="s">
        <v>1043</v>
      </c>
      <c r="E305" s="40">
        <v>45017</v>
      </c>
      <c r="F305" s="10">
        <v>215</v>
      </c>
      <c r="G305" s="42">
        <v>3.2</v>
      </c>
      <c r="H305">
        <f>IF(MONTH(calls[[#This Row],[Date of Call]])&lt;=6,YEAR(calls[[#This Row],[Date of Call]]),YEAR(calls[[#This Row],[Date of Call]])+1)</f>
        <v>2023</v>
      </c>
      <c r="I305" t="str">
        <f>TEXT(calls[[#This Row],[Date of Call]],"DDDD")</f>
        <v>Saturday</v>
      </c>
      <c r="J305" t="str" cm="1">
        <f t="array" ref="J305">_xlfn.IFS(calls[[#This Row],[Duration]]&lt;=10,"UNDER 10 MINS",calls[[#This Row],[Duration]]&lt;=30,"10 TO 30 MINS",calls[[#This Row],[Duration]]&lt;=60,"30 TO 60 MINS",calls[[#This Row],[Duration]]&lt;=120,"1 TO 2 HRS",TRUE,"MORE THAN 2 HRS")</f>
        <v>30 TO 60 MINS</v>
      </c>
      <c r="K305">
        <f>ROUND(calls[[#This Row],[Satisfaction Rating]],0)</f>
        <v>3</v>
      </c>
    </row>
    <row r="306" spans="1:11" x14ac:dyDescent="0.3">
      <c r="A306" s="41" t="s">
        <v>1357</v>
      </c>
      <c r="B306" s="10" t="s">
        <v>1045</v>
      </c>
      <c r="C306" s="10">
        <v>42</v>
      </c>
      <c r="D306" s="39" t="s">
        <v>1048</v>
      </c>
      <c r="E306" s="40">
        <v>45017</v>
      </c>
      <c r="F306" s="10">
        <v>45</v>
      </c>
      <c r="G306" s="42">
        <v>1.5</v>
      </c>
      <c r="H306">
        <f>IF(MONTH(calls[[#This Row],[Date of Call]])&lt;=6,YEAR(calls[[#This Row],[Date of Call]]),YEAR(calls[[#This Row],[Date of Call]])+1)</f>
        <v>2023</v>
      </c>
      <c r="I306" t="str">
        <f>TEXT(calls[[#This Row],[Date of Call]],"DDDD")</f>
        <v>Saturday</v>
      </c>
      <c r="J306" t="str" cm="1">
        <f t="array" ref="J306">_xlfn.IFS(calls[[#This Row],[Duration]]&lt;=10,"UNDER 10 MINS",calls[[#This Row],[Duration]]&lt;=30,"10 TO 30 MINS",calls[[#This Row],[Duration]]&lt;=60,"30 TO 60 MINS",calls[[#This Row],[Duration]]&lt;=120,"1 TO 2 HRS",TRUE,"MORE THAN 2 HRS")</f>
        <v>30 TO 60 MINS</v>
      </c>
      <c r="K306">
        <f>ROUND(calls[[#This Row],[Satisfaction Rating]],0)</f>
        <v>2</v>
      </c>
    </row>
    <row r="307" spans="1:11" x14ac:dyDescent="0.3">
      <c r="A307" s="41" t="s">
        <v>1358</v>
      </c>
      <c r="B307" s="10" t="s">
        <v>1056</v>
      </c>
      <c r="C307" s="10">
        <v>99</v>
      </c>
      <c r="D307" s="39" t="s">
        <v>1043</v>
      </c>
      <c r="E307" s="40">
        <v>45017</v>
      </c>
      <c r="F307" s="10">
        <v>74</v>
      </c>
      <c r="G307" s="42">
        <v>4</v>
      </c>
      <c r="H307">
        <f>IF(MONTH(calls[[#This Row],[Date of Call]])&lt;=6,YEAR(calls[[#This Row],[Date of Call]]),YEAR(calls[[#This Row],[Date of Call]])+1)</f>
        <v>2023</v>
      </c>
      <c r="I307" t="str">
        <f>TEXT(calls[[#This Row],[Date of Call]],"DDDD")</f>
        <v>Saturday</v>
      </c>
      <c r="J307" t="str" cm="1">
        <f t="array" ref="J307">_xlfn.IFS(calls[[#This Row],[Duration]]&lt;=10,"UNDER 10 MINS",calls[[#This Row],[Duration]]&lt;=30,"10 TO 30 MINS",calls[[#This Row],[Duration]]&lt;=60,"30 TO 60 MINS",calls[[#This Row],[Duration]]&lt;=120,"1 TO 2 HRS",TRUE,"MORE THAN 2 HRS")</f>
        <v>1 TO 2 HRS</v>
      </c>
      <c r="K307">
        <f>ROUND(calls[[#This Row],[Satisfaction Rating]],0)</f>
        <v>4</v>
      </c>
    </row>
    <row r="308" spans="1:11" x14ac:dyDescent="0.3">
      <c r="A308" s="41" t="s">
        <v>1359</v>
      </c>
      <c r="B308" s="10" t="s">
        <v>1042</v>
      </c>
      <c r="C308" s="10">
        <v>20</v>
      </c>
      <c r="D308" s="39" t="s">
        <v>1048</v>
      </c>
      <c r="E308" s="40">
        <v>45017</v>
      </c>
      <c r="F308" s="10">
        <v>60</v>
      </c>
      <c r="G308" s="42">
        <v>3.6</v>
      </c>
      <c r="H308">
        <f>IF(MONTH(calls[[#This Row],[Date of Call]])&lt;=6,YEAR(calls[[#This Row],[Date of Call]]),YEAR(calls[[#This Row],[Date of Call]])+1)</f>
        <v>2023</v>
      </c>
      <c r="I308" t="str">
        <f>TEXT(calls[[#This Row],[Date of Call]],"DDDD")</f>
        <v>Saturday</v>
      </c>
      <c r="J308" t="str" cm="1">
        <f t="array" ref="J308">_xlfn.IFS(calls[[#This Row],[Duration]]&lt;=10,"UNDER 10 MINS",calls[[#This Row],[Duration]]&lt;=30,"10 TO 30 MINS",calls[[#This Row],[Duration]]&lt;=60,"30 TO 60 MINS",calls[[#This Row],[Duration]]&lt;=120,"1 TO 2 HRS",TRUE,"MORE THAN 2 HRS")</f>
        <v>10 TO 30 MINS</v>
      </c>
      <c r="K308">
        <f>ROUND(calls[[#This Row],[Satisfaction Rating]],0)</f>
        <v>4</v>
      </c>
    </row>
    <row r="309" spans="1:11" x14ac:dyDescent="0.3">
      <c r="A309" s="41" t="s">
        <v>1360</v>
      </c>
      <c r="B309" s="10" t="s">
        <v>1060</v>
      </c>
      <c r="C309" s="10">
        <v>65</v>
      </c>
      <c r="D309" s="39" t="s">
        <v>1043</v>
      </c>
      <c r="E309" s="40">
        <v>45017</v>
      </c>
      <c r="F309" s="10">
        <v>64</v>
      </c>
      <c r="G309" s="42">
        <v>3.7</v>
      </c>
      <c r="H309">
        <f>IF(MONTH(calls[[#This Row],[Date of Call]])&lt;=6,YEAR(calls[[#This Row],[Date of Call]]),YEAR(calls[[#This Row],[Date of Call]])+1)</f>
        <v>2023</v>
      </c>
      <c r="I309" t="str">
        <f>TEXT(calls[[#This Row],[Date of Call]],"DDDD")</f>
        <v>Saturday</v>
      </c>
      <c r="J309" t="str" cm="1">
        <f t="array" ref="J309">_xlfn.IFS(calls[[#This Row],[Duration]]&lt;=10,"UNDER 10 MINS",calls[[#This Row],[Duration]]&lt;=30,"10 TO 30 MINS",calls[[#This Row],[Duration]]&lt;=60,"30 TO 60 MINS",calls[[#This Row],[Duration]]&lt;=120,"1 TO 2 HRS",TRUE,"MORE THAN 2 HRS")</f>
        <v>1 TO 2 HRS</v>
      </c>
      <c r="K309">
        <f>ROUND(calls[[#This Row],[Satisfaction Rating]],0)</f>
        <v>4</v>
      </c>
    </row>
    <row r="310" spans="1:11" x14ac:dyDescent="0.3">
      <c r="A310" s="41" t="s">
        <v>1361</v>
      </c>
      <c r="B310" s="10" t="s">
        <v>1079</v>
      </c>
      <c r="C310" s="10">
        <v>71</v>
      </c>
      <c r="D310" s="39" t="s">
        <v>1038</v>
      </c>
      <c r="E310" s="40">
        <v>45018</v>
      </c>
      <c r="F310" s="10">
        <v>110</v>
      </c>
      <c r="G310" s="42">
        <v>4.8</v>
      </c>
      <c r="H310">
        <f>IF(MONTH(calls[[#This Row],[Date of Call]])&lt;=6,YEAR(calls[[#This Row],[Date of Call]]),YEAR(calls[[#This Row],[Date of Call]])+1)</f>
        <v>2023</v>
      </c>
      <c r="I310" t="str">
        <f>TEXT(calls[[#This Row],[Date of Call]],"DDDD")</f>
        <v>Sunday</v>
      </c>
      <c r="J310" t="str" cm="1">
        <f t="array" ref="J310">_xlfn.IFS(calls[[#This Row],[Duration]]&lt;=10,"UNDER 10 MINS",calls[[#This Row],[Duration]]&lt;=30,"10 TO 30 MINS",calls[[#This Row],[Duration]]&lt;=60,"30 TO 60 MINS",calls[[#This Row],[Duration]]&lt;=120,"1 TO 2 HRS",TRUE,"MORE THAN 2 HRS")</f>
        <v>1 TO 2 HRS</v>
      </c>
      <c r="K310">
        <f>ROUND(calls[[#This Row],[Satisfaction Rating]],0)</f>
        <v>5</v>
      </c>
    </row>
    <row r="311" spans="1:11" x14ac:dyDescent="0.3">
      <c r="A311" s="41" t="s">
        <v>1362</v>
      </c>
      <c r="B311" s="10" t="s">
        <v>1040</v>
      </c>
      <c r="C311" s="10">
        <v>95</v>
      </c>
      <c r="D311" s="39" t="s">
        <v>1057</v>
      </c>
      <c r="E311" s="40">
        <v>45018</v>
      </c>
      <c r="F311" s="10">
        <v>52</v>
      </c>
      <c r="G311" s="42">
        <v>1.2</v>
      </c>
      <c r="H311">
        <f>IF(MONTH(calls[[#This Row],[Date of Call]])&lt;=6,YEAR(calls[[#This Row],[Date of Call]]),YEAR(calls[[#This Row],[Date of Call]])+1)</f>
        <v>2023</v>
      </c>
      <c r="I311" t="str">
        <f>TEXT(calls[[#This Row],[Date of Call]],"DDDD")</f>
        <v>Sunday</v>
      </c>
      <c r="J311" t="str" cm="1">
        <f t="array" ref="J311">_xlfn.IFS(calls[[#This Row],[Duration]]&lt;=10,"UNDER 10 MINS",calls[[#This Row],[Duration]]&lt;=30,"10 TO 30 MINS",calls[[#This Row],[Duration]]&lt;=60,"30 TO 60 MINS",calls[[#This Row],[Duration]]&lt;=120,"1 TO 2 HRS",TRUE,"MORE THAN 2 HRS")</f>
        <v>1 TO 2 HRS</v>
      </c>
      <c r="K311">
        <f>ROUND(calls[[#This Row],[Satisfaction Rating]],0)</f>
        <v>1</v>
      </c>
    </row>
    <row r="312" spans="1:11" x14ac:dyDescent="0.3">
      <c r="A312" s="41" t="s">
        <v>1363</v>
      </c>
      <c r="B312" s="10" t="s">
        <v>1042</v>
      </c>
      <c r="C312" s="10">
        <v>81</v>
      </c>
      <c r="D312" s="39" t="s">
        <v>1053</v>
      </c>
      <c r="E312" s="40">
        <v>45019</v>
      </c>
      <c r="F312" s="10">
        <v>160</v>
      </c>
      <c r="G312" s="42">
        <v>4.7</v>
      </c>
      <c r="H312">
        <f>IF(MONTH(calls[[#This Row],[Date of Call]])&lt;=6,YEAR(calls[[#This Row],[Date of Call]]),YEAR(calls[[#This Row],[Date of Call]])+1)</f>
        <v>2023</v>
      </c>
      <c r="I312" t="str">
        <f>TEXT(calls[[#This Row],[Date of Call]],"DDDD")</f>
        <v>Monday</v>
      </c>
      <c r="J312" t="str" cm="1">
        <f t="array" ref="J312">_xlfn.IFS(calls[[#This Row],[Duration]]&lt;=10,"UNDER 10 MINS",calls[[#This Row],[Duration]]&lt;=30,"10 TO 30 MINS",calls[[#This Row],[Duration]]&lt;=60,"30 TO 60 MINS",calls[[#This Row],[Duration]]&lt;=120,"1 TO 2 HRS",TRUE,"MORE THAN 2 HRS")</f>
        <v>1 TO 2 HRS</v>
      </c>
      <c r="K312">
        <f>ROUND(calls[[#This Row],[Satisfaction Rating]],0)</f>
        <v>5</v>
      </c>
    </row>
    <row r="313" spans="1:11" x14ac:dyDescent="0.3">
      <c r="A313" s="41" t="s">
        <v>1364</v>
      </c>
      <c r="B313" s="10" t="s">
        <v>1071</v>
      </c>
      <c r="C313" s="10">
        <v>137</v>
      </c>
      <c r="D313" s="39" t="s">
        <v>1053</v>
      </c>
      <c r="E313" s="40">
        <v>45019</v>
      </c>
      <c r="F313" s="10">
        <v>215</v>
      </c>
      <c r="G313" s="42">
        <v>4.7</v>
      </c>
      <c r="H313">
        <f>IF(MONTH(calls[[#This Row],[Date of Call]])&lt;=6,YEAR(calls[[#This Row],[Date of Call]]),YEAR(calls[[#This Row],[Date of Call]])+1)</f>
        <v>2023</v>
      </c>
      <c r="I313" t="str">
        <f>TEXT(calls[[#This Row],[Date of Call]],"DDDD")</f>
        <v>Monday</v>
      </c>
      <c r="J313" t="str" cm="1">
        <f t="array" ref="J313">_xlfn.IFS(calls[[#This Row],[Duration]]&lt;=10,"UNDER 10 MINS",calls[[#This Row],[Duration]]&lt;=30,"10 TO 30 MINS",calls[[#This Row],[Duration]]&lt;=60,"30 TO 60 MINS",calls[[#This Row],[Duration]]&lt;=120,"1 TO 2 HRS",TRUE,"MORE THAN 2 HRS")</f>
        <v>MORE THAN 2 HRS</v>
      </c>
      <c r="K313">
        <f>ROUND(calls[[#This Row],[Satisfaction Rating]],0)</f>
        <v>5</v>
      </c>
    </row>
    <row r="314" spans="1:11" x14ac:dyDescent="0.3">
      <c r="A314" s="41" t="s">
        <v>1365</v>
      </c>
      <c r="B314" s="10" t="s">
        <v>1071</v>
      </c>
      <c r="C314" s="10">
        <v>40</v>
      </c>
      <c r="D314" s="39" t="s">
        <v>1057</v>
      </c>
      <c r="E314" s="40">
        <v>45019</v>
      </c>
      <c r="F314" s="10">
        <v>220</v>
      </c>
      <c r="G314" s="42">
        <v>4.5</v>
      </c>
      <c r="H314">
        <f>IF(MONTH(calls[[#This Row],[Date of Call]])&lt;=6,YEAR(calls[[#This Row],[Date of Call]]),YEAR(calls[[#This Row],[Date of Call]])+1)</f>
        <v>2023</v>
      </c>
      <c r="I314" t="str">
        <f>TEXT(calls[[#This Row],[Date of Call]],"DDDD")</f>
        <v>Monday</v>
      </c>
      <c r="J314" t="str" cm="1">
        <f t="array" ref="J314">_xlfn.IFS(calls[[#This Row],[Duration]]&lt;=10,"UNDER 10 MINS",calls[[#This Row],[Duration]]&lt;=30,"10 TO 30 MINS",calls[[#This Row],[Duration]]&lt;=60,"30 TO 60 MINS",calls[[#This Row],[Duration]]&lt;=120,"1 TO 2 HRS",TRUE,"MORE THAN 2 HRS")</f>
        <v>30 TO 60 MINS</v>
      </c>
      <c r="K314">
        <f>ROUND(calls[[#This Row],[Satisfaction Rating]],0)</f>
        <v>5</v>
      </c>
    </row>
    <row r="315" spans="1:11" x14ac:dyDescent="0.3">
      <c r="A315" s="41" t="s">
        <v>1366</v>
      </c>
      <c r="B315" s="10" t="s">
        <v>1056</v>
      </c>
      <c r="C315" s="10">
        <v>111</v>
      </c>
      <c r="D315" s="39" t="s">
        <v>1043</v>
      </c>
      <c r="E315" s="40">
        <v>45020</v>
      </c>
      <c r="F315" s="10">
        <v>175</v>
      </c>
      <c r="G315" s="42">
        <v>3.5</v>
      </c>
      <c r="H315">
        <f>IF(MONTH(calls[[#This Row],[Date of Call]])&lt;=6,YEAR(calls[[#This Row],[Date of Call]]),YEAR(calls[[#This Row],[Date of Call]])+1)</f>
        <v>2023</v>
      </c>
      <c r="I315" t="str">
        <f>TEXT(calls[[#This Row],[Date of Call]],"DDDD")</f>
        <v>Tuesday</v>
      </c>
      <c r="J315" t="str" cm="1">
        <f t="array" ref="J315">_xlfn.IFS(calls[[#This Row],[Duration]]&lt;=10,"UNDER 10 MINS",calls[[#This Row],[Duration]]&lt;=30,"10 TO 30 MINS",calls[[#This Row],[Duration]]&lt;=60,"30 TO 60 MINS",calls[[#This Row],[Duration]]&lt;=120,"1 TO 2 HRS",TRUE,"MORE THAN 2 HRS")</f>
        <v>1 TO 2 HRS</v>
      </c>
      <c r="K315">
        <f>ROUND(calls[[#This Row],[Satisfaction Rating]],0)</f>
        <v>4</v>
      </c>
    </row>
    <row r="316" spans="1:11" x14ac:dyDescent="0.3">
      <c r="A316" s="41" t="s">
        <v>1367</v>
      </c>
      <c r="B316" s="10" t="s">
        <v>1079</v>
      </c>
      <c r="C316" s="10">
        <v>106</v>
      </c>
      <c r="D316" s="39" t="s">
        <v>1043</v>
      </c>
      <c r="E316" s="40">
        <v>45020</v>
      </c>
      <c r="F316" s="10">
        <v>145</v>
      </c>
      <c r="G316" s="42">
        <v>4.0999999999999996</v>
      </c>
      <c r="H316">
        <f>IF(MONTH(calls[[#This Row],[Date of Call]])&lt;=6,YEAR(calls[[#This Row],[Date of Call]]),YEAR(calls[[#This Row],[Date of Call]])+1)</f>
        <v>2023</v>
      </c>
      <c r="I316" t="str">
        <f>TEXT(calls[[#This Row],[Date of Call]],"DDDD")</f>
        <v>Tuesday</v>
      </c>
      <c r="J316" t="str" cm="1">
        <f t="array" ref="J316">_xlfn.IFS(calls[[#This Row],[Duration]]&lt;=10,"UNDER 10 MINS",calls[[#This Row],[Duration]]&lt;=30,"10 TO 30 MINS",calls[[#This Row],[Duration]]&lt;=60,"30 TO 60 MINS",calls[[#This Row],[Duration]]&lt;=120,"1 TO 2 HRS",TRUE,"MORE THAN 2 HRS")</f>
        <v>1 TO 2 HRS</v>
      </c>
      <c r="K316">
        <f>ROUND(calls[[#This Row],[Satisfaction Rating]],0)</f>
        <v>4</v>
      </c>
    </row>
    <row r="317" spans="1:11" x14ac:dyDescent="0.3">
      <c r="A317" s="41" t="s">
        <v>1368</v>
      </c>
      <c r="B317" s="10" t="s">
        <v>1045</v>
      </c>
      <c r="C317" s="10">
        <v>133</v>
      </c>
      <c r="D317" s="39" t="s">
        <v>1048</v>
      </c>
      <c r="E317" s="40">
        <v>45020</v>
      </c>
      <c r="F317" s="10">
        <v>72</v>
      </c>
      <c r="G317" s="42">
        <v>4.4000000000000004</v>
      </c>
      <c r="H317">
        <f>IF(MONTH(calls[[#This Row],[Date of Call]])&lt;=6,YEAR(calls[[#This Row],[Date of Call]]),YEAR(calls[[#This Row],[Date of Call]])+1)</f>
        <v>2023</v>
      </c>
      <c r="I317" t="str">
        <f>TEXT(calls[[#This Row],[Date of Call]],"DDDD")</f>
        <v>Tuesday</v>
      </c>
      <c r="J317" t="str" cm="1">
        <f t="array" ref="J317">_xlfn.IFS(calls[[#This Row],[Duration]]&lt;=10,"UNDER 10 MINS",calls[[#This Row],[Duration]]&lt;=30,"10 TO 30 MINS",calls[[#This Row],[Duration]]&lt;=60,"30 TO 60 MINS",calls[[#This Row],[Duration]]&lt;=120,"1 TO 2 HRS",TRUE,"MORE THAN 2 HRS")</f>
        <v>MORE THAN 2 HRS</v>
      </c>
      <c r="K317">
        <f>ROUND(calls[[#This Row],[Satisfaction Rating]],0)</f>
        <v>4</v>
      </c>
    </row>
    <row r="318" spans="1:11" x14ac:dyDescent="0.3">
      <c r="A318" s="41" t="s">
        <v>1369</v>
      </c>
      <c r="B318" s="10" t="s">
        <v>1051</v>
      </c>
      <c r="C318" s="10">
        <v>38</v>
      </c>
      <c r="D318" s="39" t="s">
        <v>1043</v>
      </c>
      <c r="E318" s="40">
        <v>45021</v>
      </c>
      <c r="F318" s="10">
        <v>81</v>
      </c>
      <c r="G318" s="42">
        <v>3.6</v>
      </c>
      <c r="H318">
        <f>IF(MONTH(calls[[#This Row],[Date of Call]])&lt;=6,YEAR(calls[[#This Row],[Date of Call]]),YEAR(calls[[#This Row],[Date of Call]])+1)</f>
        <v>2023</v>
      </c>
      <c r="I318" t="str">
        <f>TEXT(calls[[#This Row],[Date of Call]],"DDDD")</f>
        <v>Wednesday</v>
      </c>
      <c r="J318" t="str" cm="1">
        <f t="array" ref="J318">_xlfn.IFS(calls[[#This Row],[Duration]]&lt;=10,"UNDER 10 MINS",calls[[#This Row],[Duration]]&lt;=30,"10 TO 30 MINS",calls[[#This Row],[Duration]]&lt;=60,"30 TO 60 MINS",calls[[#This Row],[Duration]]&lt;=120,"1 TO 2 HRS",TRUE,"MORE THAN 2 HRS")</f>
        <v>30 TO 60 MINS</v>
      </c>
      <c r="K318">
        <f>ROUND(calls[[#This Row],[Satisfaction Rating]],0)</f>
        <v>4</v>
      </c>
    </row>
    <row r="319" spans="1:11" x14ac:dyDescent="0.3">
      <c r="A319" s="41" t="s">
        <v>1370</v>
      </c>
      <c r="B319" s="10" t="s">
        <v>1076</v>
      </c>
      <c r="C319" s="10">
        <v>130</v>
      </c>
      <c r="D319" s="39" t="s">
        <v>1057</v>
      </c>
      <c r="E319" s="40">
        <v>45021</v>
      </c>
      <c r="F319" s="10">
        <v>54</v>
      </c>
      <c r="G319" s="42">
        <v>4.0999999999999996</v>
      </c>
      <c r="H319">
        <f>IF(MONTH(calls[[#This Row],[Date of Call]])&lt;=6,YEAR(calls[[#This Row],[Date of Call]]),YEAR(calls[[#This Row],[Date of Call]])+1)</f>
        <v>2023</v>
      </c>
      <c r="I319" t="str">
        <f>TEXT(calls[[#This Row],[Date of Call]],"DDDD")</f>
        <v>Wednesday</v>
      </c>
      <c r="J319" t="str" cm="1">
        <f t="array" ref="J319">_xlfn.IFS(calls[[#This Row],[Duration]]&lt;=10,"UNDER 10 MINS",calls[[#This Row],[Duration]]&lt;=30,"10 TO 30 MINS",calls[[#This Row],[Duration]]&lt;=60,"30 TO 60 MINS",calls[[#This Row],[Duration]]&lt;=120,"1 TO 2 HRS",TRUE,"MORE THAN 2 HRS")</f>
        <v>MORE THAN 2 HRS</v>
      </c>
      <c r="K319">
        <f>ROUND(calls[[#This Row],[Satisfaction Rating]],0)</f>
        <v>4</v>
      </c>
    </row>
    <row r="320" spans="1:11" x14ac:dyDescent="0.3">
      <c r="A320" s="41" t="s">
        <v>1371</v>
      </c>
      <c r="B320" s="10" t="s">
        <v>1060</v>
      </c>
      <c r="C320" s="10">
        <v>23</v>
      </c>
      <c r="D320" s="39" t="s">
        <v>1048</v>
      </c>
      <c r="E320" s="40">
        <v>45021</v>
      </c>
      <c r="F320" s="10">
        <v>105</v>
      </c>
      <c r="G320" s="42">
        <v>4.8</v>
      </c>
      <c r="H320">
        <f>IF(MONTH(calls[[#This Row],[Date of Call]])&lt;=6,YEAR(calls[[#This Row],[Date of Call]]),YEAR(calls[[#This Row],[Date of Call]])+1)</f>
        <v>2023</v>
      </c>
      <c r="I320" t="str">
        <f>TEXT(calls[[#This Row],[Date of Call]],"DDDD")</f>
        <v>Wednesday</v>
      </c>
      <c r="J320" t="str" cm="1">
        <f t="array" ref="J320">_xlfn.IFS(calls[[#This Row],[Duration]]&lt;=10,"UNDER 10 MINS",calls[[#This Row],[Duration]]&lt;=30,"10 TO 30 MINS",calls[[#This Row],[Duration]]&lt;=60,"30 TO 60 MINS",calls[[#This Row],[Duration]]&lt;=120,"1 TO 2 HRS",TRUE,"MORE THAN 2 HRS")</f>
        <v>10 TO 30 MINS</v>
      </c>
      <c r="K320">
        <f>ROUND(calls[[#This Row],[Satisfaction Rating]],0)</f>
        <v>5</v>
      </c>
    </row>
    <row r="321" spans="1:11" x14ac:dyDescent="0.3">
      <c r="A321" s="41" t="s">
        <v>1372</v>
      </c>
      <c r="B321" s="10" t="s">
        <v>1076</v>
      </c>
      <c r="C321" s="10">
        <v>124</v>
      </c>
      <c r="D321" s="39" t="s">
        <v>1043</v>
      </c>
      <c r="E321" s="40">
        <v>45022</v>
      </c>
      <c r="F321" s="10">
        <v>176</v>
      </c>
      <c r="G321" s="42">
        <v>3.9</v>
      </c>
      <c r="H321">
        <f>IF(MONTH(calls[[#This Row],[Date of Call]])&lt;=6,YEAR(calls[[#This Row],[Date of Call]]),YEAR(calls[[#This Row],[Date of Call]])+1)</f>
        <v>2023</v>
      </c>
      <c r="I321" t="str">
        <f>TEXT(calls[[#This Row],[Date of Call]],"DDDD")</f>
        <v>Thursday</v>
      </c>
      <c r="J321" t="str" cm="1">
        <f t="array" ref="J321">_xlfn.IFS(calls[[#This Row],[Duration]]&lt;=10,"UNDER 10 MINS",calls[[#This Row],[Duration]]&lt;=30,"10 TO 30 MINS",calls[[#This Row],[Duration]]&lt;=60,"30 TO 60 MINS",calls[[#This Row],[Duration]]&lt;=120,"1 TO 2 HRS",TRUE,"MORE THAN 2 HRS")</f>
        <v>MORE THAN 2 HRS</v>
      </c>
      <c r="K321">
        <f>ROUND(calls[[#This Row],[Satisfaction Rating]],0)</f>
        <v>4</v>
      </c>
    </row>
    <row r="322" spans="1:11" x14ac:dyDescent="0.3">
      <c r="A322" s="41" t="s">
        <v>1373</v>
      </c>
      <c r="B322" s="10" t="s">
        <v>1042</v>
      </c>
      <c r="C322" s="10">
        <v>107</v>
      </c>
      <c r="D322" s="39" t="s">
        <v>1043</v>
      </c>
      <c r="E322" s="40">
        <v>45022</v>
      </c>
      <c r="F322" s="10">
        <v>115</v>
      </c>
      <c r="G322" s="42">
        <v>3.8</v>
      </c>
      <c r="H322">
        <f>IF(MONTH(calls[[#This Row],[Date of Call]])&lt;=6,YEAR(calls[[#This Row],[Date of Call]]),YEAR(calls[[#This Row],[Date of Call]])+1)</f>
        <v>2023</v>
      </c>
      <c r="I322" t="str">
        <f>TEXT(calls[[#This Row],[Date of Call]],"DDDD")</f>
        <v>Thursday</v>
      </c>
      <c r="J322" t="str" cm="1">
        <f t="array" ref="J322">_xlfn.IFS(calls[[#This Row],[Duration]]&lt;=10,"UNDER 10 MINS",calls[[#This Row],[Duration]]&lt;=30,"10 TO 30 MINS",calls[[#This Row],[Duration]]&lt;=60,"30 TO 60 MINS",calls[[#This Row],[Duration]]&lt;=120,"1 TO 2 HRS",TRUE,"MORE THAN 2 HRS")</f>
        <v>1 TO 2 HRS</v>
      </c>
      <c r="K322">
        <f>ROUND(calls[[#This Row],[Satisfaction Rating]],0)</f>
        <v>4</v>
      </c>
    </row>
    <row r="323" spans="1:11" x14ac:dyDescent="0.3">
      <c r="A323" s="41" t="s">
        <v>1374</v>
      </c>
      <c r="B323" s="10" t="s">
        <v>1071</v>
      </c>
      <c r="C323" s="10">
        <v>60</v>
      </c>
      <c r="D323" s="39" t="s">
        <v>1038</v>
      </c>
      <c r="E323" s="40">
        <v>45022</v>
      </c>
      <c r="F323" s="10">
        <v>116</v>
      </c>
      <c r="G323" s="42">
        <v>3.9</v>
      </c>
      <c r="H323">
        <f>IF(MONTH(calls[[#This Row],[Date of Call]])&lt;=6,YEAR(calls[[#This Row],[Date of Call]]),YEAR(calls[[#This Row],[Date of Call]])+1)</f>
        <v>2023</v>
      </c>
      <c r="I323" t="str">
        <f>TEXT(calls[[#This Row],[Date of Call]],"DDDD")</f>
        <v>Thursday</v>
      </c>
      <c r="J323" t="str" cm="1">
        <f t="array" ref="J323">_xlfn.IFS(calls[[#This Row],[Duration]]&lt;=10,"UNDER 10 MINS",calls[[#This Row],[Duration]]&lt;=30,"10 TO 30 MINS",calls[[#This Row],[Duration]]&lt;=60,"30 TO 60 MINS",calls[[#This Row],[Duration]]&lt;=120,"1 TO 2 HRS",TRUE,"MORE THAN 2 HRS")</f>
        <v>30 TO 60 MINS</v>
      </c>
      <c r="K323">
        <f>ROUND(calls[[#This Row],[Satisfaction Rating]],0)</f>
        <v>4</v>
      </c>
    </row>
    <row r="324" spans="1:11" x14ac:dyDescent="0.3">
      <c r="A324" s="41" t="s">
        <v>1375</v>
      </c>
      <c r="B324" s="10" t="s">
        <v>1071</v>
      </c>
      <c r="C324" s="10">
        <v>158</v>
      </c>
      <c r="D324" s="39" t="s">
        <v>1057</v>
      </c>
      <c r="E324" s="40">
        <v>45022</v>
      </c>
      <c r="F324" s="10">
        <v>100</v>
      </c>
      <c r="G324" s="42">
        <v>4.0999999999999996</v>
      </c>
      <c r="H324">
        <f>IF(MONTH(calls[[#This Row],[Date of Call]])&lt;=6,YEAR(calls[[#This Row],[Date of Call]]),YEAR(calls[[#This Row],[Date of Call]])+1)</f>
        <v>2023</v>
      </c>
      <c r="I324" t="str">
        <f>TEXT(calls[[#This Row],[Date of Call]],"DDDD")</f>
        <v>Thursday</v>
      </c>
      <c r="J324" t="str" cm="1">
        <f t="array" ref="J324">_xlfn.IFS(calls[[#This Row],[Duration]]&lt;=10,"UNDER 10 MINS",calls[[#This Row],[Duration]]&lt;=30,"10 TO 30 MINS",calls[[#This Row],[Duration]]&lt;=60,"30 TO 60 MINS",calls[[#This Row],[Duration]]&lt;=120,"1 TO 2 HRS",TRUE,"MORE THAN 2 HRS")</f>
        <v>MORE THAN 2 HRS</v>
      </c>
      <c r="K324">
        <f>ROUND(calls[[#This Row],[Satisfaction Rating]],0)</f>
        <v>4</v>
      </c>
    </row>
    <row r="325" spans="1:11" x14ac:dyDescent="0.3">
      <c r="A325" s="41" t="s">
        <v>1376</v>
      </c>
      <c r="B325" s="10" t="s">
        <v>1068</v>
      </c>
      <c r="C325" s="10">
        <v>110</v>
      </c>
      <c r="D325" s="39" t="s">
        <v>1057</v>
      </c>
      <c r="E325" s="40">
        <v>45023</v>
      </c>
      <c r="F325" s="10">
        <v>36</v>
      </c>
      <c r="G325" s="42">
        <v>2.2000000000000002</v>
      </c>
      <c r="H325">
        <f>IF(MONTH(calls[[#This Row],[Date of Call]])&lt;=6,YEAR(calls[[#This Row],[Date of Call]]),YEAR(calls[[#This Row],[Date of Call]])+1)</f>
        <v>2023</v>
      </c>
      <c r="I325" t="str">
        <f>TEXT(calls[[#This Row],[Date of Call]],"DDDD")</f>
        <v>Friday</v>
      </c>
      <c r="J325" t="str" cm="1">
        <f t="array" ref="J325">_xlfn.IFS(calls[[#This Row],[Duration]]&lt;=10,"UNDER 10 MINS",calls[[#This Row],[Duration]]&lt;=30,"10 TO 30 MINS",calls[[#This Row],[Duration]]&lt;=60,"30 TO 60 MINS",calls[[#This Row],[Duration]]&lt;=120,"1 TO 2 HRS",TRUE,"MORE THAN 2 HRS")</f>
        <v>1 TO 2 HRS</v>
      </c>
      <c r="K325">
        <f>ROUND(calls[[#This Row],[Satisfaction Rating]],0)</f>
        <v>2</v>
      </c>
    </row>
    <row r="326" spans="1:11" x14ac:dyDescent="0.3">
      <c r="A326" s="41" t="s">
        <v>1377</v>
      </c>
      <c r="B326" s="10" t="s">
        <v>1089</v>
      </c>
      <c r="C326" s="10">
        <v>70</v>
      </c>
      <c r="D326" s="39" t="s">
        <v>1057</v>
      </c>
      <c r="E326" s="40">
        <v>45023</v>
      </c>
      <c r="F326" s="10">
        <v>114</v>
      </c>
      <c r="G326" s="42">
        <v>5</v>
      </c>
      <c r="H326">
        <f>IF(MONTH(calls[[#This Row],[Date of Call]])&lt;=6,YEAR(calls[[#This Row],[Date of Call]]),YEAR(calls[[#This Row],[Date of Call]])+1)</f>
        <v>2023</v>
      </c>
      <c r="I326" t="str">
        <f>TEXT(calls[[#This Row],[Date of Call]],"DDDD")</f>
        <v>Friday</v>
      </c>
      <c r="J326" t="str" cm="1">
        <f t="array" ref="J326">_xlfn.IFS(calls[[#This Row],[Duration]]&lt;=10,"UNDER 10 MINS",calls[[#This Row],[Duration]]&lt;=30,"10 TO 30 MINS",calls[[#This Row],[Duration]]&lt;=60,"30 TO 60 MINS",calls[[#This Row],[Duration]]&lt;=120,"1 TO 2 HRS",TRUE,"MORE THAN 2 HRS")</f>
        <v>1 TO 2 HRS</v>
      </c>
      <c r="K326">
        <f>ROUND(calls[[#This Row],[Satisfaction Rating]],0)</f>
        <v>5</v>
      </c>
    </row>
    <row r="327" spans="1:11" x14ac:dyDescent="0.3">
      <c r="A327" s="41" t="s">
        <v>1378</v>
      </c>
      <c r="B327" s="10" t="s">
        <v>1089</v>
      </c>
      <c r="C327" s="10">
        <v>150</v>
      </c>
      <c r="D327" s="39" t="s">
        <v>1038</v>
      </c>
      <c r="E327" s="40">
        <v>45023</v>
      </c>
      <c r="F327" s="10">
        <v>24</v>
      </c>
      <c r="G327" s="42">
        <v>3.8</v>
      </c>
      <c r="H327">
        <f>IF(MONTH(calls[[#This Row],[Date of Call]])&lt;=6,YEAR(calls[[#This Row],[Date of Call]]),YEAR(calls[[#This Row],[Date of Call]])+1)</f>
        <v>2023</v>
      </c>
      <c r="I327" t="str">
        <f>TEXT(calls[[#This Row],[Date of Call]],"DDDD")</f>
        <v>Friday</v>
      </c>
      <c r="J327" t="str" cm="1">
        <f t="array" ref="J327">_xlfn.IFS(calls[[#This Row],[Duration]]&lt;=10,"UNDER 10 MINS",calls[[#This Row],[Duration]]&lt;=30,"10 TO 30 MINS",calls[[#This Row],[Duration]]&lt;=60,"30 TO 60 MINS",calls[[#This Row],[Duration]]&lt;=120,"1 TO 2 HRS",TRUE,"MORE THAN 2 HRS")</f>
        <v>MORE THAN 2 HRS</v>
      </c>
      <c r="K327">
        <f>ROUND(calls[[#This Row],[Satisfaction Rating]],0)</f>
        <v>4</v>
      </c>
    </row>
    <row r="328" spans="1:11" x14ac:dyDescent="0.3">
      <c r="A328" s="41" t="s">
        <v>1379</v>
      </c>
      <c r="B328" s="10" t="s">
        <v>1051</v>
      </c>
      <c r="C328" s="10">
        <v>36</v>
      </c>
      <c r="D328" s="39" t="s">
        <v>1043</v>
      </c>
      <c r="E328" s="40">
        <v>45023</v>
      </c>
      <c r="F328" s="10">
        <v>135</v>
      </c>
      <c r="G328" s="42">
        <v>4.5999999999999996</v>
      </c>
      <c r="H328">
        <f>IF(MONTH(calls[[#This Row],[Date of Call]])&lt;=6,YEAR(calls[[#This Row],[Date of Call]]),YEAR(calls[[#This Row],[Date of Call]])+1)</f>
        <v>2023</v>
      </c>
      <c r="I328" t="str">
        <f>TEXT(calls[[#This Row],[Date of Call]],"DDDD")</f>
        <v>Friday</v>
      </c>
      <c r="J328" t="str" cm="1">
        <f t="array" ref="J328">_xlfn.IFS(calls[[#This Row],[Duration]]&lt;=10,"UNDER 10 MINS",calls[[#This Row],[Duration]]&lt;=30,"10 TO 30 MINS",calls[[#This Row],[Duration]]&lt;=60,"30 TO 60 MINS",calls[[#This Row],[Duration]]&lt;=120,"1 TO 2 HRS",TRUE,"MORE THAN 2 HRS")</f>
        <v>30 TO 60 MINS</v>
      </c>
      <c r="K328">
        <f>ROUND(calls[[#This Row],[Satisfaction Rating]],0)</f>
        <v>5</v>
      </c>
    </row>
    <row r="329" spans="1:11" x14ac:dyDescent="0.3">
      <c r="A329" s="41" t="s">
        <v>1380</v>
      </c>
      <c r="B329" s="10" t="s">
        <v>1076</v>
      </c>
      <c r="C329" s="10">
        <v>74</v>
      </c>
      <c r="D329" s="39" t="s">
        <v>1043</v>
      </c>
      <c r="E329" s="40">
        <v>45023</v>
      </c>
      <c r="F329" s="10">
        <v>30</v>
      </c>
      <c r="G329" s="42">
        <v>4</v>
      </c>
      <c r="H329">
        <f>IF(MONTH(calls[[#This Row],[Date of Call]])&lt;=6,YEAR(calls[[#This Row],[Date of Call]]),YEAR(calls[[#This Row],[Date of Call]])+1)</f>
        <v>2023</v>
      </c>
      <c r="I329" t="str">
        <f>TEXT(calls[[#This Row],[Date of Call]],"DDDD")</f>
        <v>Friday</v>
      </c>
      <c r="J329" t="str" cm="1">
        <f t="array" ref="J329">_xlfn.IFS(calls[[#This Row],[Duration]]&lt;=10,"UNDER 10 MINS",calls[[#This Row],[Duration]]&lt;=30,"10 TO 30 MINS",calls[[#This Row],[Duration]]&lt;=60,"30 TO 60 MINS",calls[[#This Row],[Duration]]&lt;=120,"1 TO 2 HRS",TRUE,"MORE THAN 2 HRS")</f>
        <v>1 TO 2 HRS</v>
      </c>
      <c r="K329">
        <f>ROUND(calls[[#This Row],[Satisfaction Rating]],0)</f>
        <v>4</v>
      </c>
    </row>
    <row r="330" spans="1:11" x14ac:dyDescent="0.3">
      <c r="A330" s="41" t="s">
        <v>1381</v>
      </c>
      <c r="B330" s="10" t="s">
        <v>1040</v>
      </c>
      <c r="C330" s="10">
        <v>75</v>
      </c>
      <c r="D330" s="39" t="s">
        <v>1043</v>
      </c>
      <c r="E330" s="40">
        <v>45023</v>
      </c>
      <c r="F330" s="10">
        <v>84</v>
      </c>
      <c r="G330" s="42">
        <v>2.8</v>
      </c>
      <c r="H330">
        <f>IF(MONTH(calls[[#This Row],[Date of Call]])&lt;=6,YEAR(calls[[#This Row],[Date of Call]]),YEAR(calls[[#This Row],[Date of Call]])+1)</f>
        <v>2023</v>
      </c>
      <c r="I330" t="str">
        <f>TEXT(calls[[#This Row],[Date of Call]],"DDDD")</f>
        <v>Friday</v>
      </c>
      <c r="J330" t="str" cm="1">
        <f t="array" ref="J330">_xlfn.IFS(calls[[#This Row],[Duration]]&lt;=10,"UNDER 10 MINS",calls[[#This Row],[Duration]]&lt;=30,"10 TO 30 MINS",calls[[#This Row],[Duration]]&lt;=60,"30 TO 60 MINS",calls[[#This Row],[Duration]]&lt;=120,"1 TO 2 HRS",TRUE,"MORE THAN 2 HRS")</f>
        <v>1 TO 2 HRS</v>
      </c>
      <c r="K330">
        <f>ROUND(calls[[#This Row],[Satisfaction Rating]],0)</f>
        <v>3</v>
      </c>
    </row>
    <row r="331" spans="1:11" x14ac:dyDescent="0.3">
      <c r="A331" s="41" t="s">
        <v>1382</v>
      </c>
      <c r="B331" s="10" t="s">
        <v>1109</v>
      </c>
      <c r="C331" s="10">
        <v>70</v>
      </c>
      <c r="D331" s="39" t="s">
        <v>1053</v>
      </c>
      <c r="E331" s="40">
        <v>45023</v>
      </c>
      <c r="F331" s="10">
        <v>42</v>
      </c>
      <c r="G331" s="42">
        <v>4.4000000000000004</v>
      </c>
      <c r="H331">
        <f>IF(MONTH(calls[[#This Row],[Date of Call]])&lt;=6,YEAR(calls[[#This Row],[Date of Call]]),YEAR(calls[[#This Row],[Date of Call]])+1)</f>
        <v>2023</v>
      </c>
      <c r="I331" t="str">
        <f>TEXT(calls[[#This Row],[Date of Call]],"DDDD")</f>
        <v>Friday</v>
      </c>
      <c r="J331" t="str" cm="1">
        <f t="array" ref="J331">_xlfn.IFS(calls[[#This Row],[Duration]]&lt;=10,"UNDER 10 MINS",calls[[#This Row],[Duration]]&lt;=30,"10 TO 30 MINS",calls[[#This Row],[Duration]]&lt;=60,"30 TO 60 MINS",calls[[#This Row],[Duration]]&lt;=120,"1 TO 2 HRS",TRUE,"MORE THAN 2 HRS")</f>
        <v>1 TO 2 HRS</v>
      </c>
      <c r="K331">
        <f>ROUND(calls[[#This Row],[Satisfaction Rating]],0)</f>
        <v>4</v>
      </c>
    </row>
    <row r="332" spans="1:11" x14ac:dyDescent="0.3">
      <c r="A332" s="41" t="s">
        <v>1383</v>
      </c>
      <c r="B332" s="10" t="s">
        <v>1068</v>
      </c>
      <c r="C332" s="10">
        <v>23</v>
      </c>
      <c r="D332" s="39" t="s">
        <v>1057</v>
      </c>
      <c r="E332" s="40">
        <v>45023</v>
      </c>
      <c r="F332" s="10">
        <v>117</v>
      </c>
      <c r="G332" s="42">
        <v>2.4</v>
      </c>
      <c r="H332">
        <f>IF(MONTH(calls[[#This Row],[Date of Call]])&lt;=6,YEAR(calls[[#This Row],[Date of Call]]),YEAR(calls[[#This Row],[Date of Call]])+1)</f>
        <v>2023</v>
      </c>
      <c r="I332" t="str">
        <f>TEXT(calls[[#This Row],[Date of Call]],"DDDD")</f>
        <v>Friday</v>
      </c>
      <c r="J332" t="str" cm="1">
        <f t="array" ref="J332">_xlfn.IFS(calls[[#This Row],[Duration]]&lt;=10,"UNDER 10 MINS",calls[[#This Row],[Duration]]&lt;=30,"10 TO 30 MINS",calls[[#This Row],[Duration]]&lt;=60,"30 TO 60 MINS",calls[[#This Row],[Duration]]&lt;=120,"1 TO 2 HRS",TRUE,"MORE THAN 2 HRS")</f>
        <v>10 TO 30 MINS</v>
      </c>
      <c r="K332">
        <f>ROUND(calls[[#This Row],[Satisfaction Rating]],0)</f>
        <v>2</v>
      </c>
    </row>
    <row r="333" spans="1:11" x14ac:dyDescent="0.3">
      <c r="A333" s="41" t="s">
        <v>1384</v>
      </c>
      <c r="B333" s="10" t="s">
        <v>1056</v>
      </c>
      <c r="C333" s="10">
        <v>104</v>
      </c>
      <c r="D333" s="39" t="s">
        <v>1048</v>
      </c>
      <c r="E333" s="40">
        <v>45023</v>
      </c>
      <c r="F333" s="10">
        <v>164</v>
      </c>
      <c r="G333" s="42">
        <v>4</v>
      </c>
      <c r="H333">
        <f>IF(MONTH(calls[[#This Row],[Date of Call]])&lt;=6,YEAR(calls[[#This Row],[Date of Call]]),YEAR(calls[[#This Row],[Date of Call]])+1)</f>
        <v>2023</v>
      </c>
      <c r="I333" t="str">
        <f>TEXT(calls[[#This Row],[Date of Call]],"DDDD")</f>
        <v>Friday</v>
      </c>
      <c r="J333" t="str" cm="1">
        <f t="array" ref="J333">_xlfn.IFS(calls[[#This Row],[Duration]]&lt;=10,"UNDER 10 MINS",calls[[#This Row],[Duration]]&lt;=30,"10 TO 30 MINS",calls[[#This Row],[Duration]]&lt;=60,"30 TO 60 MINS",calls[[#This Row],[Duration]]&lt;=120,"1 TO 2 HRS",TRUE,"MORE THAN 2 HRS")</f>
        <v>1 TO 2 HRS</v>
      </c>
      <c r="K333">
        <f>ROUND(calls[[#This Row],[Satisfaction Rating]],0)</f>
        <v>4</v>
      </c>
    </row>
    <row r="334" spans="1:11" x14ac:dyDescent="0.3">
      <c r="A334" s="41" t="s">
        <v>1385</v>
      </c>
      <c r="B334" s="10" t="s">
        <v>1089</v>
      </c>
      <c r="C334" s="10">
        <v>95</v>
      </c>
      <c r="D334" s="39" t="s">
        <v>1053</v>
      </c>
      <c r="E334" s="40">
        <v>45024</v>
      </c>
      <c r="F334" s="10">
        <v>123</v>
      </c>
      <c r="G334" s="42">
        <v>4.4000000000000004</v>
      </c>
      <c r="H334">
        <f>IF(MONTH(calls[[#This Row],[Date of Call]])&lt;=6,YEAR(calls[[#This Row],[Date of Call]]),YEAR(calls[[#This Row],[Date of Call]])+1)</f>
        <v>2023</v>
      </c>
      <c r="I334" t="str">
        <f>TEXT(calls[[#This Row],[Date of Call]],"DDDD")</f>
        <v>Saturday</v>
      </c>
      <c r="J334" t="str" cm="1">
        <f t="array" ref="J334">_xlfn.IFS(calls[[#This Row],[Duration]]&lt;=10,"UNDER 10 MINS",calls[[#This Row],[Duration]]&lt;=30,"10 TO 30 MINS",calls[[#This Row],[Duration]]&lt;=60,"30 TO 60 MINS",calls[[#This Row],[Duration]]&lt;=120,"1 TO 2 HRS",TRUE,"MORE THAN 2 HRS")</f>
        <v>1 TO 2 HRS</v>
      </c>
      <c r="K334">
        <f>ROUND(calls[[#This Row],[Satisfaction Rating]],0)</f>
        <v>4</v>
      </c>
    </row>
    <row r="335" spans="1:11" x14ac:dyDescent="0.3">
      <c r="A335" s="41" t="s">
        <v>1386</v>
      </c>
      <c r="B335" s="10" t="s">
        <v>1047</v>
      </c>
      <c r="C335" s="10">
        <v>49</v>
      </c>
      <c r="D335" s="39" t="s">
        <v>1038</v>
      </c>
      <c r="E335" s="40">
        <v>45024</v>
      </c>
      <c r="F335" s="10">
        <v>172</v>
      </c>
      <c r="G335" s="42">
        <v>2.9</v>
      </c>
      <c r="H335">
        <f>IF(MONTH(calls[[#This Row],[Date of Call]])&lt;=6,YEAR(calls[[#This Row],[Date of Call]]),YEAR(calls[[#This Row],[Date of Call]])+1)</f>
        <v>2023</v>
      </c>
      <c r="I335" t="str">
        <f>TEXT(calls[[#This Row],[Date of Call]],"DDDD")</f>
        <v>Saturday</v>
      </c>
      <c r="J335" t="str" cm="1">
        <f t="array" ref="J335">_xlfn.IFS(calls[[#This Row],[Duration]]&lt;=10,"UNDER 10 MINS",calls[[#This Row],[Duration]]&lt;=30,"10 TO 30 MINS",calls[[#This Row],[Duration]]&lt;=60,"30 TO 60 MINS",calls[[#This Row],[Duration]]&lt;=120,"1 TO 2 HRS",TRUE,"MORE THAN 2 HRS")</f>
        <v>30 TO 60 MINS</v>
      </c>
      <c r="K335">
        <f>ROUND(calls[[#This Row],[Satisfaction Rating]],0)</f>
        <v>3</v>
      </c>
    </row>
    <row r="336" spans="1:11" x14ac:dyDescent="0.3">
      <c r="A336" s="41" t="s">
        <v>1387</v>
      </c>
      <c r="B336" s="10" t="s">
        <v>1079</v>
      </c>
      <c r="C336" s="10">
        <v>8</v>
      </c>
      <c r="D336" s="39" t="s">
        <v>1057</v>
      </c>
      <c r="E336" s="40">
        <v>45024</v>
      </c>
      <c r="F336" s="10">
        <v>20</v>
      </c>
      <c r="G336" s="42">
        <v>4.8</v>
      </c>
      <c r="H336">
        <f>IF(MONTH(calls[[#This Row],[Date of Call]])&lt;=6,YEAR(calls[[#This Row],[Date of Call]]),YEAR(calls[[#This Row],[Date of Call]])+1)</f>
        <v>2023</v>
      </c>
      <c r="I336" t="str">
        <f>TEXT(calls[[#This Row],[Date of Call]],"DDDD")</f>
        <v>Saturday</v>
      </c>
      <c r="J336" t="str" cm="1">
        <f t="array" ref="J336">_xlfn.IFS(calls[[#This Row],[Duration]]&lt;=10,"UNDER 10 MINS",calls[[#This Row],[Duration]]&lt;=30,"10 TO 30 MINS",calls[[#This Row],[Duration]]&lt;=60,"30 TO 60 MINS",calls[[#This Row],[Duration]]&lt;=120,"1 TO 2 HRS",TRUE,"MORE THAN 2 HRS")</f>
        <v>UNDER 10 MINS</v>
      </c>
      <c r="K336">
        <f>ROUND(calls[[#This Row],[Satisfaction Rating]],0)</f>
        <v>5</v>
      </c>
    </row>
    <row r="337" spans="1:11" x14ac:dyDescent="0.3">
      <c r="A337" s="41" t="s">
        <v>1388</v>
      </c>
      <c r="B337" s="10" t="s">
        <v>1089</v>
      </c>
      <c r="C337" s="10">
        <v>157</v>
      </c>
      <c r="D337" s="39" t="s">
        <v>1038</v>
      </c>
      <c r="E337" s="40">
        <v>45024</v>
      </c>
      <c r="F337" s="10">
        <v>72</v>
      </c>
      <c r="G337" s="42">
        <v>3.7</v>
      </c>
      <c r="H337">
        <f>IF(MONTH(calls[[#This Row],[Date of Call]])&lt;=6,YEAR(calls[[#This Row],[Date of Call]]),YEAR(calls[[#This Row],[Date of Call]])+1)</f>
        <v>2023</v>
      </c>
      <c r="I337" t="str">
        <f>TEXT(calls[[#This Row],[Date of Call]],"DDDD")</f>
        <v>Saturday</v>
      </c>
      <c r="J337" t="str" cm="1">
        <f t="array" ref="J337">_xlfn.IFS(calls[[#This Row],[Duration]]&lt;=10,"UNDER 10 MINS",calls[[#This Row],[Duration]]&lt;=30,"10 TO 30 MINS",calls[[#This Row],[Duration]]&lt;=60,"30 TO 60 MINS",calls[[#This Row],[Duration]]&lt;=120,"1 TO 2 HRS",TRUE,"MORE THAN 2 HRS")</f>
        <v>MORE THAN 2 HRS</v>
      </c>
      <c r="K337">
        <f>ROUND(calls[[#This Row],[Satisfaction Rating]],0)</f>
        <v>4</v>
      </c>
    </row>
    <row r="338" spans="1:11" x14ac:dyDescent="0.3">
      <c r="A338" s="41" t="s">
        <v>1389</v>
      </c>
      <c r="B338" s="10" t="s">
        <v>1042</v>
      </c>
      <c r="C338" s="10">
        <v>74</v>
      </c>
      <c r="D338" s="39" t="s">
        <v>1043</v>
      </c>
      <c r="E338" s="40">
        <v>45024</v>
      </c>
      <c r="F338" s="10">
        <v>32</v>
      </c>
      <c r="G338" s="42">
        <v>4.8</v>
      </c>
      <c r="H338">
        <f>IF(MONTH(calls[[#This Row],[Date of Call]])&lt;=6,YEAR(calls[[#This Row],[Date of Call]]),YEAR(calls[[#This Row],[Date of Call]])+1)</f>
        <v>2023</v>
      </c>
      <c r="I338" t="str">
        <f>TEXT(calls[[#This Row],[Date of Call]],"DDDD")</f>
        <v>Saturday</v>
      </c>
      <c r="J338" t="str" cm="1">
        <f t="array" ref="J338">_xlfn.IFS(calls[[#This Row],[Duration]]&lt;=10,"UNDER 10 MINS",calls[[#This Row],[Duration]]&lt;=30,"10 TO 30 MINS",calls[[#This Row],[Duration]]&lt;=60,"30 TO 60 MINS",calls[[#This Row],[Duration]]&lt;=120,"1 TO 2 HRS",TRUE,"MORE THAN 2 HRS")</f>
        <v>1 TO 2 HRS</v>
      </c>
      <c r="K338">
        <f>ROUND(calls[[#This Row],[Satisfaction Rating]],0)</f>
        <v>5</v>
      </c>
    </row>
    <row r="339" spans="1:11" x14ac:dyDescent="0.3">
      <c r="A339" s="41" t="s">
        <v>1390</v>
      </c>
      <c r="B339" s="10" t="s">
        <v>1068</v>
      </c>
      <c r="C339" s="10">
        <v>72</v>
      </c>
      <c r="D339" s="39" t="s">
        <v>1053</v>
      </c>
      <c r="E339" s="40">
        <v>45024</v>
      </c>
      <c r="F339" s="10">
        <v>140</v>
      </c>
      <c r="G339" s="42">
        <v>3.2</v>
      </c>
      <c r="H339">
        <f>IF(MONTH(calls[[#This Row],[Date of Call]])&lt;=6,YEAR(calls[[#This Row],[Date of Call]]),YEAR(calls[[#This Row],[Date of Call]])+1)</f>
        <v>2023</v>
      </c>
      <c r="I339" t="str">
        <f>TEXT(calls[[#This Row],[Date of Call]],"DDDD")</f>
        <v>Saturday</v>
      </c>
      <c r="J339" t="str" cm="1">
        <f t="array" ref="J339">_xlfn.IFS(calls[[#This Row],[Duration]]&lt;=10,"UNDER 10 MINS",calls[[#This Row],[Duration]]&lt;=30,"10 TO 30 MINS",calls[[#This Row],[Duration]]&lt;=60,"30 TO 60 MINS",calls[[#This Row],[Duration]]&lt;=120,"1 TO 2 HRS",TRUE,"MORE THAN 2 HRS")</f>
        <v>1 TO 2 HRS</v>
      </c>
      <c r="K339">
        <f>ROUND(calls[[#This Row],[Satisfaction Rating]],0)</f>
        <v>3</v>
      </c>
    </row>
    <row r="340" spans="1:11" x14ac:dyDescent="0.3">
      <c r="A340" s="41" t="s">
        <v>1391</v>
      </c>
      <c r="B340" s="10" t="s">
        <v>1042</v>
      </c>
      <c r="C340" s="10">
        <v>79</v>
      </c>
      <c r="D340" s="39" t="s">
        <v>1043</v>
      </c>
      <c r="E340" s="40">
        <v>45025</v>
      </c>
      <c r="F340" s="10">
        <v>120</v>
      </c>
      <c r="G340" s="42">
        <v>4.9000000000000004</v>
      </c>
      <c r="H340">
        <f>IF(MONTH(calls[[#This Row],[Date of Call]])&lt;=6,YEAR(calls[[#This Row],[Date of Call]]),YEAR(calls[[#This Row],[Date of Call]])+1)</f>
        <v>2023</v>
      </c>
      <c r="I340" t="str">
        <f>TEXT(calls[[#This Row],[Date of Call]],"DDDD")</f>
        <v>Sunday</v>
      </c>
      <c r="J340" t="str" cm="1">
        <f t="array" ref="J340">_xlfn.IFS(calls[[#This Row],[Duration]]&lt;=10,"UNDER 10 MINS",calls[[#This Row],[Duration]]&lt;=30,"10 TO 30 MINS",calls[[#This Row],[Duration]]&lt;=60,"30 TO 60 MINS",calls[[#This Row],[Duration]]&lt;=120,"1 TO 2 HRS",TRUE,"MORE THAN 2 HRS")</f>
        <v>1 TO 2 HRS</v>
      </c>
      <c r="K340">
        <f>ROUND(calls[[#This Row],[Satisfaction Rating]],0)</f>
        <v>5</v>
      </c>
    </row>
    <row r="341" spans="1:11" x14ac:dyDescent="0.3">
      <c r="A341" s="41" t="s">
        <v>1392</v>
      </c>
      <c r="B341" s="10" t="s">
        <v>1076</v>
      </c>
      <c r="C341" s="10">
        <v>23</v>
      </c>
      <c r="D341" s="39" t="s">
        <v>1043</v>
      </c>
      <c r="E341" s="40">
        <v>45025</v>
      </c>
      <c r="F341" s="10">
        <v>86</v>
      </c>
      <c r="G341" s="42">
        <v>2.2000000000000002</v>
      </c>
      <c r="H341">
        <f>IF(MONTH(calls[[#This Row],[Date of Call]])&lt;=6,YEAR(calls[[#This Row],[Date of Call]]),YEAR(calls[[#This Row],[Date of Call]])+1)</f>
        <v>2023</v>
      </c>
      <c r="I341" t="str">
        <f>TEXT(calls[[#This Row],[Date of Call]],"DDDD")</f>
        <v>Sunday</v>
      </c>
      <c r="J341" t="str" cm="1">
        <f t="array" ref="J341">_xlfn.IFS(calls[[#This Row],[Duration]]&lt;=10,"UNDER 10 MINS",calls[[#This Row],[Duration]]&lt;=30,"10 TO 30 MINS",calls[[#This Row],[Duration]]&lt;=60,"30 TO 60 MINS",calls[[#This Row],[Duration]]&lt;=120,"1 TO 2 HRS",TRUE,"MORE THAN 2 HRS")</f>
        <v>10 TO 30 MINS</v>
      </c>
      <c r="K341">
        <f>ROUND(calls[[#This Row],[Satisfaction Rating]],0)</f>
        <v>2</v>
      </c>
    </row>
    <row r="342" spans="1:11" x14ac:dyDescent="0.3">
      <c r="A342" s="41" t="s">
        <v>1393</v>
      </c>
      <c r="B342" s="10" t="s">
        <v>1040</v>
      </c>
      <c r="C342" s="10">
        <v>69</v>
      </c>
      <c r="D342" s="39" t="s">
        <v>1043</v>
      </c>
      <c r="E342" s="40">
        <v>45025</v>
      </c>
      <c r="F342" s="10">
        <v>132</v>
      </c>
      <c r="G342" s="42">
        <v>5</v>
      </c>
      <c r="H342">
        <f>IF(MONTH(calls[[#This Row],[Date of Call]])&lt;=6,YEAR(calls[[#This Row],[Date of Call]]),YEAR(calls[[#This Row],[Date of Call]])+1)</f>
        <v>2023</v>
      </c>
      <c r="I342" t="str">
        <f>TEXT(calls[[#This Row],[Date of Call]],"DDDD")</f>
        <v>Sunday</v>
      </c>
      <c r="J342" t="str" cm="1">
        <f t="array" ref="J342">_xlfn.IFS(calls[[#This Row],[Duration]]&lt;=10,"UNDER 10 MINS",calls[[#This Row],[Duration]]&lt;=30,"10 TO 30 MINS",calls[[#This Row],[Duration]]&lt;=60,"30 TO 60 MINS",calls[[#This Row],[Duration]]&lt;=120,"1 TO 2 HRS",TRUE,"MORE THAN 2 HRS")</f>
        <v>1 TO 2 HRS</v>
      </c>
      <c r="K342">
        <f>ROUND(calls[[#This Row],[Satisfaction Rating]],0)</f>
        <v>5</v>
      </c>
    </row>
    <row r="343" spans="1:11" x14ac:dyDescent="0.3">
      <c r="A343" s="41" t="s">
        <v>1394</v>
      </c>
      <c r="B343" s="10" t="s">
        <v>1071</v>
      </c>
      <c r="C343" s="10">
        <v>64</v>
      </c>
      <c r="D343" s="39" t="s">
        <v>1043</v>
      </c>
      <c r="E343" s="40">
        <v>45025</v>
      </c>
      <c r="F343" s="10">
        <v>80</v>
      </c>
      <c r="G343" s="42">
        <v>3.3</v>
      </c>
      <c r="H343">
        <f>IF(MONTH(calls[[#This Row],[Date of Call]])&lt;=6,YEAR(calls[[#This Row],[Date of Call]]),YEAR(calls[[#This Row],[Date of Call]])+1)</f>
        <v>2023</v>
      </c>
      <c r="I343" t="str">
        <f>TEXT(calls[[#This Row],[Date of Call]],"DDDD")</f>
        <v>Sunday</v>
      </c>
      <c r="J343" t="str" cm="1">
        <f t="array" ref="J343">_xlfn.IFS(calls[[#This Row],[Duration]]&lt;=10,"UNDER 10 MINS",calls[[#This Row],[Duration]]&lt;=30,"10 TO 30 MINS",calls[[#This Row],[Duration]]&lt;=60,"30 TO 60 MINS",calls[[#This Row],[Duration]]&lt;=120,"1 TO 2 HRS",TRUE,"MORE THAN 2 HRS")</f>
        <v>1 TO 2 HRS</v>
      </c>
      <c r="K343">
        <f>ROUND(calls[[#This Row],[Satisfaction Rating]],0)</f>
        <v>3</v>
      </c>
    </row>
    <row r="344" spans="1:11" x14ac:dyDescent="0.3">
      <c r="A344" s="41" t="s">
        <v>1395</v>
      </c>
      <c r="B344" s="10" t="s">
        <v>1062</v>
      </c>
      <c r="C344" s="10">
        <v>47</v>
      </c>
      <c r="D344" s="39" t="s">
        <v>1038</v>
      </c>
      <c r="E344" s="40">
        <v>45025</v>
      </c>
      <c r="F344" s="10">
        <v>132</v>
      </c>
      <c r="G344" s="42">
        <v>3.7</v>
      </c>
      <c r="H344">
        <f>IF(MONTH(calls[[#This Row],[Date of Call]])&lt;=6,YEAR(calls[[#This Row],[Date of Call]]),YEAR(calls[[#This Row],[Date of Call]])+1)</f>
        <v>2023</v>
      </c>
      <c r="I344" t="str">
        <f>TEXT(calls[[#This Row],[Date of Call]],"DDDD")</f>
        <v>Sunday</v>
      </c>
      <c r="J344" t="str" cm="1">
        <f t="array" ref="J344">_xlfn.IFS(calls[[#This Row],[Duration]]&lt;=10,"UNDER 10 MINS",calls[[#This Row],[Duration]]&lt;=30,"10 TO 30 MINS",calls[[#This Row],[Duration]]&lt;=60,"30 TO 60 MINS",calls[[#This Row],[Duration]]&lt;=120,"1 TO 2 HRS",TRUE,"MORE THAN 2 HRS")</f>
        <v>30 TO 60 MINS</v>
      </c>
      <c r="K344">
        <f>ROUND(calls[[#This Row],[Satisfaction Rating]],0)</f>
        <v>4</v>
      </c>
    </row>
    <row r="345" spans="1:11" x14ac:dyDescent="0.3">
      <c r="A345" s="41" t="s">
        <v>1396</v>
      </c>
      <c r="B345" s="10" t="s">
        <v>1042</v>
      </c>
      <c r="C345" s="10">
        <v>55</v>
      </c>
      <c r="D345" s="39" t="s">
        <v>1053</v>
      </c>
      <c r="E345" s="40">
        <v>45025</v>
      </c>
      <c r="F345" s="10">
        <v>27</v>
      </c>
      <c r="G345" s="42">
        <v>3.7</v>
      </c>
      <c r="H345">
        <f>IF(MONTH(calls[[#This Row],[Date of Call]])&lt;=6,YEAR(calls[[#This Row],[Date of Call]]),YEAR(calls[[#This Row],[Date of Call]])+1)</f>
        <v>2023</v>
      </c>
      <c r="I345" t="str">
        <f>TEXT(calls[[#This Row],[Date of Call]],"DDDD")</f>
        <v>Sunday</v>
      </c>
      <c r="J345" t="str" cm="1">
        <f t="array" ref="J345">_xlfn.IFS(calls[[#This Row],[Duration]]&lt;=10,"UNDER 10 MINS",calls[[#This Row],[Duration]]&lt;=30,"10 TO 30 MINS",calls[[#This Row],[Duration]]&lt;=60,"30 TO 60 MINS",calls[[#This Row],[Duration]]&lt;=120,"1 TO 2 HRS",TRUE,"MORE THAN 2 HRS")</f>
        <v>30 TO 60 MINS</v>
      </c>
      <c r="K345">
        <f>ROUND(calls[[#This Row],[Satisfaction Rating]],0)</f>
        <v>4</v>
      </c>
    </row>
    <row r="346" spans="1:11" x14ac:dyDescent="0.3">
      <c r="A346" s="41" t="s">
        <v>1397</v>
      </c>
      <c r="B346" s="10" t="s">
        <v>1056</v>
      </c>
      <c r="C346" s="10">
        <v>104</v>
      </c>
      <c r="D346" s="39" t="s">
        <v>1053</v>
      </c>
      <c r="E346" s="40">
        <v>45026</v>
      </c>
      <c r="F346" s="10">
        <v>68</v>
      </c>
      <c r="G346" s="42">
        <v>3.6</v>
      </c>
      <c r="H346">
        <f>IF(MONTH(calls[[#This Row],[Date of Call]])&lt;=6,YEAR(calls[[#This Row],[Date of Call]]),YEAR(calls[[#This Row],[Date of Call]])+1)</f>
        <v>2023</v>
      </c>
      <c r="I346" t="str">
        <f>TEXT(calls[[#This Row],[Date of Call]],"DDDD")</f>
        <v>Monday</v>
      </c>
      <c r="J346" t="str" cm="1">
        <f t="array" ref="J346">_xlfn.IFS(calls[[#This Row],[Duration]]&lt;=10,"UNDER 10 MINS",calls[[#This Row],[Duration]]&lt;=30,"10 TO 30 MINS",calls[[#This Row],[Duration]]&lt;=60,"30 TO 60 MINS",calls[[#This Row],[Duration]]&lt;=120,"1 TO 2 HRS",TRUE,"MORE THAN 2 HRS")</f>
        <v>1 TO 2 HRS</v>
      </c>
      <c r="K346">
        <f>ROUND(calls[[#This Row],[Satisfaction Rating]],0)</f>
        <v>4</v>
      </c>
    </row>
    <row r="347" spans="1:11" x14ac:dyDescent="0.3">
      <c r="A347" s="41" t="s">
        <v>1398</v>
      </c>
      <c r="B347" s="10" t="s">
        <v>1062</v>
      </c>
      <c r="C347" s="10">
        <v>116</v>
      </c>
      <c r="D347" s="39" t="s">
        <v>1043</v>
      </c>
      <c r="E347" s="40">
        <v>45026</v>
      </c>
      <c r="F347" s="10">
        <v>22</v>
      </c>
      <c r="G347" s="42">
        <v>4.7</v>
      </c>
      <c r="H347">
        <f>IF(MONTH(calls[[#This Row],[Date of Call]])&lt;=6,YEAR(calls[[#This Row],[Date of Call]]),YEAR(calls[[#This Row],[Date of Call]])+1)</f>
        <v>2023</v>
      </c>
      <c r="I347" t="str">
        <f>TEXT(calls[[#This Row],[Date of Call]],"DDDD")</f>
        <v>Monday</v>
      </c>
      <c r="J347" t="str" cm="1">
        <f t="array" ref="J347">_xlfn.IFS(calls[[#This Row],[Duration]]&lt;=10,"UNDER 10 MINS",calls[[#This Row],[Duration]]&lt;=30,"10 TO 30 MINS",calls[[#This Row],[Duration]]&lt;=60,"30 TO 60 MINS",calls[[#This Row],[Duration]]&lt;=120,"1 TO 2 HRS",TRUE,"MORE THAN 2 HRS")</f>
        <v>1 TO 2 HRS</v>
      </c>
      <c r="K347">
        <f>ROUND(calls[[#This Row],[Satisfaction Rating]],0)</f>
        <v>5</v>
      </c>
    </row>
    <row r="348" spans="1:11" x14ac:dyDescent="0.3">
      <c r="A348" s="41" t="s">
        <v>1399</v>
      </c>
      <c r="B348" s="10" t="s">
        <v>1076</v>
      </c>
      <c r="C348" s="10">
        <v>99</v>
      </c>
      <c r="D348" s="39" t="s">
        <v>1053</v>
      </c>
      <c r="E348" s="40">
        <v>45026</v>
      </c>
      <c r="F348" s="10">
        <v>42</v>
      </c>
      <c r="G348" s="42">
        <v>3.1</v>
      </c>
      <c r="H348">
        <f>IF(MONTH(calls[[#This Row],[Date of Call]])&lt;=6,YEAR(calls[[#This Row],[Date of Call]]),YEAR(calls[[#This Row],[Date of Call]])+1)</f>
        <v>2023</v>
      </c>
      <c r="I348" t="str">
        <f>TEXT(calls[[#This Row],[Date of Call]],"DDDD")</f>
        <v>Monday</v>
      </c>
      <c r="J348" t="str" cm="1">
        <f t="array" ref="J348">_xlfn.IFS(calls[[#This Row],[Duration]]&lt;=10,"UNDER 10 MINS",calls[[#This Row],[Duration]]&lt;=30,"10 TO 30 MINS",calls[[#This Row],[Duration]]&lt;=60,"30 TO 60 MINS",calls[[#This Row],[Duration]]&lt;=120,"1 TO 2 HRS",TRUE,"MORE THAN 2 HRS")</f>
        <v>1 TO 2 HRS</v>
      </c>
      <c r="K348">
        <f>ROUND(calls[[#This Row],[Satisfaction Rating]],0)</f>
        <v>3</v>
      </c>
    </row>
    <row r="349" spans="1:11" x14ac:dyDescent="0.3">
      <c r="A349" s="41" t="s">
        <v>1400</v>
      </c>
      <c r="B349" s="10" t="s">
        <v>1056</v>
      </c>
      <c r="C349" s="10">
        <v>84</v>
      </c>
      <c r="D349" s="39" t="s">
        <v>1053</v>
      </c>
      <c r="E349" s="40">
        <v>45027</v>
      </c>
      <c r="F349" s="10">
        <v>38</v>
      </c>
      <c r="G349" s="42">
        <v>3.3</v>
      </c>
      <c r="H349">
        <f>IF(MONTH(calls[[#This Row],[Date of Call]])&lt;=6,YEAR(calls[[#This Row],[Date of Call]]),YEAR(calls[[#This Row],[Date of Call]])+1)</f>
        <v>2023</v>
      </c>
      <c r="I349" t="str">
        <f>TEXT(calls[[#This Row],[Date of Call]],"DDDD")</f>
        <v>Tuesday</v>
      </c>
      <c r="J349" t="str" cm="1">
        <f t="array" ref="J349">_xlfn.IFS(calls[[#This Row],[Duration]]&lt;=10,"UNDER 10 MINS",calls[[#This Row],[Duration]]&lt;=30,"10 TO 30 MINS",calls[[#This Row],[Duration]]&lt;=60,"30 TO 60 MINS",calls[[#This Row],[Duration]]&lt;=120,"1 TO 2 HRS",TRUE,"MORE THAN 2 HRS")</f>
        <v>1 TO 2 HRS</v>
      </c>
      <c r="K349">
        <f>ROUND(calls[[#This Row],[Satisfaction Rating]],0)</f>
        <v>3</v>
      </c>
    </row>
    <row r="350" spans="1:11" x14ac:dyDescent="0.3">
      <c r="A350" s="41" t="s">
        <v>1401</v>
      </c>
      <c r="B350" s="10" t="s">
        <v>1079</v>
      </c>
      <c r="C350" s="10">
        <v>159</v>
      </c>
      <c r="D350" s="39" t="s">
        <v>1053</v>
      </c>
      <c r="E350" s="40">
        <v>45027</v>
      </c>
      <c r="F350" s="10">
        <v>42</v>
      </c>
      <c r="G350" s="42">
        <v>4.5</v>
      </c>
      <c r="H350">
        <f>IF(MONTH(calls[[#This Row],[Date of Call]])&lt;=6,YEAR(calls[[#This Row],[Date of Call]]),YEAR(calls[[#This Row],[Date of Call]])+1)</f>
        <v>2023</v>
      </c>
      <c r="I350" t="str">
        <f>TEXT(calls[[#This Row],[Date of Call]],"DDDD")</f>
        <v>Tuesday</v>
      </c>
      <c r="J350" t="str" cm="1">
        <f t="array" ref="J350">_xlfn.IFS(calls[[#This Row],[Duration]]&lt;=10,"UNDER 10 MINS",calls[[#This Row],[Duration]]&lt;=30,"10 TO 30 MINS",calls[[#This Row],[Duration]]&lt;=60,"30 TO 60 MINS",calls[[#This Row],[Duration]]&lt;=120,"1 TO 2 HRS",TRUE,"MORE THAN 2 HRS")</f>
        <v>MORE THAN 2 HRS</v>
      </c>
      <c r="K350">
        <f>ROUND(calls[[#This Row],[Satisfaction Rating]],0)</f>
        <v>5</v>
      </c>
    </row>
    <row r="351" spans="1:11" x14ac:dyDescent="0.3">
      <c r="A351" s="41" t="s">
        <v>1402</v>
      </c>
      <c r="B351" s="10" t="s">
        <v>1051</v>
      </c>
      <c r="C351" s="10">
        <v>25</v>
      </c>
      <c r="D351" s="39" t="s">
        <v>1038</v>
      </c>
      <c r="E351" s="40">
        <v>45027</v>
      </c>
      <c r="F351" s="10">
        <v>75</v>
      </c>
      <c r="G351" s="42">
        <v>3.9</v>
      </c>
      <c r="H351">
        <f>IF(MONTH(calls[[#This Row],[Date of Call]])&lt;=6,YEAR(calls[[#This Row],[Date of Call]]),YEAR(calls[[#This Row],[Date of Call]])+1)</f>
        <v>2023</v>
      </c>
      <c r="I351" t="str">
        <f>TEXT(calls[[#This Row],[Date of Call]],"DDDD")</f>
        <v>Tuesday</v>
      </c>
      <c r="J351" t="str" cm="1">
        <f t="array" ref="J351">_xlfn.IFS(calls[[#This Row],[Duration]]&lt;=10,"UNDER 10 MINS",calls[[#This Row],[Duration]]&lt;=30,"10 TO 30 MINS",calls[[#This Row],[Duration]]&lt;=60,"30 TO 60 MINS",calls[[#This Row],[Duration]]&lt;=120,"1 TO 2 HRS",TRUE,"MORE THAN 2 HRS")</f>
        <v>10 TO 30 MINS</v>
      </c>
      <c r="K351">
        <f>ROUND(calls[[#This Row],[Satisfaction Rating]],0)</f>
        <v>4</v>
      </c>
    </row>
    <row r="352" spans="1:11" x14ac:dyDescent="0.3">
      <c r="A352" s="41" t="s">
        <v>1403</v>
      </c>
      <c r="B352" s="10" t="s">
        <v>1079</v>
      </c>
      <c r="C352" s="10">
        <v>53</v>
      </c>
      <c r="D352" s="39" t="s">
        <v>1057</v>
      </c>
      <c r="E352" s="40">
        <v>45028</v>
      </c>
      <c r="F352" s="10">
        <v>23</v>
      </c>
      <c r="G352" s="42">
        <v>4.9000000000000004</v>
      </c>
      <c r="H352">
        <f>IF(MONTH(calls[[#This Row],[Date of Call]])&lt;=6,YEAR(calls[[#This Row],[Date of Call]]),YEAR(calls[[#This Row],[Date of Call]])+1)</f>
        <v>2023</v>
      </c>
      <c r="I352" t="str">
        <f>TEXT(calls[[#This Row],[Date of Call]],"DDDD")</f>
        <v>Wednesday</v>
      </c>
      <c r="J352" t="str" cm="1">
        <f t="array" ref="J352">_xlfn.IFS(calls[[#This Row],[Duration]]&lt;=10,"UNDER 10 MINS",calls[[#This Row],[Duration]]&lt;=30,"10 TO 30 MINS",calls[[#This Row],[Duration]]&lt;=60,"30 TO 60 MINS",calls[[#This Row],[Duration]]&lt;=120,"1 TO 2 HRS",TRUE,"MORE THAN 2 HRS")</f>
        <v>30 TO 60 MINS</v>
      </c>
      <c r="K352">
        <f>ROUND(calls[[#This Row],[Satisfaction Rating]],0)</f>
        <v>5</v>
      </c>
    </row>
    <row r="353" spans="1:11" x14ac:dyDescent="0.3">
      <c r="A353" s="41" t="s">
        <v>1404</v>
      </c>
      <c r="B353" s="10" t="s">
        <v>1079</v>
      </c>
      <c r="C353" s="10">
        <v>89</v>
      </c>
      <c r="D353" s="39" t="s">
        <v>1038</v>
      </c>
      <c r="E353" s="40">
        <v>45028</v>
      </c>
      <c r="F353" s="10">
        <v>200</v>
      </c>
      <c r="G353" s="42">
        <v>4.8</v>
      </c>
      <c r="H353">
        <f>IF(MONTH(calls[[#This Row],[Date of Call]])&lt;=6,YEAR(calls[[#This Row],[Date of Call]]),YEAR(calls[[#This Row],[Date of Call]])+1)</f>
        <v>2023</v>
      </c>
      <c r="I353" t="str">
        <f>TEXT(calls[[#This Row],[Date of Call]],"DDDD")</f>
        <v>Wednesday</v>
      </c>
      <c r="J353" t="str" cm="1">
        <f t="array" ref="J353">_xlfn.IFS(calls[[#This Row],[Duration]]&lt;=10,"UNDER 10 MINS",calls[[#This Row],[Duration]]&lt;=30,"10 TO 30 MINS",calls[[#This Row],[Duration]]&lt;=60,"30 TO 60 MINS",calls[[#This Row],[Duration]]&lt;=120,"1 TO 2 HRS",TRUE,"MORE THAN 2 HRS")</f>
        <v>1 TO 2 HRS</v>
      </c>
      <c r="K353">
        <f>ROUND(calls[[#This Row],[Satisfaction Rating]],0)</f>
        <v>5</v>
      </c>
    </row>
    <row r="354" spans="1:11" x14ac:dyDescent="0.3">
      <c r="A354" s="41" t="s">
        <v>1405</v>
      </c>
      <c r="B354" s="10" t="s">
        <v>1045</v>
      </c>
      <c r="C354" s="10">
        <v>73</v>
      </c>
      <c r="D354" s="39" t="s">
        <v>1043</v>
      </c>
      <c r="E354" s="40">
        <v>45029</v>
      </c>
      <c r="F354" s="10">
        <v>45</v>
      </c>
      <c r="G354" s="42">
        <v>3.6</v>
      </c>
      <c r="H354">
        <f>IF(MONTH(calls[[#This Row],[Date of Call]])&lt;=6,YEAR(calls[[#This Row],[Date of Call]]),YEAR(calls[[#This Row],[Date of Call]])+1)</f>
        <v>2023</v>
      </c>
      <c r="I354" t="str">
        <f>TEXT(calls[[#This Row],[Date of Call]],"DDDD")</f>
        <v>Thursday</v>
      </c>
      <c r="J354" t="str" cm="1">
        <f t="array" ref="J354">_xlfn.IFS(calls[[#This Row],[Duration]]&lt;=10,"UNDER 10 MINS",calls[[#This Row],[Duration]]&lt;=30,"10 TO 30 MINS",calls[[#This Row],[Duration]]&lt;=60,"30 TO 60 MINS",calls[[#This Row],[Duration]]&lt;=120,"1 TO 2 HRS",TRUE,"MORE THAN 2 HRS")</f>
        <v>1 TO 2 HRS</v>
      </c>
      <c r="K354">
        <f>ROUND(calls[[#This Row],[Satisfaction Rating]],0)</f>
        <v>4</v>
      </c>
    </row>
    <row r="355" spans="1:11" x14ac:dyDescent="0.3">
      <c r="A355" s="41" t="s">
        <v>1406</v>
      </c>
      <c r="B355" s="10" t="s">
        <v>1076</v>
      </c>
      <c r="C355" s="10">
        <v>50</v>
      </c>
      <c r="D355" s="39" t="s">
        <v>1043</v>
      </c>
      <c r="E355" s="40">
        <v>45029</v>
      </c>
      <c r="F355" s="10">
        <v>105</v>
      </c>
      <c r="G355" s="42">
        <v>3.5</v>
      </c>
      <c r="H355">
        <f>IF(MONTH(calls[[#This Row],[Date of Call]])&lt;=6,YEAR(calls[[#This Row],[Date of Call]]),YEAR(calls[[#This Row],[Date of Call]])+1)</f>
        <v>2023</v>
      </c>
      <c r="I355" t="str">
        <f>TEXT(calls[[#This Row],[Date of Call]],"DDDD")</f>
        <v>Thursday</v>
      </c>
      <c r="J355" t="str" cm="1">
        <f t="array" ref="J355">_xlfn.IFS(calls[[#This Row],[Duration]]&lt;=10,"UNDER 10 MINS",calls[[#This Row],[Duration]]&lt;=30,"10 TO 30 MINS",calls[[#This Row],[Duration]]&lt;=60,"30 TO 60 MINS",calls[[#This Row],[Duration]]&lt;=120,"1 TO 2 HRS",TRUE,"MORE THAN 2 HRS")</f>
        <v>30 TO 60 MINS</v>
      </c>
      <c r="K355">
        <f>ROUND(calls[[#This Row],[Satisfaction Rating]],0)</f>
        <v>4</v>
      </c>
    </row>
    <row r="356" spans="1:11" x14ac:dyDescent="0.3">
      <c r="A356" s="41" t="s">
        <v>1407</v>
      </c>
      <c r="B356" s="10" t="s">
        <v>1047</v>
      </c>
      <c r="C356" s="10">
        <v>98</v>
      </c>
      <c r="D356" s="39" t="s">
        <v>1043</v>
      </c>
      <c r="E356" s="40">
        <v>45029</v>
      </c>
      <c r="F356" s="10">
        <v>22</v>
      </c>
      <c r="G356" s="42">
        <v>3.8</v>
      </c>
      <c r="H356">
        <f>IF(MONTH(calls[[#This Row],[Date of Call]])&lt;=6,YEAR(calls[[#This Row],[Date of Call]]),YEAR(calls[[#This Row],[Date of Call]])+1)</f>
        <v>2023</v>
      </c>
      <c r="I356" t="str">
        <f>TEXT(calls[[#This Row],[Date of Call]],"DDDD")</f>
        <v>Thursday</v>
      </c>
      <c r="J356" t="str" cm="1">
        <f t="array" ref="J356">_xlfn.IFS(calls[[#This Row],[Duration]]&lt;=10,"UNDER 10 MINS",calls[[#This Row],[Duration]]&lt;=30,"10 TO 30 MINS",calls[[#This Row],[Duration]]&lt;=60,"30 TO 60 MINS",calls[[#This Row],[Duration]]&lt;=120,"1 TO 2 HRS",TRUE,"MORE THAN 2 HRS")</f>
        <v>1 TO 2 HRS</v>
      </c>
      <c r="K356">
        <f>ROUND(calls[[#This Row],[Satisfaction Rating]],0)</f>
        <v>4</v>
      </c>
    </row>
    <row r="357" spans="1:11" x14ac:dyDescent="0.3">
      <c r="A357" s="41" t="s">
        <v>1408</v>
      </c>
      <c r="B357" s="10" t="s">
        <v>1060</v>
      </c>
      <c r="C357" s="10">
        <v>114</v>
      </c>
      <c r="D357" s="39" t="s">
        <v>1053</v>
      </c>
      <c r="E357" s="40">
        <v>45030</v>
      </c>
      <c r="F357" s="10">
        <v>126</v>
      </c>
      <c r="G357" s="42">
        <v>4.4000000000000004</v>
      </c>
      <c r="H357">
        <f>IF(MONTH(calls[[#This Row],[Date of Call]])&lt;=6,YEAR(calls[[#This Row],[Date of Call]]),YEAR(calls[[#This Row],[Date of Call]])+1)</f>
        <v>2023</v>
      </c>
      <c r="I357" t="str">
        <f>TEXT(calls[[#This Row],[Date of Call]],"DDDD")</f>
        <v>Friday</v>
      </c>
      <c r="J357" t="str" cm="1">
        <f t="array" ref="J357">_xlfn.IFS(calls[[#This Row],[Duration]]&lt;=10,"UNDER 10 MINS",calls[[#This Row],[Duration]]&lt;=30,"10 TO 30 MINS",calls[[#This Row],[Duration]]&lt;=60,"30 TO 60 MINS",calls[[#This Row],[Duration]]&lt;=120,"1 TO 2 HRS",TRUE,"MORE THAN 2 HRS")</f>
        <v>1 TO 2 HRS</v>
      </c>
      <c r="K357">
        <f>ROUND(calls[[#This Row],[Satisfaction Rating]],0)</f>
        <v>4</v>
      </c>
    </row>
    <row r="358" spans="1:11" x14ac:dyDescent="0.3">
      <c r="A358" s="41" t="s">
        <v>1409</v>
      </c>
      <c r="B358" s="10" t="s">
        <v>1071</v>
      </c>
      <c r="C358" s="10">
        <v>67</v>
      </c>
      <c r="D358" s="39" t="s">
        <v>1053</v>
      </c>
      <c r="E358" s="40">
        <v>45030</v>
      </c>
      <c r="F358" s="10">
        <v>35</v>
      </c>
      <c r="G358" s="42">
        <v>3</v>
      </c>
      <c r="H358">
        <f>IF(MONTH(calls[[#This Row],[Date of Call]])&lt;=6,YEAR(calls[[#This Row],[Date of Call]]),YEAR(calls[[#This Row],[Date of Call]])+1)</f>
        <v>2023</v>
      </c>
      <c r="I358" t="str">
        <f>TEXT(calls[[#This Row],[Date of Call]],"DDDD")</f>
        <v>Friday</v>
      </c>
      <c r="J358" t="str" cm="1">
        <f t="array" ref="J358">_xlfn.IFS(calls[[#This Row],[Duration]]&lt;=10,"UNDER 10 MINS",calls[[#This Row],[Duration]]&lt;=30,"10 TO 30 MINS",calls[[#This Row],[Duration]]&lt;=60,"30 TO 60 MINS",calls[[#This Row],[Duration]]&lt;=120,"1 TO 2 HRS",TRUE,"MORE THAN 2 HRS")</f>
        <v>1 TO 2 HRS</v>
      </c>
      <c r="K358">
        <f>ROUND(calls[[#This Row],[Satisfaction Rating]],0)</f>
        <v>3</v>
      </c>
    </row>
    <row r="359" spans="1:11" x14ac:dyDescent="0.3">
      <c r="A359" s="41" t="s">
        <v>1410</v>
      </c>
      <c r="B359" s="10" t="s">
        <v>1042</v>
      </c>
      <c r="C359" s="10">
        <v>91</v>
      </c>
      <c r="D359" s="39" t="s">
        <v>1043</v>
      </c>
      <c r="E359" s="40">
        <v>45030</v>
      </c>
      <c r="F359" s="10">
        <v>84</v>
      </c>
      <c r="G359" s="42">
        <v>4.5</v>
      </c>
      <c r="H359">
        <f>IF(MONTH(calls[[#This Row],[Date of Call]])&lt;=6,YEAR(calls[[#This Row],[Date of Call]]),YEAR(calls[[#This Row],[Date of Call]])+1)</f>
        <v>2023</v>
      </c>
      <c r="I359" t="str">
        <f>TEXT(calls[[#This Row],[Date of Call]],"DDDD")</f>
        <v>Friday</v>
      </c>
      <c r="J359" t="str" cm="1">
        <f t="array" ref="J359">_xlfn.IFS(calls[[#This Row],[Duration]]&lt;=10,"UNDER 10 MINS",calls[[#This Row],[Duration]]&lt;=30,"10 TO 30 MINS",calls[[#This Row],[Duration]]&lt;=60,"30 TO 60 MINS",calls[[#This Row],[Duration]]&lt;=120,"1 TO 2 HRS",TRUE,"MORE THAN 2 HRS")</f>
        <v>1 TO 2 HRS</v>
      </c>
      <c r="K359">
        <f>ROUND(calls[[#This Row],[Satisfaction Rating]],0)</f>
        <v>5</v>
      </c>
    </row>
    <row r="360" spans="1:11" x14ac:dyDescent="0.3">
      <c r="A360" s="41" t="s">
        <v>1411</v>
      </c>
      <c r="B360" s="10" t="s">
        <v>1109</v>
      </c>
      <c r="C360" s="10">
        <v>67</v>
      </c>
      <c r="D360" s="39" t="s">
        <v>1043</v>
      </c>
      <c r="E360" s="40">
        <v>45031</v>
      </c>
      <c r="F360" s="10">
        <v>172</v>
      </c>
      <c r="G360" s="42">
        <v>4.5</v>
      </c>
      <c r="H360">
        <f>IF(MONTH(calls[[#This Row],[Date of Call]])&lt;=6,YEAR(calls[[#This Row],[Date of Call]]),YEAR(calls[[#This Row],[Date of Call]])+1)</f>
        <v>2023</v>
      </c>
      <c r="I360" t="str">
        <f>TEXT(calls[[#This Row],[Date of Call]],"DDDD")</f>
        <v>Saturday</v>
      </c>
      <c r="J360" t="str" cm="1">
        <f t="array" ref="J360">_xlfn.IFS(calls[[#This Row],[Duration]]&lt;=10,"UNDER 10 MINS",calls[[#This Row],[Duration]]&lt;=30,"10 TO 30 MINS",calls[[#This Row],[Duration]]&lt;=60,"30 TO 60 MINS",calls[[#This Row],[Duration]]&lt;=120,"1 TO 2 HRS",TRUE,"MORE THAN 2 HRS")</f>
        <v>1 TO 2 HRS</v>
      </c>
      <c r="K360">
        <f>ROUND(calls[[#This Row],[Satisfaction Rating]],0)</f>
        <v>5</v>
      </c>
    </row>
    <row r="361" spans="1:11" x14ac:dyDescent="0.3">
      <c r="A361" s="41" t="s">
        <v>1412</v>
      </c>
      <c r="B361" s="10" t="s">
        <v>1060</v>
      </c>
      <c r="C361" s="10">
        <v>139</v>
      </c>
      <c r="D361" s="39" t="s">
        <v>1038</v>
      </c>
      <c r="E361" s="40">
        <v>45031</v>
      </c>
      <c r="F361" s="10">
        <v>114</v>
      </c>
      <c r="G361" s="42">
        <v>4</v>
      </c>
      <c r="H361">
        <f>IF(MONTH(calls[[#This Row],[Date of Call]])&lt;=6,YEAR(calls[[#This Row],[Date of Call]]),YEAR(calls[[#This Row],[Date of Call]])+1)</f>
        <v>2023</v>
      </c>
      <c r="I361" t="str">
        <f>TEXT(calls[[#This Row],[Date of Call]],"DDDD")</f>
        <v>Saturday</v>
      </c>
      <c r="J361" t="str" cm="1">
        <f t="array" ref="J361">_xlfn.IFS(calls[[#This Row],[Duration]]&lt;=10,"UNDER 10 MINS",calls[[#This Row],[Duration]]&lt;=30,"10 TO 30 MINS",calls[[#This Row],[Duration]]&lt;=60,"30 TO 60 MINS",calls[[#This Row],[Duration]]&lt;=120,"1 TO 2 HRS",TRUE,"MORE THAN 2 HRS")</f>
        <v>MORE THAN 2 HRS</v>
      </c>
      <c r="K361">
        <f>ROUND(calls[[#This Row],[Satisfaction Rating]],0)</f>
        <v>4</v>
      </c>
    </row>
    <row r="362" spans="1:11" x14ac:dyDescent="0.3">
      <c r="A362" s="41" t="s">
        <v>1413</v>
      </c>
      <c r="B362" s="10" t="s">
        <v>1109</v>
      </c>
      <c r="C362" s="10">
        <v>102</v>
      </c>
      <c r="D362" s="39" t="s">
        <v>1038</v>
      </c>
      <c r="E362" s="40">
        <v>45031</v>
      </c>
      <c r="F362" s="10">
        <v>60</v>
      </c>
      <c r="G362" s="42">
        <v>3.8</v>
      </c>
      <c r="H362">
        <f>IF(MONTH(calls[[#This Row],[Date of Call]])&lt;=6,YEAR(calls[[#This Row],[Date of Call]]),YEAR(calls[[#This Row],[Date of Call]])+1)</f>
        <v>2023</v>
      </c>
      <c r="I362" t="str">
        <f>TEXT(calls[[#This Row],[Date of Call]],"DDDD")</f>
        <v>Saturday</v>
      </c>
      <c r="J362" t="str" cm="1">
        <f t="array" ref="J362">_xlfn.IFS(calls[[#This Row],[Duration]]&lt;=10,"UNDER 10 MINS",calls[[#This Row],[Duration]]&lt;=30,"10 TO 30 MINS",calls[[#This Row],[Duration]]&lt;=60,"30 TO 60 MINS",calls[[#This Row],[Duration]]&lt;=120,"1 TO 2 HRS",TRUE,"MORE THAN 2 HRS")</f>
        <v>1 TO 2 HRS</v>
      </c>
      <c r="K362">
        <f>ROUND(calls[[#This Row],[Satisfaction Rating]],0)</f>
        <v>4</v>
      </c>
    </row>
    <row r="363" spans="1:11" x14ac:dyDescent="0.3">
      <c r="A363" s="41" t="s">
        <v>1414</v>
      </c>
      <c r="B363" s="10" t="s">
        <v>1089</v>
      </c>
      <c r="C363" s="10">
        <v>108</v>
      </c>
      <c r="D363" s="39" t="s">
        <v>1048</v>
      </c>
      <c r="E363" s="40">
        <v>45031</v>
      </c>
      <c r="F363" s="10">
        <v>26</v>
      </c>
      <c r="G363" s="42">
        <v>3.3</v>
      </c>
      <c r="H363">
        <f>IF(MONTH(calls[[#This Row],[Date of Call]])&lt;=6,YEAR(calls[[#This Row],[Date of Call]]),YEAR(calls[[#This Row],[Date of Call]])+1)</f>
        <v>2023</v>
      </c>
      <c r="I363" t="str">
        <f>TEXT(calls[[#This Row],[Date of Call]],"DDDD")</f>
        <v>Saturday</v>
      </c>
      <c r="J363" t="str" cm="1">
        <f t="array" ref="J363">_xlfn.IFS(calls[[#This Row],[Duration]]&lt;=10,"UNDER 10 MINS",calls[[#This Row],[Duration]]&lt;=30,"10 TO 30 MINS",calls[[#This Row],[Duration]]&lt;=60,"30 TO 60 MINS",calls[[#This Row],[Duration]]&lt;=120,"1 TO 2 HRS",TRUE,"MORE THAN 2 HRS")</f>
        <v>1 TO 2 HRS</v>
      </c>
      <c r="K363">
        <f>ROUND(calls[[#This Row],[Satisfaction Rating]],0)</f>
        <v>3</v>
      </c>
    </row>
    <row r="364" spans="1:11" x14ac:dyDescent="0.3">
      <c r="A364" s="41" t="s">
        <v>1415</v>
      </c>
      <c r="B364" s="10" t="s">
        <v>1051</v>
      </c>
      <c r="C364" s="10">
        <v>66</v>
      </c>
      <c r="D364" s="39" t="s">
        <v>1043</v>
      </c>
      <c r="E364" s="40">
        <v>45031</v>
      </c>
      <c r="F364" s="10">
        <v>210</v>
      </c>
      <c r="G364" s="42">
        <v>4.3</v>
      </c>
      <c r="H364">
        <f>IF(MONTH(calls[[#This Row],[Date of Call]])&lt;=6,YEAR(calls[[#This Row],[Date of Call]]),YEAR(calls[[#This Row],[Date of Call]])+1)</f>
        <v>2023</v>
      </c>
      <c r="I364" t="str">
        <f>TEXT(calls[[#This Row],[Date of Call]],"DDDD")</f>
        <v>Saturday</v>
      </c>
      <c r="J364" t="str" cm="1">
        <f t="array" ref="J364">_xlfn.IFS(calls[[#This Row],[Duration]]&lt;=10,"UNDER 10 MINS",calls[[#This Row],[Duration]]&lt;=30,"10 TO 30 MINS",calls[[#This Row],[Duration]]&lt;=60,"30 TO 60 MINS",calls[[#This Row],[Duration]]&lt;=120,"1 TO 2 HRS",TRUE,"MORE THAN 2 HRS")</f>
        <v>1 TO 2 HRS</v>
      </c>
      <c r="K364">
        <f>ROUND(calls[[#This Row],[Satisfaction Rating]],0)</f>
        <v>4</v>
      </c>
    </row>
    <row r="365" spans="1:11" x14ac:dyDescent="0.3">
      <c r="A365" s="41" t="s">
        <v>1416</v>
      </c>
      <c r="B365" s="10" t="s">
        <v>1068</v>
      </c>
      <c r="C365" s="10">
        <v>85</v>
      </c>
      <c r="D365" s="39" t="s">
        <v>1038</v>
      </c>
      <c r="E365" s="40">
        <v>45031</v>
      </c>
      <c r="F365" s="10">
        <v>129</v>
      </c>
      <c r="G365" s="42">
        <v>4.2</v>
      </c>
      <c r="H365">
        <f>IF(MONTH(calls[[#This Row],[Date of Call]])&lt;=6,YEAR(calls[[#This Row],[Date of Call]]),YEAR(calls[[#This Row],[Date of Call]])+1)</f>
        <v>2023</v>
      </c>
      <c r="I365" t="str">
        <f>TEXT(calls[[#This Row],[Date of Call]],"DDDD")</f>
        <v>Saturday</v>
      </c>
      <c r="J365" t="str" cm="1">
        <f t="array" ref="J365">_xlfn.IFS(calls[[#This Row],[Duration]]&lt;=10,"UNDER 10 MINS",calls[[#This Row],[Duration]]&lt;=30,"10 TO 30 MINS",calls[[#This Row],[Duration]]&lt;=60,"30 TO 60 MINS",calls[[#This Row],[Duration]]&lt;=120,"1 TO 2 HRS",TRUE,"MORE THAN 2 HRS")</f>
        <v>1 TO 2 HRS</v>
      </c>
      <c r="K365">
        <f>ROUND(calls[[#This Row],[Satisfaction Rating]],0)</f>
        <v>4</v>
      </c>
    </row>
    <row r="366" spans="1:11" x14ac:dyDescent="0.3">
      <c r="A366" s="41" t="s">
        <v>1417</v>
      </c>
      <c r="B366" s="10" t="s">
        <v>1071</v>
      </c>
      <c r="C366" s="10">
        <v>55</v>
      </c>
      <c r="D366" s="39" t="s">
        <v>1048</v>
      </c>
      <c r="E366" s="40">
        <v>45031</v>
      </c>
      <c r="F366" s="10">
        <v>215</v>
      </c>
      <c r="G366" s="42">
        <v>4.3</v>
      </c>
      <c r="H366">
        <f>IF(MONTH(calls[[#This Row],[Date of Call]])&lt;=6,YEAR(calls[[#This Row],[Date of Call]]),YEAR(calls[[#This Row],[Date of Call]])+1)</f>
        <v>2023</v>
      </c>
      <c r="I366" t="str">
        <f>TEXT(calls[[#This Row],[Date of Call]],"DDDD")</f>
        <v>Saturday</v>
      </c>
      <c r="J366" t="str" cm="1">
        <f t="array" ref="J366">_xlfn.IFS(calls[[#This Row],[Duration]]&lt;=10,"UNDER 10 MINS",calls[[#This Row],[Duration]]&lt;=30,"10 TO 30 MINS",calls[[#This Row],[Duration]]&lt;=60,"30 TO 60 MINS",calls[[#This Row],[Duration]]&lt;=120,"1 TO 2 HRS",TRUE,"MORE THAN 2 HRS")</f>
        <v>30 TO 60 MINS</v>
      </c>
      <c r="K366">
        <f>ROUND(calls[[#This Row],[Satisfaction Rating]],0)</f>
        <v>4</v>
      </c>
    </row>
    <row r="367" spans="1:11" x14ac:dyDescent="0.3">
      <c r="A367" s="41" t="s">
        <v>1418</v>
      </c>
      <c r="B367" s="10" t="s">
        <v>1089</v>
      </c>
      <c r="C367" s="10">
        <v>17</v>
      </c>
      <c r="D367" s="39" t="s">
        <v>1057</v>
      </c>
      <c r="E367" s="40">
        <v>45031</v>
      </c>
      <c r="F367" s="10">
        <v>69</v>
      </c>
      <c r="G367" s="42">
        <v>4.5999999999999996</v>
      </c>
      <c r="H367">
        <f>IF(MONTH(calls[[#This Row],[Date of Call]])&lt;=6,YEAR(calls[[#This Row],[Date of Call]]),YEAR(calls[[#This Row],[Date of Call]])+1)</f>
        <v>2023</v>
      </c>
      <c r="I367" t="str">
        <f>TEXT(calls[[#This Row],[Date of Call]],"DDDD")</f>
        <v>Saturday</v>
      </c>
      <c r="J367" t="str" cm="1">
        <f t="array" ref="J367">_xlfn.IFS(calls[[#This Row],[Duration]]&lt;=10,"UNDER 10 MINS",calls[[#This Row],[Duration]]&lt;=30,"10 TO 30 MINS",calls[[#This Row],[Duration]]&lt;=60,"30 TO 60 MINS",calls[[#This Row],[Duration]]&lt;=120,"1 TO 2 HRS",TRUE,"MORE THAN 2 HRS")</f>
        <v>10 TO 30 MINS</v>
      </c>
      <c r="K367">
        <f>ROUND(calls[[#This Row],[Satisfaction Rating]],0)</f>
        <v>5</v>
      </c>
    </row>
    <row r="368" spans="1:11" x14ac:dyDescent="0.3">
      <c r="A368" s="41" t="s">
        <v>1419</v>
      </c>
      <c r="B368" s="10" t="s">
        <v>1071</v>
      </c>
      <c r="C368" s="10">
        <v>128</v>
      </c>
      <c r="D368" s="39" t="s">
        <v>1057</v>
      </c>
      <c r="E368" s="40">
        <v>45031</v>
      </c>
      <c r="F368" s="10">
        <v>140</v>
      </c>
      <c r="G368" s="42">
        <v>3</v>
      </c>
      <c r="H368">
        <f>IF(MONTH(calls[[#This Row],[Date of Call]])&lt;=6,YEAR(calls[[#This Row],[Date of Call]]),YEAR(calls[[#This Row],[Date of Call]])+1)</f>
        <v>2023</v>
      </c>
      <c r="I368" t="str">
        <f>TEXT(calls[[#This Row],[Date of Call]],"DDDD")</f>
        <v>Saturday</v>
      </c>
      <c r="J368" t="str" cm="1">
        <f t="array" ref="J368">_xlfn.IFS(calls[[#This Row],[Duration]]&lt;=10,"UNDER 10 MINS",calls[[#This Row],[Duration]]&lt;=30,"10 TO 30 MINS",calls[[#This Row],[Duration]]&lt;=60,"30 TO 60 MINS",calls[[#This Row],[Duration]]&lt;=120,"1 TO 2 HRS",TRUE,"MORE THAN 2 HRS")</f>
        <v>MORE THAN 2 HRS</v>
      </c>
      <c r="K368">
        <f>ROUND(calls[[#This Row],[Satisfaction Rating]],0)</f>
        <v>3</v>
      </c>
    </row>
    <row r="369" spans="1:11" x14ac:dyDescent="0.3">
      <c r="A369" s="41" t="s">
        <v>1420</v>
      </c>
      <c r="B369" s="10" t="s">
        <v>1076</v>
      </c>
      <c r="C369" s="10">
        <v>45</v>
      </c>
      <c r="D369" s="39" t="s">
        <v>1048</v>
      </c>
      <c r="E369" s="40">
        <v>45032</v>
      </c>
      <c r="F369" s="10">
        <v>156</v>
      </c>
      <c r="G369" s="42">
        <v>2.7</v>
      </c>
      <c r="H369">
        <f>IF(MONTH(calls[[#This Row],[Date of Call]])&lt;=6,YEAR(calls[[#This Row],[Date of Call]]),YEAR(calls[[#This Row],[Date of Call]])+1)</f>
        <v>2023</v>
      </c>
      <c r="I369" t="str">
        <f>TEXT(calls[[#This Row],[Date of Call]],"DDDD")</f>
        <v>Sunday</v>
      </c>
      <c r="J369" t="str" cm="1">
        <f t="array" ref="J369">_xlfn.IFS(calls[[#This Row],[Duration]]&lt;=10,"UNDER 10 MINS",calls[[#This Row],[Duration]]&lt;=30,"10 TO 30 MINS",calls[[#This Row],[Duration]]&lt;=60,"30 TO 60 MINS",calls[[#This Row],[Duration]]&lt;=120,"1 TO 2 HRS",TRUE,"MORE THAN 2 HRS")</f>
        <v>30 TO 60 MINS</v>
      </c>
      <c r="K369">
        <f>ROUND(calls[[#This Row],[Satisfaction Rating]],0)</f>
        <v>3</v>
      </c>
    </row>
    <row r="370" spans="1:11" x14ac:dyDescent="0.3">
      <c r="A370" s="41" t="s">
        <v>1421</v>
      </c>
      <c r="B370" s="10" t="s">
        <v>1089</v>
      </c>
      <c r="C370" s="10">
        <v>41</v>
      </c>
      <c r="D370" s="39" t="s">
        <v>1057</v>
      </c>
      <c r="E370" s="40">
        <v>45032</v>
      </c>
      <c r="F370" s="10">
        <v>164</v>
      </c>
      <c r="G370" s="42">
        <v>3.1</v>
      </c>
      <c r="H370">
        <f>IF(MONTH(calls[[#This Row],[Date of Call]])&lt;=6,YEAR(calls[[#This Row],[Date of Call]]),YEAR(calls[[#This Row],[Date of Call]])+1)</f>
        <v>2023</v>
      </c>
      <c r="I370" t="str">
        <f>TEXT(calls[[#This Row],[Date of Call]],"DDDD")</f>
        <v>Sunday</v>
      </c>
      <c r="J370" t="str" cm="1">
        <f t="array" ref="J370">_xlfn.IFS(calls[[#This Row],[Duration]]&lt;=10,"UNDER 10 MINS",calls[[#This Row],[Duration]]&lt;=30,"10 TO 30 MINS",calls[[#This Row],[Duration]]&lt;=60,"30 TO 60 MINS",calls[[#This Row],[Duration]]&lt;=120,"1 TO 2 HRS",TRUE,"MORE THAN 2 HRS")</f>
        <v>30 TO 60 MINS</v>
      </c>
      <c r="K370">
        <f>ROUND(calls[[#This Row],[Satisfaction Rating]],0)</f>
        <v>3</v>
      </c>
    </row>
    <row r="371" spans="1:11" x14ac:dyDescent="0.3">
      <c r="A371" s="41" t="s">
        <v>1422</v>
      </c>
      <c r="B371" s="10" t="s">
        <v>1062</v>
      </c>
      <c r="C371" s="10">
        <v>49</v>
      </c>
      <c r="D371" s="39" t="s">
        <v>1057</v>
      </c>
      <c r="E371" s="40">
        <v>45032</v>
      </c>
      <c r="F371" s="10">
        <v>195</v>
      </c>
      <c r="G371" s="42">
        <v>2.6</v>
      </c>
      <c r="H371">
        <f>IF(MONTH(calls[[#This Row],[Date of Call]])&lt;=6,YEAR(calls[[#This Row],[Date of Call]]),YEAR(calls[[#This Row],[Date of Call]])+1)</f>
        <v>2023</v>
      </c>
      <c r="I371" t="str">
        <f>TEXT(calls[[#This Row],[Date of Call]],"DDDD")</f>
        <v>Sunday</v>
      </c>
      <c r="J371" t="str" cm="1">
        <f t="array" ref="J371">_xlfn.IFS(calls[[#This Row],[Duration]]&lt;=10,"UNDER 10 MINS",calls[[#This Row],[Duration]]&lt;=30,"10 TO 30 MINS",calls[[#This Row],[Duration]]&lt;=60,"30 TO 60 MINS",calls[[#This Row],[Duration]]&lt;=120,"1 TO 2 HRS",TRUE,"MORE THAN 2 HRS")</f>
        <v>30 TO 60 MINS</v>
      </c>
      <c r="K371">
        <f>ROUND(calls[[#This Row],[Satisfaction Rating]],0)</f>
        <v>3</v>
      </c>
    </row>
    <row r="372" spans="1:11" x14ac:dyDescent="0.3">
      <c r="A372" s="41" t="s">
        <v>1423</v>
      </c>
      <c r="B372" s="10" t="s">
        <v>1040</v>
      </c>
      <c r="C372" s="10">
        <v>21</v>
      </c>
      <c r="D372" s="39" t="s">
        <v>1053</v>
      </c>
      <c r="E372" s="40">
        <v>45032</v>
      </c>
      <c r="F372" s="10">
        <v>74</v>
      </c>
      <c r="G372" s="42">
        <v>4.5999999999999996</v>
      </c>
      <c r="H372">
        <f>IF(MONTH(calls[[#This Row],[Date of Call]])&lt;=6,YEAR(calls[[#This Row],[Date of Call]]),YEAR(calls[[#This Row],[Date of Call]])+1)</f>
        <v>2023</v>
      </c>
      <c r="I372" t="str">
        <f>TEXT(calls[[#This Row],[Date of Call]],"DDDD")</f>
        <v>Sunday</v>
      </c>
      <c r="J372" t="str" cm="1">
        <f t="array" ref="J372">_xlfn.IFS(calls[[#This Row],[Duration]]&lt;=10,"UNDER 10 MINS",calls[[#This Row],[Duration]]&lt;=30,"10 TO 30 MINS",calls[[#This Row],[Duration]]&lt;=60,"30 TO 60 MINS",calls[[#This Row],[Duration]]&lt;=120,"1 TO 2 HRS",TRUE,"MORE THAN 2 HRS")</f>
        <v>10 TO 30 MINS</v>
      </c>
      <c r="K372">
        <f>ROUND(calls[[#This Row],[Satisfaction Rating]],0)</f>
        <v>5</v>
      </c>
    </row>
    <row r="373" spans="1:11" x14ac:dyDescent="0.3">
      <c r="A373" s="41" t="s">
        <v>1424</v>
      </c>
      <c r="B373" s="10" t="s">
        <v>1079</v>
      </c>
      <c r="C373" s="10">
        <v>133</v>
      </c>
      <c r="D373" s="39" t="s">
        <v>1048</v>
      </c>
      <c r="E373" s="40">
        <v>45032</v>
      </c>
      <c r="F373" s="10">
        <v>100</v>
      </c>
      <c r="G373" s="42">
        <v>4</v>
      </c>
      <c r="H373">
        <f>IF(MONTH(calls[[#This Row],[Date of Call]])&lt;=6,YEAR(calls[[#This Row],[Date of Call]]),YEAR(calls[[#This Row],[Date of Call]])+1)</f>
        <v>2023</v>
      </c>
      <c r="I373" t="str">
        <f>TEXT(calls[[#This Row],[Date of Call]],"DDDD")</f>
        <v>Sunday</v>
      </c>
      <c r="J373" t="str" cm="1">
        <f t="array" ref="J373">_xlfn.IFS(calls[[#This Row],[Duration]]&lt;=10,"UNDER 10 MINS",calls[[#This Row],[Duration]]&lt;=30,"10 TO 30 MINS",calls[[#This Row],[Duration]]&lt;=60,"30 TO 60 MINS",calls[[#This Row],[Duration]]&lt;=120,"1 TO 2 HRS",TRUE,"MORE THAN 2 HRS")</f>
        <v>MORE THAN 2 HRS</v>
      </c>
      <c r="K373">
        <f>ROUND(calls[[#This Row],[Satisfaction Rating]],0)</f>
        <v>4</v>
      </c>
    </row>
    <row r="374" spans="1:11" x14ac:dyDescent="0.3">
      <c r="A374" s="41" t="s">
        <v>1425</v>
      </c>
      <c r="B374" s="10" t="s">
        <v>1037</v>
      </c>
      <c r="C374" s="10">
        <v>135</v>
      </c>
      <c r="D374" s="39" t="s">
        <v>1043</v>
      </c>
      <c r="E374" s="40">
        <v>45032</v>
      </c>
      <c r="F374" s="10">
        <v>185</v>
      </c>
      <c r="G374" s="42">
        <v>4.5</v>
      </c>
      <c r="H374">
        <f>IF(MONTH(calls[[#This Row],[Date of Call]])&lt;=6,YEAR(calls[[#This Row],[Date of Call]]),YEAR(calls[[#This Row],[Date of Call]])+1)</f>
        <v>2023</v>
      </c>
      <c r="I374" t="str">
        <f>TEXT(calls[[#This Row],[Date of Call]],"DDDD")</f>
        <v>Sunday</v>
      </c>
      <c r="J374" t="str" cm="1">
        <f t="array" ref="J374">_xlfn.IFS(calls[[#This Row],[Duration]]&lt;=10,"UNDER 10 MINS",calls[[#This Row],[Duration]]&lt;=30,"10 TO 30 MINS",calls[[#This Row],[Duration]]&lt;=60,"30 TO 60 MINS",calls[[#This Row],[Duration]]&lt;=120,"1 TO 2 HRS",TRUE,"MORE THAN 2 HRS")</f>
        <v>MORE THAN 2 HRS</v>
      </c>
      <c r="K374">
        <f>ROUND(calls[[#This Row],[Satisfaction Rating]],0)</f>
        <v>5</v>
      </c>
    </row>
    <row r="375" spans="1:11" x14ac:dyDescent="0.3">
      <c r="A375" s="41" t="s">
        <v>1426</v>
      </c>
      <c r="B375" s="10" t="s">
        <v>1060</v>
      </c>
      <c r="C375" s="10">
        <v>69</v>
      </c>
      <c r="D375" s="39" t="s">
        <v>1048</v>
      </c>
      <c r="E375" s="40">
        <v>45032</v>
      </c>
      <c r="F375" s="10">
        <v>130</v>
      </c>
      <c r="G375" s="42">
        <v>1.9</v>
      </c>
      <c r="H375">
        <f>IF(MONTH(calls[[#This Row],[Date of Call]])&lt;=6,YEAR(calls[[#This Row],[Date of Call]]),YEAR(calls[[#This Row],[Date of Call]])+1)</f>
        <v>2023</v>
      </c>
      <c r="I375" t="str">
        <f>TEXT(calls[[#This Row],[Date of Call]],"DDDD")</f>
        <v>Sunday</v>
      </c>
      <c r="J375" t="str" cm="1">
        <f t="array" ref="J375">_xlfn.IFS(calls[[#This Row],[Duration]]&lt;=10,"UNDER 10 MINS",calls[[#This Row],[Duration]]&lt;=30,"10 TO 30 MINS",calls[[#This Row],[Duration]]&lt;=60,"30 TO 60 MINS",calls[[#This Row],[Duration]]&lt;=120,"1 TO 2 HRS",TRUE,"MORE THAN 2 HRS")</f>
        <v>1 TO 2 HRS</v>
      </c>
      <c r="K375">
        <f>ROUND(calls[[#This Row],[Satisfaction Rating]],0)</f>
        <v>2</v>
      </c>
    </row>
    <row r="376" spans="1:11" x14ac:dyDescent="0.3">
      <c r="A376" s="41" t="s">
        <v>1427</v>
      </c>
      <c r="B376" s="10" t="s">
        <v>1056</v>
      </c>
      <c r="C376" s="10">
        <v>110</v>
      </c>
      <c r="D376" s="39" t="s">
        <v>1053</v>
      </c>
      <c r="E376" s="40">
        <v>45033</v>
      </c>
      <c r="F376" s="10">
        <v>21</v>
      </c>
      <c r="G376" s="42">
        <v>2.6</v>
      </c>
      <c r="H376">
        <f>IF(MONTH(calls[[#This Row],[Date of Call]])&lt;=6,YEAR(calls[[#This Row],[Date of Call]]),YEAR(calls[[#This Row],[Date of Call]])+1)</f>
        <v>2023</v>
      </c>
      <c r="I376" t="str">
        <f>TEXT(calls[[#This Row],[Date of Call]],"DDDD")</f>
        <v>Monday</v>
      </c>
      <c r="J376" t="str" cm="1">
        <f t="array" ref="J376">_xlfn.IFS(calls[[#This Row],[Duration]]&lt;=10,"UNDER 10 MINS",calls[[#This Row],[Duration]]&lt;=30,"10 TO 30 MINS",calls[[#This Row],[Duration]]&lt;=60,"30 TO 60 MINS",calls[[#This Row],[Duration]]&lt;=120,"1 TO 2 HRS",TRUE,"MORE THAN 2 HRS")</f>
        <v>1 TO 2 HRS</v>
      </c>
      <c r="K376">
        <f>ROUND(calls[[#This Row],[Satisfaction Rating]],0)</f>
        <v>3</v>
      </c>
    </row>
    <row r="377" spans="1:11" x14ac:dyDescent="0.3">
      <c r="A377" s="41" t="s">
        <v>1428</v>
      </c>
      <c r="B377" s="10" t="s">
        <v>1109</v>
      </c>
      <c r="C377" s="10">
        <v>64</v>
      </c>
      <c r="D377" s="39" t="s">
        <v>1038</v>
      </c>
      <c r="E377" s="40">
        <v>45033</v>
      </c>
      <c r="F377" s="10">
        <v>88</v>
      </c>
      <c r="G377" s="42">
        <v>4.3</v>
      </c>
      <c r="H377">
        <f>IF(MONTH(calls[[#This Row],[Date of Call]])&lt;=6,YEAR(calls[[#This Row],[Date of Call]]),YEAR(calls[[#This Row],[Date of Call]])+1)</f>
        <v>2023</v>
      </c>
      <c r="I377" t="str">
        <f>TEXT(calls[[#This Row],[Date of Call]],"DDDD")</f>
        <v>Monday</v>
      </c>
      <c r="J377" t="str" cm="1">
        <f t="array" ref="J377">_xlfn.IFS(calls[[#This Row],[Duration]]&lt;=10,"UNDER 10 MINS",calls[[#This Row],[Duration]]&lt;=30,"10 TO 30 MINS",calls[[#This Row],[Duration]]&lt;=60,"30 TO 60 MINS",calls[[#This Row],[Duration]]&lt;=120,"1 TO 2 HRS",TRUE,"MORE THAN 2 HRS")</f>
        <v>1 TO 2 HRS</v>
      </c>
      <c r="K377">
        <f>ROUND(calls[[#This Row],[Satisfaction Rating]],0)</f>
        <v>4</v>
      </c>
    </row>
    <row r="378" spans="1:11" x14ac:dyDescent="0.3">
      <c r="A378" s="41" t="s">
        <v>1429</v>
      </c>
      <c r="B378" s="10" t="s">
        <v>1042</v>
      </c>
      <c r="C378" s="10">
        <v>105</v>
      </c>
      <c r="D378" s="39" t="s">
        <v>1057</v>
      </c>
      <c r="E378" s="40">
        <v>45033</v>
      </c>
      <c r="F378" s="10">
        <v>35</v>
      </c>
      <c r="G378" s="42">
        <v>4.4000000000000004</v>
      </c>
      <c r="H378">
        <f>IF(MONTH(calls[[#This Row],[Date of Call]])&lt;=6,YEAR(calls[[#This Row],[Date of Call]]),YEAR(calls[[#This Row],[Date of Call]])+1)</f>
        <v>2023</v>
      </c>
      <c r="I378" t="str">
        <f>TEXT(calls[[#This Row],[Date of Call]],"DDDD")</f>
        <v>Monday</v>
      </c>
      <c r="J378" t="str" cm="1">
        <f t="array" ref="J378">_xlfn.IFS(calls[[#This Row],[Duration]]&lt;=10,"UNDER 10 MINS",calls[[#This Row],[Duration]]&lt;=30,"10 TO 30 MINS",calls[[#This Row],[Duration]]&lt;=60,"30 TO 60 MINS",calls[[#This Row],[Duration]]&lt;=120,"1 TO 2 HRS",TRUE,"MORE THAN 2 HRS")</f>
        <v>1 TO 2 HRS</v>
      </c>
      <c r="K378">
        <f>ROUND(calls[[#This Row],[Satisfaction Rating]],0)</f>
        <v>4</v>
      </c>
    </row>
    <row r="379" spans="1:11" x14ac:dyDescent="0.3">
      <c r="A379" s="41" t="s">
        <v>1430</v>
      </c>
      <c r="B379" s="10" t="s">
        <v>1109</v>
      </c>
      <c r="C379" s="10">
        <v>165</v>
      </c>
      <c r="D379" s="39" t="s">
        <v>1043</v>
      </c>
      <c r="E379" s="40">
        <v>45033</v>
      </c>
      <c r="F379" s="10">
        <v>68</v>
      </c>
      <c r="G379" s="42">
        <v>4.3</v>
      </c>
      <c r="H379">
        <f>IF(MONTH(calls[[#This Row],[Date of Call]])&lt;=6,YEAR(calls[[#This Row],[Date of Call]]),YEAR(calls[[#This Row],[Date of Call]])+1)</f>
        <v>2023</v>
      </c>
      <c r="I379" t="str">
        <f>TEXT(calls[[#This Row],[Date of Call]],"DDDD")</f>
        <v>Monday</v>
      </c>
      <c r="J379" t="str" cm="1">
        <f t="array" ref="J379">_xlfn.IFS(calls[[#This Row],[Duration]]&lt;=10,"UNDER 10 MINS",calls[[#This Row],[Duration]]&lt;=30,"10 TO 30 MINS",calls[[#This Row],[Duration]]&lt;=60,"30 TO 60 MINS",calls[[#This Row],[Duration]]&lt;=120,"1 TO 2 HRS",TRUE,"MORE THAN 2 HRS")</f>
        <v>MORE THAN 2 HRS</v>
      </c>
      <c r="K379">
        <f>ROUND(calls[[#This Row],[Satisfaction Rating]],0)</f>
        <v>4</v>
      </c>
    </row>
    <row r="380" spans="1:11" x14ac:dyDescent="0.3">
      <c r="A380" s="41" t="s">
        <v>1431</v>
      </c>
      <c r="B380" s="10" t="s">
        <v>1076</v>
      </c>
      <c r="C380" s="10">
        <v>125</v>
      </c>
      <c r="D380" s="39" t="s">
        <v>1043</v>
      </c>
      <c r="E380" s="40">
        <v>45033</v>
      </c>
      <c r="F380" s="10">
        <v>148</v>
      </c>
      <c r="G380" s="42">
        <v>4.5</v>
      </c>
      <c r="H380">
        <f>IF(MONTH(calls[[#This Row],[Date of Call]])&lt;=6,YEAR(calls[[#This Row],[Date of Call]]),YEAR(calls[[#This Row],[Date of Call]])+1)</f>
        <v>2023</v>
      </c>
      <c r="I380" t="str">
        <f>TEXT(calls[[#This Row],[Date of Call]],"DDDD")</f>
        <v>Monday</v>
      </c>
      <c r="J380" t="str" cm="1">
        <f t="array" ref="J380">_xlfn.IFS(calls[[#This Row],[Duration]]&lt;=10,"UNDER 10 MINS",calls[[#This Row],[Duration]]&lt;=30,"10 TO 30 MINS",calls[[#This Row],[Duration]]&lt;=60,"30 TO 60 MINS",calls[[#This Row],[Duration]]&lt;=120,"1 TO 2 HRS",TRUE,"MORE THAN 2 HRS")</f>
        <v>MORE THAN 2 HRS</v>
      </c>
      <c r="K380">
        <f>ROUND(calls[[#This Row],[Satisfaction Rating]],0)</f>
        <v>5</v>
      </c>
    </row>
    <row r="381" spans="1:11" x14ac:dyDescent="0.3">
      <c r="A381" s="41" t="s">
        <v>1432</v>
      </c>
      <c r="B381" s="10" t="s">
        <v>1042</v>
      </c>
      <c r="C381" s="10">
        <v>88</v>
      </c>
      <c r="D381" s="39" t="s">
        <v>1038</v>
      </c>
      <c r="E381" s="40">
        <v>45034</v>
      </c>
      <c r="F381" s="10">
        <v>81</v>
      </c>
      <c r="G381" s="42">
        <v>4.2</v>
      </c>
      <c r="H381">
        <f>IF(MONTH(calls[[#This Row],[Date of Call]])&lt;=6,YEAR(calls[[#This Row],[Date of Call]]),YEAR(calls[[#This Row],[Date of Call]])+1)</f>
        <v>2023</v>
      </c>
      <c r="I381" t="str">
        <f>TEXT(calls[[#This Row],[Date of Call]],"DDDD")</f>
        <v>Tuesday</v>
      </c>
      <c r="J381" t="str" cm="1">
        <f t="array" ref="J381">_xlfn.IFS(calls[[#This Row],[Duration]]&lt;=10,"UNDER 10 MINS",calls[[#This Row],[Duration]]&lt;=30,"10 TO 30 MINS",calls[[#This Row],[Duration]]&lt;=60,"30 TO 60 MINS",calls[[#This Row],[Duration]]&lt;=120,"1 TO 2 HRS",TRUE,"MORE THAN 2 HRS")</f>
        <v>1 TO 2 HRS</v>
      </c>
      <c r="K381">
        <f>ROUND(calls[[#This Row],[Satisfaction Rating]],0)</f>
        <v>4</v>
      </c>
    </row>
    <row r="382" spans="1:11" x14ac:dyDescent="0.3">
      <c r="A382" s="41" t="s">
        <v>1433</v>
      </c>
      <c r="B382" s="10" t="s">
        <v>1060</v>
      </c>
      <c r="C382" s="10">
        <v>6</v>
      </c>
      <c r="D382" s="39" t="s">
        <v>1038</v>
      </c>
      <c r="E382" s="40">
        <v>45034</v>
      </c>
      <c r="F382" s="10">
        <v>75</v>
      </c>
      <c r="G382" s="42">
        <v>3.9</v>
      </c>
      <c r="H382">
        <f>IF(MONTH(calls[[#This Row],[Date of Call]])&lt;=6,YEAR(calls[[#This Row],[Date of Call]]),YEAR(calls[[#This Row],[Date of Call]])+1)</f>
        <v>2023</v>
      </c>
      <c r="I382" t="str">
        <f>TEXT(calls[[#This Row],[Date of Call]],"DDDD")</f>
        <v>Tuesday</v>
      </c>
      <c r="J382" t="str" cm="1">
        <f t="array" ref="J382">_xlfn.IFS(calls[[#This Row],[Duration]]&lt;=10,"UNDER 10 MINS",calls[[#This Row],[Duration]]&lt;=30,"10 TO 30 MINS",calls[[#This Row],[Duration]]&lt;=60,"30 TO 60 MINS",calls[[#This Row],[Duration]]&lt;=120,"1 TO 2 HRS",TRUE,"MORE THAN 2 HRS")</f>
        <v>UNDER 10 MINS</v>
      </c>
      <c r="K382">
        <f>ROUND(calls[[#This Row],[Satisfaction Rating]],0)</f>
        <v>4</v>
      </c>
    </row>
    <row r="383" spans="1:11" x14ac:dyDescent="0.3">
      <c r="A383" s="41" t="s">
        <v>1434</v>
      </c>
      <c r="B383" s="10" t="s">
        <v>1068</v>
      </c>
      <c r="C383" s="10">
        <v>69</v>
      </c>
      <c r="D383" s="39" t="s">
        <v>1048</v>
      </c>
      <c r="E383" s="40">
        <v>45035</v>
      </c>
      <c r="F383" s="10">
        <v>32</v>
      </c>
      <c r="G383" s="42">
        <v>3.6</v>
      </c>
      <c r="H383">
        <f>IF(MONTH(calls[[#This Row],[Date of Call]])&lt;=6,YEAR(calls[[#This Row],[Date of Call]]),YEAR(calls[[#This Row],[Date of Call]])+1)</f>
        <v>2023</v>
      </c>
      <c r="I383" t="str">
        <f>TEXT(calls[[#This Row],[Date of Call]],"DDDD")</f>
        <v>Wednesday</v>
      </c>
      <c r="J383" t="str" cm="1">
        <f t="array" ref="J383">_xlfn.IFS(calls[[#This Row],[Duration]]&lt;=10,"UNDER 10 MINS",calls[[#This Row],[Duration]]&lt;=30,"10 TO 30 MINS",calls[[#This Row],[Duration]]&lt;=60,"30 TO 60 MINS",calls[[#This Row],[Duration]]&lt;=120,"1 TO 2 HRS",TRUE,"MORE THAN 2 HRS")</f>
        <v>1 TO 2 HRS</v>
      </c>
      <c r="K383">
        <f>ROUND(calls[[#This Row],[Satisfaction Rating]],0)</f>
        <v>4</v>
      </c>
    </row>
    <row r="384" spans="1:11" x14ac:dyDescent="0.3">
      <c r="A384" s="41" t="s">
        <v>1435</v>
      </c>
      <c r="B384" s="10" t="s">
        <v>1089</v>
      </c>
      <c r="C384" s="10">
        <v>107</v>
      </c>
      <c r="D384" s="39" t="s">
        <v>1048</v>
      </c>
      <c r="E384" s="40">
        <v>45035</v>
      </c>
      <c r="F384" s="10">
        <v>156</v>
      </c>
      <c r="G384" s="42">
        <v>3.8</v>
      </c>
      <c r="H384">
        <f>IF(MONTH(calls[[#This Row],[Date of Call]])&lt;=6,YEAR(calls[[#This Row],[Date of Call]]),YEAR(calls[[#This Row],[Date of Call]])+1)</f>
        <v>2023</v>
      </c>
      <c r="I384" t="str">
        <f>TEXT(calls[[#This Row],[Date of Call]],"DDDD")</f>
        <v>Wednesday</v>
      </c>
      <c r="J384" t="str" cm="1">
        <f t="array" ref="J384">_xlfn.IFS(calls[[#This Row],[Duration]]&lt;=10,"UNDER 10 MINS",calls[[#This Row],[Duration]]&lt;=30,"10 TO 30 MINS",calls[[#This Row],[Duration]]&lt;=60,"30 TO 60 MINS",calls[[#This Row],[Duration]]&lt;=120,"1 TO 2 HRS",TRUE,"MORE THAN 2 HRS")</f>
        <v>1 TO 2 HRS</v>
      </c>
      <c r="K384">
        <f>ROUND(calls[[#This Row],[Satisfaction Rating]],0)</f>
        <v>4</v>
      </c>
    </row>
    <row r="385" spans="1:11" x14ac:dyDescent="0.3">
      <c r="A385" s="41" t="s">
        <v>1436</v>
      </c>
      <c r="B385" s="10" t="s">
        <v>1040</v>
      </c>
      <c r="C385" s="10">
        <v>90</v>
      </c>
      <c r="D385" s="39" t="s">
        <v>1043</v>
      </c>
      <c r="E385" s="40">
        <v>45035</v>
      </c>
      <c r="F385" s="10">
        <v>99</v>
      </c>
      <c r="G385" s="42">
        <v>4.9000000000000004</v>
      </c>
      <c r="H385">
        <f>IF(MONTH(calls[[#This Row],[Date of Call]])&lt;=6,YEAR(calls[[#This Row],[Date of Call]]),YEAR(calls[[#This Row],[Date of Call]])+1)</f>
        <v>2023</v>
      </c>
      <c r="I385" t="str">
        <f>TEXT(calls[[#This Row],[Date of Call]],"DDDD")</f>
        <v>Wednesday</v>
      </c>
      <c r="J385" t="str" cm="1">
        <f t="array" ref="J385">_xlfn.IFS(calls[[#This Row],[Duration]]&lt;=10,"UNDER 10 MINS",calls[[#This Row],[Duration]]&lt;=30,"10 TO 30 MINS",calls[[#This Row],[Duration]]&lt;=60,"30 TO 60 MINS",calls[[#This Row],[Duration]]&lt;=120,"1 TO 2 HRS",TRUE,"MORE THAN 2 HRS")</f>
        <v>1 TO 2 HRS</v>
      </c>
      <c r="K385">
        <f>ROUND(calls[[#This Row],[Satisfaction Rating]],0)</f>
        <v>5</v>
      </c>
    </row>
    <row r="386" spans="1:11" x14ac:dyDescent="0.3">
      <c r="A386" s="41" t="s">
        <v>1437</v>
      </c>
      <c r="B386" s="10" t="s">
        <v>1037</v>
      </c>
      <c r="C386" s="10">
        <v>120</v>
      </c>
      <c r="D386" s="39" t="s">
        <v>1057</v>
      </c>
      <c r="E386" s="40">
        <v>45035</v>
      </c>
      <c r="F386" s="10">
        <v>26</v>
      </c>
      <c r="G386" s="42">
        <v>4</v>
      </c>
      <c r="H386">
        <f>IF(MONTH(calls[[#This Row],[Date of Call]])&lt;=6,YEAR(calls[[#This Row],[Date of Call]]),YEAR(calls[[#This Row],[Date of Call]])+1)</f>
        <v>2023</v>
      </c>
      <c r="I386" t="str">
        <f>TEXT(calls[[#This Row],[Date of Call]],"DDDD")</f>
        <v>Wednesday</v>
      </c>
      <c r="J386" t="str" cm="1">
        <f t="array" ref="J386">_xlfn.IFS(calls[[#This Row],[Duration]]&lt;=10,"UNDER 10 MINS",calls[[#This Row],[Duration]]&lt;=30,"10 TO 30 MINS",calls[[#This Row],[Duration]]&lt;=60,"30 TO 60 MINS",calls[[#This Row],[Duration]]&lt;=120,"1 TO 2 HRS",TRUE,"MORE THAN 2 HRS")</f>
        <v>1 TO 2 HRS</v>
      </c>
      <c r="K386">
        <f>ROUND(calls[[#This Row],[Satisfaction Rating]],0)</f>
        <v>4</v>
      </c>
    </row>
    <row r="387" spans="1:11" x14ac:dyDescent="0.3">
      <c r="A387" s="41" t="s">
        <v>1438</v>
      </c>
      <c r="B387" s="10" t="s">
        <v>1047</v>
      </c>
      <c r="C387" s="10">
        <v>47</v>
      </c>
      <c r="D387" s="39" t="s">
        <v>1048</v>
      </c>
      <c r="E387" s="40">
        <v>45035</v>
      </c>
      <c r="F387" s="10">
        <v>84</v>
      </c>
      <c r="G387" s="42">
        <v>4.0999999999999996</v>
      </c>
      <c r="H387">
        <f>IF(MONTH(calls[[#This Row],[Date of Call]])&lt;=6,YEAR(calls[[#This Row],[Date of Call]]),YEAR(calls[[#This Row],[Date of Call]])+1)</f>
        <v>2023</v>
      </c>
      <c r="I387" t="str">
        <f>TEXT(calls[[#This Row],[Date of Call]],"DDDD")</f>
        <v>Wednesday</v>
      </c>
      <c r="J387" t="str" cm="1">
        <f t="array" ref="J387">_xlfn.IFS(calls[[#This Row],[Duration]]&lt;=10,"UNDER 10 MINS",calls[[#This Row],[Duration]]&lt;=30,"10 TO 30 MINS",calls[[#This Row],[Duration]]&lt;=60,"30 TO 60 MINS",calls[[#This Row],[Duration]]&lt;=120,"1 TO 2 HRS",TRUE,"MORE THAN 2 HRS")</f>
        <v>30 TO 60 MINS</v>
      </c>
      <c r="K387">
        <f>ROUND(calls[[#This Row],[Satisfaction Rating]],0)</f>
        <v>4</v>
      </c>
    </row>
    <row r="388" spans="1:11" x14ac:dyDescent="0.3">
      <c r="A388" s="41" t="s">
        <v>1439</v>
      </c>
      <c r="B388" s="10" t="s">
        <v>1045</v>
      </c>
      <c r="C388" s="10">
        <v>60</v>
      </c>
      <c r="D388" s="39" t="s">
        <v>1057</v>
      </c>
      <c r="E388" s="40">
        <v>45035</v>
      </c>
      <c r="F388" s="10">
        <v>84</v>
      </c>
      <c r="G388" s="42">
        <v>4.8</v>
      </c>
      <c r="H388">
        <f>IF(MONTH(calls[[#This Row],[Date of Call]])&lt;=6,YEAR(calls[[#This Row],[Date of Call]]),YEAR(calls[[#This Row],[Date of Call]])+1)</f>
        <v>2023</v>
      </c>
      <c r="I388" t="str">
        <f>TEXT(calls[[#This Row],[Date of Call]],"DDDD")</f>
        <v>Wednesday</v>
      </c>
      <c r="J388" t="str" cm="1">
        <f t="array" ref="J388">_xlfn.IFS(calls[[#This Row],[Duration]]&lt;=10,"UNDER 10 MINS",calls[[#This Row],[Duration]]&lt;=30,"10 TO 30 MINS",calls[[#This Row],[Duration]]&lt;=60,"30 TO 60 MINS",calls[[#This Row],[Duration]]&lt;=120,"1 TO 2 HRS",TRUE,"MORE THAN 2 HRS")</f>
        <v>30 TO 60 MINS</v>
      </c>
      <c r="K388">
        <f>ROUND(calls[[#This Row],[Satisfaction Rating]],0)</f>
        <v>5</v>
      </c>
    </row>
    <row r="389" spans="1:11" x14ac:dyDescent="0.3">
      <c r="A389" s="41" t="s">
        <v>1440</v>
      </c>
      <c r="B389" s="10" t="s">
        <v>1071</v>
      </c>
      <c r="C389" s="10">
        <v>64</v>
      </c>
      <c r="D389" s="39" t="s">
        <v>1043</v>
      </c>
      <c r="E389" s="40">
        <v>45035</v>
      </c>
      <c r="F389" s="10">
        <v>170</v>
      </c>
      <c r="G389" s="42">
        <v>2.2999999999999998</v>
      </c>
      <c r="H389">
        <f>IF(MONTH(calls[[#This Row],[Date of Call]])&lt;=6,YEAR(calls[[#This Row],[Date of Call]]),YEAR(calls[[#This Row],[Date of Call]])+1)</f>
        <v>2023</v>
      </c>
      <c r="I389" t="str">
        <f>TEXT(calls[[#This Row],[Date of Call]],"DDDD")</f>
        <v>Wednesday</v>
      </c>
      <c r="J389" t="str" cm="1">
        <f t="array" ref="J389">_xlfn.IFS(calls[[#This Row],[Duration]]&lt;=10,"UNDER 10 MINS",calls[[#This Row],[Duration]]&lt;=30,"10 TO 30 MINS",calls[[#This Row],[Duration]]&lt;=60,"30 TO 60 MINS",calls[[#This Row],[Duration]]&lt;=120,"1 TO 2 HRS",TRUE,"MORE THAN 2 HRS")</f>
        <v>1 TO 2 HRS</v>
      </c>
      <c r="K389">
        <f>ROUND(calls[[#This Row],[Satisfaction Rating]],0)</f>
        <v>2</v>
      </c>
    </row>
    <row r="390" spans="1:11" x14ac:dyDescent="0.3">
      <c r="A390" s="41" t="s">
        <v>1441</v>
      </c>
      <c r="B390" s="10" t="s">
        <v>1109</v>
      </c>
      <c r="C390" s="10">
        <v>62</v>
      </c>
      <c r="D390" s="39" t="s">
        <v>1048</v>
      </c>
      <c r="E390" s="40">
        <v>45035</v>
      </c>
      <c r="F390" s="10">
        <v>35</v>
      </c>
      <c r="G390" s="42">
        <v>4.4000000000000004</v>
      </c>
      <c r="H390">
        <f>IF(MONTH(calls[[#This Row],[Date of Call]])&lt;=6,YEAR(calls[[#This Row],[Date of Call]]),YEAR(calls[[#This Row],[Date of Call]])+1)</f>
        <v>2023</v>
      </c>
      <c r="I390" t="str">
        <f>TEXT(calls[[#This Row],[Date of Call]],"DDDD")</f>
        <v>Wednesday</v>
      </c>
      <c r="J390" t="str" cm="1">
        <f t="array" ref="J390">_xlfn.IFS(calls[[#This Row],[Duration]]&lt;=10,"UNDER 10 MINS",calls[[#This Row],[Duration]]&lt;=30,"10 TO 30 MINS",calls[[#This Row],[Duration]]&lt;=60,"30 TO 60 MINS",calls[[#This Row],[Duration]]&lt;=120,"1 TO 2 HRS",TRUE,"MORE THAN 2 HRS")</f>
        <v>1 TO 2 HRS</v>
      </c>
      <c r="K390">
        <f>ROUND(calls[[#This Row],[Satisfaction Rating]],0)</f>
        <v>4</v>
      </c>
    </row>
    <row r="391" spans="1:11" x14ac:dyDescent="0.3">
      <c r="A391" s="41" t="s">
        <v>1442</v>
      </c>
      <c r="B391" s="10" t="s">
        <v>1056</v>
      </c>
      <c r="C391" s="10">
        <v>88</v>
      </c>
      <c r="D391" s="39" t="s">
        <v>1048</v>
      </c>
      <c r="E391" s="40">
        <v>45036</v>
      </c>
      <c r="F391" s="10">
        <v>35</v>
      </c>
      <c r="G391" s="42">
        <v>3.8</v>
      </c>
      <c r="H391">
        <f>IF(MONTH(calls[[#This Row],[Date of Call]])&lt;=6,YEAR(calls[[#This Row],[Date of Call]]),YEAR(calls[[#This Row],[Date of Call]])+1)</f>
        <v>2023</v>
      </c>
      <c r="I391" t="str">
        <f>TEXT(calls[[#This Row],[Date of Call]],"DDDD")</f>
        <v>Thursday</v>
      </c>
      <c r="J391" t="str" cm="1">
        <f t="array" ref="J391">_xlfn.IFS(calls[[#This Row],[Duration]]&lt;=10,"UNDER 10 MINS",calls[[#This Row],[Duration]]&lt;=30,"10 TO 30 MINS",calls[[#This Row],[Duration]]&lt;=60,"30 TO 60 MINS",calls[[#This Row],[Duration]]&lt;=120,"1 TO 2 HRS",TRUE,"MORE THAN 2 HRS")</f>
        <v>1 TO 2 HRS</v>
      </c>
      <c r="K391">
        <f>ROUND(calls[[#This Row],[Satisfaction Rating]],0)</f>
        <v>4</v>
      </c>
    </row>
    <row r="392" spans="1:11" x14ac:dyDescent="0.3">
      <c r="A392" s="41" t="s">
        <v>1443</v>
      </c>
      <c r="B392" s="10" t="s">
        <v>1076</v>
      </c>
      <c r="C392" s="10">
        <v>116</v>
      </c>
      <c r="D392" s="39" t="s">
        <v>1048</v>
      </c>
      <c r="E392" s="40">
        <v>45036</v>
      </c>
      <c r="F392" s="10">
        <v>132</v>
      </c>
      <c r="G392" s="42">
        <v>5</v>
      </c>
      <c r="H392">
        <f>IF(MONTH(calls[[#This Row],[Date of Call]])&lt;=6,YEAR(calls[[#This Row],[Date of Call]]),YEAR(calls[[#This Row],[Date of Call]])+1)</f>
        <v>2023</v>
      </c>
      <c r="I392" t="str">
        <f>TEXT(calls[[#This Row],[Date of Call]],"DDDD")</f>
        <v>Thursday</v>
      </c>
      <c r="J392" t="str" cm="1">
        <f t="array" ref="J392">_xlfn.IFS(calls[[#This Row],[Duration]]&lt;=10,"UNDER 10 MINS",calls[[#This Row],[Duration]]&lt;=30,"10 TO 30 MINS",calls[[#This Row],[Duration]]&lt;=60,"30 TO 60 MINS",calls[[#This Row],[Duration]]&lt;=120,"1 TO 2 HRS",TRUE,"MORE THAN 2 HRS")</f>
        <v>1 TO 2 HRS</v>
      </c>
      <c r="K392">
        <f>ROUND(calls[[#This Row],[Satisfaction Rating]],0)</f>
        <v>5</v>
      </c>
    </row>
    <row r="393" spans="1:11" x14ac:dyDescent="0.3">
      <c r="A393" s="41" t="s">
        <v>1444</v>
      </c>
      <c r="B393" s="10" t="s">
        <v>1040</v>
      </c>
      <c r="C393" s="10">
        <v>82</v>
      </c>
      <c r="D393" s="39" t="s">
        <v>1038</v>
      </c>
      <c r="E393" s="40">
        <v>45037</v>
      </c>
      <c r="F393" s="10">
        <v>144</v>
      </c>
      <c r="G393" s="42">
        <v>3.3</v>
      </c>
      <c r="H393">
        <f>IF(MONTH(calls[[#This Row],[Date of Call]])&lt;=6,YEAR(calls[[#This Row],[Date of Call]]),YEAR(calls[[#This Row],[Date of Call]])+1)</f>
        <v>2023</v>
      </c>
      <c r="I393" t="str">
        <f>TEXT(calls[[#This Row],[Date of Call]],"DDDD")</f>
        <v>Friday</v>
      </c>
      <c r="J393" t="str" cm="1">
        <f t="array" ref="J393">_xlfn.IFS(calls[[#This Row],[Duration]]&lt;=10,"UNDER 10 MINS",calls[[#This Row],[Duration]]&lt;=30,"10 TO 30 MINS",calls[[#This Row],[Duration]]&lt;=60,"30 TO 60 MINS",calls[[#This Row],[Duration]]&lt;=120,"1 TO 2 HRS",TRUE,"MORE THAN 2 HRS")</f>
        <v>1 TO 2 HRS</v>
      </c>
      <c r="K393">
        <f>ROUND(calls[[#This Row],[Satisfaction Rating]],0)</f>
        <v>3</v>
      </c>
    </row>
    <row r="394" spans="1:11" x14ac:dyDescent="0.3">
      <c r="A394" s="41" t="s">
        <v>1445</v>
      </c>
      <c r="B394" s="10" t="s">
        <v>1109</v>
      </c>
      <c r="C394" s="10">
        <v>99</v>
      </c>
      <c r="D394" s="39" t="s">
        <v>1043</v>
      </c>
      <c r="E394" s="40">
        <v>45037</v>
      </c>
      <c r="F394" s="10">
        <v>48</v>
      </c>
      <c r="G394" s="42">
        <v>5</v>
      </c>
      <c r="H394">
        <f>IF(MONTH(calls[[#This Row],[Date of Call]])&lt;=6,YEAR(calls[[#This Row],[Date of Call]]),YEAR(calls[[#This Row],[Date of Call]])+1)</f>
        <v>2023</v>
      </c>
      <c r="I394" t="str">
        <f>TEXT(calls[[#This Row],[Date of Call]],"DDDD")</f>
        <v>Friday</v>
      </c>
      <c r="J394" t="str" cm="1">
        <f t="array" ref="J394">_xlfn.IFS(calls[[#This Row],[Duration]]&lt;=10,"UNDER 10 MINS",calls[[#This Row],[Duration]]&lt;=30,"10 TO 30 MINS",calls[[#This Row],[Duration]]&lt;=60,"30 TO 60 MINS",calls[[#This Row],[Duration]]&lt;=120,"1 TO 2 HRS",TRUE,"MORE THAN 2 HRS")</f>
        <v>1 TO 2 HRS</v>
      </c>
      <c r="K394">
        <f>ROUND(calls[[#This Row],[Satisfaction Rating]],0)</f>
        <v>5</v>
      </c>
    </row>
    <row r="395" spans="1:11" x14ac:dyDescent="0.3">
      <c r="A395" s="41" t="s">
        <v>1446</v>
      </c>
      <c r="B395" s="10" t="s">
        <v>1109</v>
      </c>
      <c r="C395" s="10">
        <v>55</v>
      </c>
      <c r="D395" s="39" t="s">
        <v>1038</v>
      </c>
      <c r="E395" s="40">
        <v>45037</v>
      </c>
      <c r="F395" s="10">
        <v>200</v>
      </c>
      <c r="G395" s="42">
        <v>2.2999999999999998</v>
      </c>
      <c r="H395">
        <f>IF(MONTH(calls[[#This Row],[Date of Call]])&lt;=6,YEAR(calls[[#This Row],[Date of Call]]),YEAR(calls[[#This Row],[Date of Call]])+1)</f>
        <v>2023</v>
      </c>
      <c r="I395" t="str">
        <f>TEXT(calls[[#This Row],[Date of Call]],"DDDD")</f>
        <v>Friday</v>
      </c>
      <c r="J395" t="str" cm="1">
        <f t="array" ref="J395">_xlfn.IFS(calls[[#This Row],[Duration]]&lt;=10,"UNDER 10 MINS",calls[[#This Row],[Duration]]&lt;=30,"10 TO 30 MINS",calls[[#This Row],[Duration]]&lt;=60,"30 TO 60 MINS",calls[[#This Row],[Duration]]&lt;=120,"1 TO 2 HRS",TRUE,"MORE THAN 2 HRS")</f>
        <v>30 TO 60 MINS</v>
      </c>
      <c r="K395">
        <f>ROUND(calls[[#This Row],[Satisfaction Rating]],0)</f>
        <v>2</v>
      </c>
    </row>
    <row r="396" spans="1:11" x14ac:dyDescent="0.3">
      <c r="A396" s="41" t="s">
        <v>1447</v>
      </c>
      <c r="B396" s="10" t="s">
        <v>1071</v>
      </c>
      <c r="C396" s="10">
        <v>61</v>
      </c>
      <c r="D396" s="39" t="s">
        <v>1057</v>
      </c>
      <c r="E396" s="40">
        <v>45037</v>
      </c>
      <c r="F396" s="10">
        <v>38</v>
      </c>
      <c r="G396" s="42">
        <v>4.8</v>
      </c>
      <c r="H396">
        <f>IF(MONTH(calls[[#This Row],[Date of Call]])&lt;=6,YEAR(calls[[#This Row],[Date of Call]]),YEAR(calls[[#This Row],[Date of Call]])+1)</f>
        <v>2023</v>
      </c>
      <c r="I396" t="str">
        <f>TEXT(calls[[#This Row],[Date of Call]],"DDDD")</f>
        <v>Friday</v>
      </c>
      <c r="J396" t="str" cm="1">
        <f t="array" ref="J396">_xlfn.IFS(calls[[#This Row],[Duration]]&lt;=10,"UNDER 10 MINS",calls[[#This Row],[Duration]]&lt;=30,"10 TO 30 MINS",calls[[#This Row],[Duration]]&lt;=60,"30 TO 60 MINS",calls[[#This Row],[Duration]]&lt;=120,"1 TO 2 HRS",TRUE,"MORE THAN 2 HRS")</f>
        <v>1 TO 2 HRS</v>
      </c>
      <c r="K396">
        <f>ROUND(calls[[#This Row],[Satisfaction Rating]],0)</f>
        <v>5</v>
      </c>
    </row>
    <row r="397" spans="1:11" x14ac:dyDescent="0.3">
      <c r="A397" s="41" t="s">
        <v>1448</v>
      </c>
      <c r="B397" s="10" t="s">
        <v>1076</v>
      </c>
      <c r="C397" s="10">
        <v>36</v>
      </c>
      <c r="D397" s="39" t="s">
        <v>1053</v>
      </c>
      <c r="E397" s="40">
        <v>45037</v>
      </c>
      <c r="F397" s="10">
        <v>81</v>
      </c>
      <c r="G397" s="42">
        <v>3.7</v>
      </c>
      <c r="H397">
        <f>IF(MONTH(calls[[#This Row],[Date of Call]])&lt;=6,YEAR(calls[[#This Row],[Date of Call]]),YEAR(calls[[#This Row],[Date of Call]])+1)</f>
        <v>2023</v>
      </c>
      <c r="I397" t="str">
        <f>TEXT(calls[[#This Row],[Date of Call]],"DDDD")</f>
        <v>Friday</v>
      </c>
      <c r="J397" t="str" cm="1">
        <f t="array" ref="J397">_xlfn.IFS(calls[[#This Row],[Duration]]&lt;=10,"UNDER 10 MINS",calls[[#This Row],[Duration]]&lt;=30,"10 TO 30 MINS",calls[[#This Row],[Duration]]&lt;=60,"30 TO 60 MINS",calls[[#This Row],[Duration]]&lt;=120,"1 TO 2 HRS",TRUE,"MORE THAN 2 HRS")</f>
        <v>30 TO 60 MINS</v>
      </c>
      <c r="K397">
        <f>ROUND(calls[[#This Row],[Satisfaction Rating]],0)</f>
        <v>4</v>
      </c>
    </row>
    <row r="398" spans="1:11" x14ac:dyDescent="0.3">
      <c r="A398" s="41" t="s">
        <v>1449</v>
      </c>
      <c r="B398" s="10" t="s">
        <v>1040</v>
      </c>
      <c r="C398" s="10">
        <v>123</v>
      </c>
      <c r="D398" s="39" t="s">
        <v>1048</v>
      </c>
      <c r="E398" s="40">
        <v>45037</v>
      </c>
      <c r="F398" s="10">
        <v>120</v>
      </c>
      <c r="G398" s="42">
        <v>4.2</v>
      </c>
      <c r="H398">
        <f>IF(MONTH(calls[[#This Row],[Date of Call]])&lt;=6,YEAR(calls[[#This Row],[Date of Call]]),YEAR(calls[[#This Row],[Date of Call]])+1)</f>
        <v>2023</v>
      </c>
      <c r="I398" t="str">
        <f>TEXT(calls[[#This Row],[Date of Call]],"DDDD")</f>
        <v>Friday</v>
      </c>
      <c r="J398" t="str" cm="1">
        <f t="array" ref="J398">_xlfn.IFS(calls[[#This Row],[Duration]]&lt;=10,"UNDER 10 MINS",calls[[#This Row],[Duration]]&lt;=30,"10 TO 30 MINS",calls[[#This Row],[Duration]]&lt;=60,"30 TO 60 MINS",calls[[#This Row],[Duration]]&lt;=120,"1 TO 2 HRS",TRUE,"MORE THAN 2 HRS")</f>
        <v>MORE THAN 2 HRS</v>
      </c>
      <c r="K398">
        <f>ROUND(calls[[#This Row],[Satisfaction Rating]],0)</f>
        <v>4</v>
      </c>
    </row>
    <row r="399" spans="1:11" x14ac:dyDescent="0.3">
      <c r="A399" s="41" t="s">
        <v>1450</v>
      </c>
      <c r="B399" s="10" t="s">
        <v>1062</v>
      </c>
      <c r="C399" s="10">
        <v>24</v>
      </c>
      <c r="D399" s="39" t="s">
        <v>1057</v>
      </c>
      <c r="E399" s="40">
        <v>45037</v>
      </c>
      <c r="F399" s="10">
        <v>74</v>
      </c>
      <c r="G399" s="42">
        <v>4.8</v>
      </c>
      <c r="H399">
        <f>IF(MONTH(calls[[#This Row],[Date of Call]])&lt;=6,YEAR(calls[[#This Row],[Date of Call]]),YEAR(calls[[#This Row],[Date of Call]])+1)</f>
        <v>2023</v>
      </c>
      <c r="I399" t="str">
        <f>TEXT(calls[[#This Row],[Date of Call]],"DDDD")</f>
        <v>Friday</v>
      </c>
      <c r="J399" t="str" cm="1">
        <f t="array" ref="J399">_xlfn.IFS(calls[[#This Row],[Duration]]&lt;=10,"UNDER 10 MINS",calls[[#This Row],[Duration]]&lt;=30,"10 TO 30 MINS",calls[[#This Row],[Duration]]&lt;=60,"30 TO 60 MINS",calls[[#This Row],[Duration]]&lt;=120,"1 TO 2 HRS",TRUE,"MORE THAN 2 HRS")</f>
        <v>10 TO 30 MINS</v>
      </c>
      <c r="K399">
        <f>ROUND(calls[[#This Row],[Satisfaction Rating]],0)</f>
        <v>5</v>
      </c>
    </row>
    <row r="400" spans="1:11" x14ac:dyDescent="0.3">
      <c r="A400" s="41" t="s">
        <v>1451</v>
      </c>
      <c r="B400" s="10" t="s">
        <v>1040</v>
      </c>
      <c r="C400" s="10">
        <v>43</v>
      </c>
      <c r="D400" s="39" t="s">
        <v>1048</v>
      </c>
      <c r="E400" s="40">
        <v>45038</v>
      </c>
      <c r="F400" s="10">
        <v>128</v>
      </c>
      <c r="G400" s="42">
        <v>4.7</v>
      </c>
      <c r="H400">
        <f>IF(MONTH(calls[[#This Row],[Date of Call]])&lt;=6,YEAR(calls[[#This Row],[Date of Call]]),YEAR(calls[[#This Row],[Date of Call]])+1)</f>
        <v>2023</v>
      </c>
      <c r="I400" t="str">
        <f>TEXT(calls[[#This Row],[Date of Call]],"DDDD")</f>
        <v>Saturday</v>
      </c>
      <c r="J400" t="str" cm="1">
        <f t="array" ref="J400">_xlfn.IFS(calls[[#This Row],[Duration]]&lt;=10,"UNDER 10 MINS",calls[[#This Row],[Duration]]&lt;=30,"10 TO 30 MINS",calls[[#This Row],[Duration]]&lt;=60,"30 TO 60 MINS",calls[[#This Row],[Duration]]&lt;=120,"1 TO 2 HRS",TRUE,"MORE THAN 2 HRS")</f>
        <v>30 TO 60 MINS</v>
      </c>
      <c r="K400">
        <f>ROUND(calls[[#This Row],[Satisfaction Rating]],0)</f>
        <v>5</v>
      </c>
    </row>
    <row r="401" spans="1:11" x14ac:dyDescent="0.3">
      <c r="A401" s="41" t="s">
        <v>1452</v>
      </c>
      <c r="B401" s="10" t="s">
        <v>1045</v>
      </c>
      <c r="C401" s="10">
        <v>95</v>
      </c>
      <c r="D401" s="39" t="s">
        <v>1043</v>
      </c>
      <c r="E401" s="40">
        <v>45038</v>
      </c>
      <c r="F401" s="10">
        <v>21</v>
      </c>
      <c r="G401" s="42">
        <v>3.9</v>
      </c>
      <c r="H401">
        <f>IF(MONTH(calls[[#This Row],[Date of Call]])&lt;=6,YEAR(calls[[#This Row],[Date of Call]]),YEAR(calls[[#This Row],[Date of Call]])+1)</f>
        <v>2023</v>
      </c>
      <c r="I401" t="str">
        <f>TEXT(calls[[#This Row],[Date of Call]],"DDDD")</f>
        <v>Saturday</v>
      </c>
      <c r="J401" t="str" cm="1">
        <f t="array" ref="J401">_xlfn.IFS(calls[[#This Row],[Duration]]&lt;=10,"UNDER 10 MINS",calls[[#This Row],[Duration]]&lt;=30,"10 TO 30 MINS",calls[[#This Row],[Duration]]&lt;=60,"30 TO 60 MINS",calls[[#This Row],[Duration]]&lt;=120,"1 TO 2 HRS",TRUE,"MORE THAN 2 HRS")</f>
        <v>1 TO 2 HRS</v>
      </c>
      <c r="K401">
        <f>ROUND(calls[[#This Row],[Satisfaction Rating]],0)</f>
        <v>4</v>
      </c>
    </row>
    <row r="402" spans="1:11" x14ac:dyDescent="0.3">
      <c r="A402" s="41" t="s">
        <v>1453</v>
      </c>
      <c r="B402" s="10" t="s">
        <v>1109</v>
      </c>
      <c r="C402" s="10">
        <v>53</v>
      </c>
      <c r="D402" s="39" t="s">
        <v>1048</v>
      </c>
      <c r="E402" s="40">
        <v>45038</v>
      </c>
      <c r="F402" s="10">
        <v>110</v>
      </c>
      <c r="G402" s="42">
        <v>4.3</v>
      </c>
      <c r="H402">
        <f>IF(MONTH(calls[[#This Row],[Date of Call]])&lt;=6,YEAR(calls[[#This Row],[Date of Call]]),YEAR(calls[[#This Row],[Date of Call]])+1)</f>
        <v>2023</v>
      </c>
      <c r="I402" t="str">
        <f>TEXT(calls[[#This Row],[Date of Call]],"DDDD")</f>
        <v>Saturday</v>
      </c>
      <c r="J402" t="str" cm="1">
        <f t="array" ref="J402">_xlfn.IFS(calls[[#This Row],[Duration]]&lt;=10,"UNDER 10 MINS",calls[[#This Row],[Duration]]&lt;=30,"10 TO 30 MINS",calls[[#This Row],[Duration]]&lt;=60,"30 TO 60 MINS",calls[[#This Row],[Duration]]&lt;=120,"1 TO 2 HRS",TRUE,"MORE THAN 2 HRS")</f>
        <v>30 TO 60 MINS</v>
      </c>
      <c r="K402">
        <f>ROUND(calls[[#This Row],[Satisfaction Rating]],0)</f>
        <v>4</v>
      </c>
    </row>
    <row r="403" spans="1:11" x14ac:dyDescent="0.3">
      <c r="A403" s="41" t="s">
        <v>1454</v>
      </c>
      <c r="B403" s="10" t="s">
        <v>1040</v>
      </c>
      <c r="C403" s="10">
        <v>113</v>
      </c>
      <c r="D403" s="39" t="s">
        <v>1048</v>
      </c>
      <c r="E403" s="40">
        <v>45038</v>
      </c>
      <c r="F403" s="10">
        <v>145</v>
      </c>
      <c r="G403" s="42">
        <v>4</v>
      </c>
      <c r="H403">
        <f>IF(MONTH(calls[[#This Row],[Date of Call]])&lt;=6,YEAR(calls[[#This Row],[Date of Call]]),YEAR(calls[[#This Row],[Date of Call]])+1)</f>
        <v>2023</v>
      </c>
      <c r="I403" t="str">
        <f>TEXT(calls[[#This Row],[Date of Call]],"DDDD")</f>
        <v>Saturday</v>
      </c>
      <c r="J403" t="str" cm="1">
        <f t="array" ref="J403">_xlfn.IFS(calls[[#This Row],[Duration]]&lt;=10,"UNDER 10 MINS",calls[[#This Row],[Duration]]&lt;=30,"10 TO 30 MINS",calls[[#This Row],[Duration]]&lt;=60,"30 TO 60 MINS",calls[[#This Row],[Duration]]&lt;=120,"1 TO 2 HRS",TRUE,"MORE THAN 2 HRS")</f>
        <v>1 TO 2 HRS</v>
      </c>
      <c r="K403">
        <f>ROUND(calls[[#This Row],[Satisfaction Rating]],0)</f>
        <v>4</v>
      </c>
    </row>
    <row r="404" spans="1:11" x14ac:dyDescent="0.3">
      <c r="A404" s="41" t="s">
        <v>1455</v>
      </c>
      <c r="B404" s="10" t="s">
        <v>1109</v>
      </c>
      <c r="C404" s="10">
        <v>89</v>
      </c>
      <c r="D404" s="39" t="s">
        <v>1053</v>
      </c>
      <c r="E404" s="40">
        <v>45038</v>
      </c>
      <c r="F404" s="10">
        <v>129</v>
      </c>
      <c r="G404" s="42">
        <v>4</v>
      </c>
      <c r="H404">
        <f>IF(MONTH(calls[[#This Row],[Date of Call]])&lt;=6,YEAR(calls[[#This Row],[Date of Call]]),YEAR(calls[[#This Row],[Date of Call]])+1)</f>
        <v>2023</v>
      </c>
      <c r="I404" t="str">
        <f>TEXT(calls[[#This Row],[Date of Call]],"DDDD")</f>
        <v>Saturday</v>
      </c>
      <c r="J404" t="str" cm="1">
        <f t="array" ref="J404">_xlfn.IFS(calls[[#This Row],[Duration]]&lt;=10,"UNDER 10 MINS",calls[[#This Row],[Duration]]&lt;=30,"10 TO 30 MINS",calls[[#This Row],[Duration]]&lt;=60,"30 TO 60 MINS",calls[[#This Row],[Duration]]&lt;=120,"1 TO 2 HRS",TRUE,"MORE THAN 2 HRS")</f>
        <v>1 TO 2 HRS</v>
      </c>
      <c r="K404">
        <f>ROUND(calls[[#This Row],[Satisfaction Rating]],0)</f>
        <v>4</v>
      </c>
    </row>
    <row r="405" spans="1:11" x14ac:dyDescent="0.3">
      <c r="A405" s="41" t="s">
        <v>1456</v>
      </c>
      <c r="B405" s="10" t="s">
        <v>1056</v>
      </c>
      <c r="C405" s="10">
        <v>84</v>
      </c>
      <c r="D405" s="39" t="s">
        <v>1038</v>
      </c>
      <c r="E405" s="40">
        <v>45038</v>
      </c>
      <c r="F405" s="10">
        <v>156</v>
      </c>
      <c r="G405" s="42">
        <v>3.2</v>
      </c>
      <c r="H405">
        <f>IF(MONTH(calls[[#This Row],[Date of Call]])&lt;=6,YEAR(calls[[#This Row],[Date of Call]]),YEAR(calls[[#This Row],[Date of Call]])+1)</f>
        <v>2023</v>
      </c>
      <c r="I405" t="str">
        <f>TEXT(calls[[#This Row],[Date of Call]],"DDDD")</f>
        <v>Saturday</v>
      </c>
      <c r="J405" t="str" cm="1">
        <f t="array" ref="J405">_xlfn.IFS(calls[[#This Row],[Duration]]&lt;=10,"UNDER 10 MINS",calls[[#This Row],[Duration]]&lt;=30,"10 TO 30 MINS",calls[[#This Row],[Duration]]&lt;=60,"30 TO 60 MINS",calls[[#This Row],[Duration]]&lt;=120,"1 TO 2 HRS",TRUE,"MORE THAN 2 HRS")</f>
        <v>1 TO 2 HRS</v>
      </c>
      <c r="K405">
        <f>ROUND(calls[[#This Row],[Satisfaction Rating]],0)</f>
        <v>3</v>
      </c>
    </row>
    <row r="406" spans="1:11" x14ac:dyDescent="0.3">
      <c r="A406" s="41" t="s">
        <v>1457</v>
      </c>
      <c r="B406" s="10" t="s">
        <v>1062</v>
      </c>
      <c r="C406" s="10">
        <v>130</v>
      </c>
      <c r="D406" s="39" t="s">
        <v>1048</v>
      </c>
      <c r="E406" s="40">
        <v>45039</v>
      </c>
      <c r="F406" s="10">
        <v>120</v>
      </c>
      <c r="G406" s="42">
        <v>3.8</v>
      </c>
      <c r="H406">
        <f>IF(MONTH(calls[[#This Row],[Date of Call]])&lt;=6,YEAR(calls[[#This Row],[Date of Call]]),YEAR(calls[[#This Row],[Date of Call]])+1)</f>
        <v>2023</v>
      </c>
      <c r="I406" t="str">
        <f>TEXT(calls[[#This Row],[Date of Call]],"DDDD")</f>
        <v>Sunday</v>
      </c>
      <c r="J406" t="str" cm="1">
        <f t="array" ref="J406">_xlfn.IFS(calls[[#This Row],[Duration]]&lt;=10,"UNDER 10 MINS",calls[[#This Row],[Duration]]&lt;=30,"10 TO 30 MINS",calls[[#This Row],[Duration]]&lt;=60,"30 TO 60 MINS",calls[[#This Row],[Duration]]&lt;=120,"1 TO 2 HRS",TRUE,"MORE THAN 2 HRS")</f>
        <v>MORE THAN 2 HRS</v>
      </c>
      <c r="K406">
        <f>ROUND(calls[[#This Row],[Satisfaction Rating]],0)</f>
        <v>4</v>
      </c>
    </row>
    <row r="407" spans="1:11" x14ac:dyDescent="0.3">
      <c r="A407" s="41" t="s">
        <v>1458</v>
      </c>
      <c r="B407" s="10" t="s">
        <v>1045</v>
      </c>
      <c r="C407" s="10">
        <v>163</v>
      </c>
      <c r="D407" s="39" t="s">
        <v>1053</v>
      </c>
      <c r="E407" s="40">
        <v>45039</v>
      </c>
      <c r="F407" s="10">
        <v>62</v>
      </c>
      <c r="G407" s="42">
        <v>3.4</v>
      </c>
      <c r="H407">
        <f>IF(MONTH(calls[[#This Row],[Date of Call]])&lt;=6,YEAR(calls[[#This Row],[Date of Call]]),YEAR(calls[[#This Row],[Date of Call]])+1)</f>
        <v>2023</v>
      </c>
      <c r="I407" t="str">
        <f>TEXT(calls[[#This Row],[Date of Call]],"DDDD")</f>
        <v>Sunday</v>
      </c>
      <c r="J407" t="str" cm="1">
        <f t="array" ref="J407">_xlfn.IFS(calls[[#This Row],[Duration]]&lt;=10,"UNDER 10 MINS",calls[[#This Row],[Duration]]&lt;=30,"10 TO 30 MINS",calls[[#This Row],[Duration]]&lt;=60,"30 TO 60 MINS",calls[[#This Row],[Duration]]&lt;=120,"1 TO 2 HRS",TRUE,"MORE THAN 2 HRS")</f>
        <v>MORE THAN 2 HRS</v>
      </c>
      <c r="K407">
        <f>ROUND(calls[[#This Row],[Satisfaction Rating]],0)</f>
        <v>3</v>
      </c>
    </row>
    <row r="408" spans="1:11" x14ac:dyDescent="0.3">
      <c r="A408" s="41" t="s">
        <v>1459</v>
      </c>
      <c r="B408" s="10" t="s">
        <v>1068</v>
      </c>
      <c r="C408" s="10">
        <v>127</v>
      </c>
      <c r="D408" s="39" t="s">
        <v>1048</v>
      </c>
      <c r="E408" s="40">
        <v>45039</v>
      </c>
      <c r="F408" s="10">
        <v>160</v>
      </c>
      <c r="G408" s="42">
        <v>3.2</v>
      </c>
      <c r="H408">
        <f>IF(MONTH(calls[[#This Row],[Date of Call]])&lt;=6,YEAR(calls[[#This Row],[Date of Call]]),YEAR(calls[[#This Row],[Date of Call]])+1)</f>
        <v>2023</v>
      </c>
      <c r="I408" t="str">
        <f>TEXT(calls[[#This Row],[Date of Call]],"DDDD")</f>
        <v>Sunday</v>
      </c>
      <c r="J408" t="str" cm="1">
        <f t="array" ref="J408">_xlfn.IFS(calls[[#This Row],[Duration]]&lt;=10,"UNDER 10 MINS",calls[[#This Row],[Duration]]&lt;=30,"10 TO 30 MINS",calls[[#This Row],[Duration]]&lt;=60,"30 TO 60 MINS",calls[[#This Row],[Duration]]&lt;=120,"1 TO 2 HRS",TRUE,"MORE THAN 2 HRS")</f>
        <v>MORE THAN 2 HRS</v>
      </c>
      <c r="K408">
        <f>ROUND(calls[[#This Row],[Satisfaction Rating]],0)</f>
        <v>3</v>
      </c>
    </row>
    <row r="409" spans="1:11" x14ac:dyDescent="0.3">
      <c r="A409" s="41" t="s">
        <v>1460</v>
      </c>
      <c r="B409" s="10" t="s">
        <v>1040</v>
      </c>
      <c r="C409" s="10">
        <v>50</v>
      </c>
      <c r="D409" s="39" t="s">
        <v>1048</v>
      </c>
      <c r="E409" s="40">
        <v>45039</v>
      </c>
      <c r="F409" s="10">
        <v>56</v>
      </c>
      <c r="G409" s="42">
        <v>4.7</v>
      </c>
      <c r="H409">
        <f>IF(MONTH(calls[[#This Row],[Date of Call]])&lt;=6,YEAR(calls[[#This Row],[Date of Call]]),YEAR(calls[[#This Row],[Date of Call]])+1)</f>
        <v>2023</v>
      </c>
      <c r="I409" t="str">
        <f>TEXT(calls[[#This Row],[Date of Call]],"DDDD")</f>
        <v>Sunday</v>
      </c>
      <c r="J409" t="str" cm="1">
        <f t="array" ref="J409">_xlfn.IFS(calls[[#This Row],[Duration]]&lt;=10,"UNDER 10 MINS",calls[[#This Row],[Duration]]&lt;=30,"10 TO 30 MINS",calls[[#This Row],[Duration]]&lt;=60,"30 TO 60 MINS",calls[[#This Row],[Duration]]&lt;=120,"1 TO 2 HRS",TRUE,"MORE THAN 2 HRS")</f>
        <v>30 TO 60 MINS</v>
      </c>
      <c r="K409">
        <f>ROUND(calls[[#This Row],[Satisfaction Rating]],0)</f>
        <v>5</v>
      </c>
    </row>
    <row r="410" spans="1:11" x14ac:dyDescent="0.3">
      <c r="A410" s="41" t="s">
        <v>1461</v>
      </c>
      <c r="B410" s="10" t="s">
        <v>1051</v>
      </c>
      <c r="C410" s="10">
        <v>88</v>
      </c>
      <c r="D410" s="39" t="s">
        <v>1057</v>
      </c>
      <c r="E410" s="40">
        <v>45039</v>
      </c>
      <c r="F410" s="10">
        <v>72</v>
      </c>
      <c r="G410" s="42">
        <v>4</v>
      </c>
      <c r="H410">
        <f>IF(MONTH(calls[[#This Row],[Date of Call]])&lt;=6,YEAR(calls[[#This Row],[Date of Call]]),YEAR(calls[[#This Row],[Date of Call]])+1)</f>
        <v>2023</v>
      </c>
      <c r="I410" t="str">
        <f>TEXT(calls[[#This Row],[Date of Call]],"DDDD")</f>
        <v>Sunday</v>
      </c>
      <c r="J410" t="str" cm="1">
        <f t="array" ref="J410">_xlfn.IFS(calls[[#This Row],[Duration]]&lt;=10,"UNDER 10 MINS",calls[[#This Row],[Duration]]&lt;=30,"10 TO 30 MINS",calls[[#This Row],[Duration]]&lt;=60,"30 TO 60 MINS",calls[[#This Row],[Duration]]&lt;=120,"1 TO 2 HRS",TRUE,"MORE THAN 2 HRS")</f>
        <v>1 TO 2 HRS</v>
      </c>
      <c r="K410">
        <f>ROUND(calls[[#This Row],[Satisfaction Rating]],0)</f>
        <v>4</v>
      </c>
    </row>
    <row r="411" spans="1:11" x14ac:dyDescent="0.3">
      <c r="A411" s="41" t="s">
        <v>1462</v>
      </c>
      <c r="B411" s="10" t="s">
        <v>1040</v>
      </c>
      <c r="C411" s="10">
        <v>139</v>
      </c>
      <c r="D411" s="39" t="s">
        <v>1043</v>
      </c>
      <c r="E411" s="40">
        <v>45040</v>
      </c>
      <c r="F411" s="10">
        <v>81</v>
      </c>
      <c r="G411" s="42">
        <v>4.8</v>
      </c>
      <c r="H411">
        <f>IF(MONTH(calls[[#This Row],[Date of Call]])&lt;=6,YEAR(calls[[#This Row],[Date of Call]]),YEAR(calls[[#This Row],[Date of Call]])+1)</f>
        <v>2023</v>
      </c>
      <c r="I411" t="str">
        <f>TEXT(calls[[#This Row],[Date of Call]],"DDDD")</f>
        <v>Monday</v>
      </c>
      <c r="J411" t="str" cm="1">
        <f t="array" ref="J411">_xlfn.IFS(calls[[#This Row],[Duration]]&lt;=10,"UNDER 10 MINS",calls[[#This Row],[Duration]]&lt;=30,"10 TO 30 MINS",calls[[#This Row],[Duration]]&lt;=60,"30 TO 60 MINS",calls[[#This Row],[Duration]]&lt;=120,"1 TO 2 HRS",TRUE,"MORE THAN 2 HRS")</f>
        <v>MORE THAN 2 HRS</v>
      </c>
      <c r="K411">
        <f>ROUND(calls[[#This Row],[Satisfaction Rating]],0)</f>
        <v>5</v>
      </c>
    </row>
    <row r="412" spans="1:11" x14ac:dyDescent="0.3">
      <c r="A412" s="41" t="s">
        <v>1463</v>
      </c>
      <c r="B412" s="10" t="s">
        <v>1045</v>
      </c>
      <c r="C412" s="10">
        <v>111</v>
      </c>
      <c r="D412" s="39" t="s">
        <v>1048</v>
      </c>
      <c r="E412" s="40">
        <v>45040</v>
      </c>
      <c r="F412" s="10">
        <v>144</v>
      </c>
      <c r="G412" s="42">
        <v>3.9</v>
      </c>
      <c r="H412">
        <f>IF(MONTH(calls[[#This Row],[Date of Call]])&lt;=6,YEAR(calls[[#This Row],[Date of Call]]),YEAR(calls[[#This Row],[Date of Call]])+1)</f>
        <v>2023</v>
      </c>
      <c r="I412" t="str">
        <f>TEXT(calls[[#This Row],[Date of Call]],"DDDD")</f>
        <v>Monday</v>
      </c>
      <c r="J412" t="str" cm="1">
        <f t="array" ref="J412">_xlfn.IFS(calls[[#This Row],[Duration]]&lt;=10,"UNDER 10 MINS",calls[[#This Row],[Duration]]&lt;=30,"10 TO 30 MINS",calls[[#This Row],[Duration]]&lt;=60,"30 TO 60 MINS",calls[[#This Row],[Duration]]&lt;=120,"1 TO 2 HRS",TRUE,"MORE THAN 2 HRS")</f>
        <v>1 TO 2 HRS</v>
      </c>
      <c r="K412">
        <f>ROUND(calls[[#This Row],[Satisfaction Rating]],0)</f>
        <v>4</v>
      </c>
    </row>
    <row r="413" spans="1:11" x14ac:dyDescent="0.3">
      <c r="A413" s="41" t="s">
        <v>1464</v>
      </c>
      <c r="B413" s="10" t="s">
        <v>1042</v>
      </c>
      <c r="C413" s="10">
        <v>115</v>
      </c>
      <c r="D413" s="39" t="s">
        <v>1043</v>
      </c>
      <c r="E413" s="40">
        <v>45040</v>
      </c>
      <c r="F413" s="10">
        <v>111</v>
      </c>
      <c r="G413" s="42">
        <v>4.3</v>
      </c>
      <c r="H413">
        <f>IF(MONTH(calls[[#This Row],[Date of Call]])&lt;=6,YEAR(calls[[#This Row],[Date of Call]]),YEAR(calls[[#This Row],[Date of Call]])+1)</f>
        <v>2023</v>
      </c>
      <c r="I413" t="str">
        <f>TEXT(calls[[#This Row],[Date of Call]],"DDDD")</f>
        <v>Monday</v>
      </c>
      <c r="J413" t="str" cm="1">
        <f t="array" ref="J413">_xlfn.IFS(calls[[#This Row],[Duration]]&lt;=10,"UNDER 10 MINS",calls[[#This Row],[Duration]]&lt;=30,"10 TO 30 MINS",calls[[#This Row],[Duration]]&lt;=60,"30 TO 60 MINS",calls[[#This Row],[Duration]]&lt;=120,"1 TO 2 HRS",TRUE,"MORE THAN 2 HRS")</f>
        <v>1 TO 2 HRS</v>
      </c>
      <c r="K413">
        <f>ROUND(calls[[#This Row],[Satisfaction Rating]],0)</f>
        <v>4</v>
      </c>
    </row>
    <row r="414" spans="1:11" x14ac:dyDescent="0.3">
      <c r="A414" s="41" t="s">
        <v>1465</v>
      </c>
      <c r="B414" s="10" t="s">
        <v>1109</v>
      </c>
      <c r="C414" s="10">
        <v>26</v>
      </c>
      <c r="D414" s="39" t="s">
        <v>1053</v>
      </c>
      <c r="E414" s="40">
        <v>45040</v>
      </c>
      <c r="F414" s="10">
        <v>43</v>
      </c>
      <c r="G414" s="42">
        <v>4.2</v>
      </c>
      <c r="H414">
        <f>IF(MONTH(calls[[#This Row],[Date of Call]])&lt;=6,YEAR(calls[[#This Row],[Date of Call]]),YEAR(calls[[#This Row],[Date of Call]])+1)</f>
        <v>2023</v>
      </c>
      <c r="I414" t="str">
        <f>TEXT(calls[[#This Row],[Date of Call]],"DDDD")</f>
        <v>Monday</v>
      </c>
      <c r="J414" t="str" cm="1">
        <f t="array" ref="J414">_xlfn.IFS(calls[[#This Row],[Duration]]&lt;=10,"UNDER 10 MINS",calls[[#This Row],[Duration]]&lt;=30,"10 TO 30 MINS",calls[[#This Row],[Duration]]&lt;=60,"30 TO 60 MINS",calls[[#This Row],[Duration]]&lt;=120,"1 TO 2 HRS",TRUE,"MORE THAN 2 HRS")</f>
        <v>10 TO 30 MINS</v>
      </c>
      <c r="K414">
        <f>ROUND(calls[[#This Row],[Satisfaction Rating]],0)</f>
        <v>4</v>
      </c>
    </row>
    <row r="415" spans="1:11" x14ac:dyDescent="0.3">
      <c r="A415" s="41" t="s">
        <v>1466</v>
      </c>
      <c r="B415" s="10" t="s">
        <v>1056</v>
      </c>
      <c r="C415" s="10">
        <v>131</v>
      </c>
      <c r="D415" s="39" t="s">
        <v>1057</v>
      </c>
      <c r="E415" s="40">
        <v>45040</v>
      </c>
      <c r="F415" s="10">
        <v>41</v>
      </c>
      <c r="G415" s="42">
        <v>4.9000000000000004</v>
      </c>
      <c r="H415">
        <f>IF(MONTH(calls[[#This Row],[Date of Call]])&lt;=6,YEAR(calls[[#This Row],[Date of Call]]),YEAR(calls[[#This Row],[Date of Call]])+1)</f>
        <v>2023</v>
      </c>
      <c r="I415" t="str">
        <f>TEXT(calls[[#This Row],[Date of Call]],"DDDD")</f>
        <v>Monday</v>
      </c>
      <c r="J415" t="str" cm="1">
        <f t="array" ref="J415">_xlfn.IFS(calls[[#This Row],[Duration]]&lt;=10,"UNDER 10 MINS",calls[[#This Row],[Duration]]&lt;=30,"10 TO 30 MINS",calls[[#This Row],[Duration]]&lt;=60,"30 TO 60 MINS",calls[[#This Row],[Duration]]&lt;=120,"1 TO 2 HRS",TRUE,"MORE THAN 2 HRS")</f>
        <v>MORE THAN 2 HRS</v>
      </c>
      <c r="K415">
        <f>ROUND(calls[[#This Row],[Satisfaction Rating]],0)</f>
        <v>5</v>
      </c>
    </row>
    <row r="416" spans="1:11" x14ac:dyDescent="0.3">
      <c r="A416" s="41" t="s">
        <v>1467</v>
      </c>
      <c r="B416" s="10" t="s">
        <v>1042</v>
      </c>
      <c r="C416" s="10">
        <v>27</v>
      </c>
      <c r="D416" s="39" t="s">
        <v>1057</v>
      </c>
      <c r="E416" s="40">
        <v>45040</v>
      </c>
      <c r="F416" s="10">
        <v>74</v>
      </c>
      <c r="G416" s="42">
        <v>4</v>
      </c>
      <c r="H416">
        <f>IF(MONTH(calls[[#This Row],[Date of Call]])&lt;=6,YEAR(calls[[#This Row],[Date of Call]]),YEAR(calls[[#This Row],[Date of Call]])+1)</f>
        <v>2023</v>
      </c>
      <c r="I416" t="str">
        <f>TEXT(calls[[#This Row],[Date of Call]],"DDDD")</f>
        <v>Monday</v>
      </c>
      <c r="J416" t="str" cm="1">
        <f t="array" ref="J416">_xlfn.IFS(calls[[#This Row],[Duration]]&lt;=10,"UNDER 10 MINS",calls[[#This Row],[Duration]]&lt;=30,"10 TO 30 MINS",calls[[#This Row],[Duration]]&lt;=60,"30 TO 60 MINS",calls[[#This Row],[Duration]]&lt;=120,"1 TO 2 HRS",TRUE,"MORE THAN 2 HRS")</f>
        <v>10 TO 30 MINS</v>
      </c>
      <c r="K416">
        <f>ROUND(calls[[#This Row],[Satisfaction Rating]],0)</f>
        <v>4</v>
      </c>
    </row>
    <row r="417" spans="1:11" x14ac:dyDescent="0.3">
      <c r="A417" s="41" t="s">
        <v>1468</v>
      </c>
      <c r="B417" s="10" t="s">
        <v>1079</v>
      </c>
      <c r="C417" s="10">
        <v>75</v>
      </c>
      <c r="D417" s="39" t="s">
        <v>1048</v>
      </c>
      <c r="E417" s="40">
        <v>45040</v>
      </c>
      <c r="F417" s="10">
        <v>43</v>
      </c>
      <c r="G417" s="42">
        <v>4.9000000000000004</v>
      </c>
      <c r="H417">
        <f>IF(MONTH(calls[[#This Row],[Date of Call]])&lt;=6,YEAR(calls[[#This Row],[Date of Call]]),YEAR(calls[[#This Row],[Date of Call]])+1)</f>
        <v>2023</v>
      </c>
      <c r="I417" t="str">
        <f>TEXT(calls[[#This Row],[Date of Call]],"DDDD")</f>
        <v>Monday</v>
      </c>
      <c r="J417" t="str" cm="1">
        <f t="array" ref="J417">_xlfn.IFS(calls[[#This Row],[Duration]]&lt;=10,"UNDER 10 MINS",calls[[#This Row],[Duration]]&lt;=30,"10 TO 30 MINS",calls[[#This Row],[Duration]]&lt;=60,"30 TO 60 MINS",calls[[#This Row],[Duration]]&lt;=120,"1 TO 2 HRS",TRUE,"MORE THAN 2 HRS")</f>
        <v>1 TO 2 HRS</v>
      </c>
      <c r="K417">
        <f>ROUND(calls[[#This Row],[Satisfaction Rating]],0)</f>
        <v>5</v>
      </c>
    </row>
    <row r="418" spans="1:11" x14ac:dyDescent="0.3">
      <c r="A418" s="41" t="s">
        <v>1469</v>
      </c>
      <c r="B418" s="10" t="s">
        <v>1071</v>
      </c>
      <c r="C418" s="10">
        <v>123</v>
      </c>
      <c r="D418" s="39" t="s">
        <v>1057</v>
      </c>
      <c r="E418" s="40">
        <v>45040</v>
      </c>
      <c r="F418" s="10">
        <v>128</v>
      </c>
      <c r="G418" s="42">
        <v>3.6</v>
      </c>
      <c r="H418">
        <f>IF(MONTH(calls[[#This Row],[Date of Call]])&lt;=6,YEAR(calls[[#This Row],[Date of Call]]),YEAR(calls[[#This Row],[Date of Call]])+1)</f>
        <v>2023</v>
      </c>
      <c r="I418" t="str">
        <f>TEXT(calls[[#This Row],[Date of Call]],"DDDD")</f>
        <v>Monday</v>
      </c>
      <c r="J418" t="str" cm="1">
        <f t="array" ref="J418">_xlfn.IFS(calls[[#This Row],[Duration]]&lt;=10,"UNDER 10 MINS",calls[[#This Row],[Duration]]&lt;=30,"10 TO 30 MINS",calls[[#This Row],[Duration]]&lt;=60,"30 TO 60 MINS",calls[[#This Row],[Duration]]&lt;=120,"1 TO 2 HRS",TRUE,"MORE THAN 2 HRS")</f>
        <v>MORE THAN 2 HRS</v>
      </c>
      <c r="K418">
        <f>ROUND(calls[[#This Row],[Satisfaction Rating]],0)</f>
        <v>4</v>
      </c>
    </row>
    <row r="419" spans="1:11" x14ac:dyDescent="0.3">
      <c r="A419" s="41" t="s">
        <v>1470</v>
      </c>
      <c r="B419" s="10" t="s">
        <v>1037</v>
      </c>
      <c r="C419" s="10">
        <v>129</v>
      </c>
      <c r="D419" s="39" t="s">
        <v>1057</v>
      </c>
      <c r="E419" s="40">
        <v>45041</v>
      </c>
      <c r="F419" s="10">
        <v>144</v>
      </c>
      <c r="G419" s="42">
        <v>4.0999999999999996</v>
      </c>
      <c r="H419">
        <f>IF(MONTH(calls[[#This Row],[Date of Call]])&lt;=6,YEAR(calls[[#This Row],[Date of Call]]),YEAR(calls[[#This Row],[Date of Call]])+1)</f>
        <v>2023</v>
      </c>
      <c r="I419" t="str">
        <f>TEXT(calls[[#This Row],[Date of Call]],"DDDD")</f>
        <v>Tuesday</v>
      </c>
      <c r="J419" t="str" cm="1">
        <f t="array" ref="J419">_xlfn.IFS(calls[[#This Row],[Duration]]&lt;=10,"UNDER 10 MINS",calls[[#This Row],[Duration]]&lt;=30,"10 TO 30 MINS",calls[[#This Row],[Duration]]&lt;=60,"30 TO 60 MINS",calls[[#This Row],[Duration]]&lt;=120,"1 TO 2 HRS",TRUE,"MORE THAN 2 HRS")</f>
        <v>MORE THAN 2 HRS</v>
      </c>
      <c r="K419">
        <f>ROUND(calls[[#This Row],[Satisfaction Rating]],0)</f>
        <v>4</v>
      </c>
    </row>
    <row r="420" spans="1:11" x14ac:dyDescent="0.3">
      <c r="A420" s="41" t="s">
        <v>1471</v>
      </c>
      <c r="B420" s="10" t="s">
        <v>1079</v>
      </c>
      <c r="C420" s="10">
        <v>124</v>
      </c>
      <c r="D420" s="39" t="s">
        <v>1043</v>
      </c>
      <c r="E420" s="40">
        <v>45041</v>
      </c>
      <c r="F420" s="10">
        <v>132</v>
      </c>
      <c r="G420" s="42">
        <v>4.9000000000000004</v>
      </c>
      <c r="H420">
        <f>IF(MONTH(calls[[#This Row],[Date of Call]])&lt;=6,YEAR(calls[[#This Row],[Date of Call]]),YEAR(calls[[#This Row],[Date of Call]])+1)</f>
        <v>2023</v>
      </c>
      <c r="I420" t="str">
        <f>TEXT(calls[[#This Row],[Date of Call]],"DDDD")</f>
        <v>Tuesday</v>
      </c>
      <c r="J420" t="str" cm="1">
        <f t="array" ref="J420">_xlfn.IFS(calls[[#This Row],[Duration]]&lt;=10,"UNDER 10 MINS",calls[[#This Row],[Duration]]&lt;=30,"10 TO 30 MINS",calls[[#This Row],[Duration]]&lt;=60,"30 TO 60 MINS",calls[[#This Row],[Duration]]&lt;=120,"1 TO 2 HRS",TRUE,"MORE THAN 2 HRS")</f>
        <v>MORE THAN 2 HRS</v>
      </c>
      <c r="K420">
        <f>ROUND(calls[[#This Row],[Satisfaction Rating]],0)</f>
        <v>5</v>
      </c>
    </row>
    <row r="421" spans="1:11" x14ac:dyDescent="0.3">
      <c r="A421" s="41" t="s">
        <v>1472</v>
      </c>
      <c r="B421" s="10" t="s">
        <v>1042</v>
      </c>
      <c r="C421" s="10">
        <v>108</v>
      </c>
      <c r="D421" s="39" t="s">
        <v>1043</v>
      </c>
      <c r="E421" s="40">
        <v>45041</v>
      </c>
      <c r="F421" s="10">
        <v>180</v>
      </c>
      <c r="G421" s="42">
        <v>3.9</v>
      </c>
      <c r="H421">
        <f>IF(MONTH(calls[[#This Row],[Date of Call]])&lt;=6,YEAR(calls[[#This Row],[Date of Call]]),YEAR(calls[[#This Row],[Date of Call]])+1)</f>
        <v>2023</v>
      </c>
      <c r="I421" t="str">
        <f>TEXT(calls[[#This Row],[Date of Call]],"DDDD")</f>
        <v>Tuesday</v>
      </c>
      <c r="J421" t="str" cm="1">
        <f t="array" ref="J421">_xlfn.IFS(calls[[#This Row],[Duration]]&lt;=10,"UNDER 10 MINS",calls[[#This Row],[Duration]]&lt;=30,"10 TO 30 MINS",calls[[#This Row],[Duration]]&lt;=60,"30 TO 60 MINS",calls[[#This Row],[Duration]]&lt;=120,"1 TO 2 HRS",TRUE,"MORE THAN 2 HRS")</f>
        <v>1 TO 2 HRS</v>
      </c>
      <c r="K421">
        <f>ROUND(calls[[#This Row],[Satisfaction Rating]],0)</f>
        <v>4</v>
      </c>
    </row>
    <row r="422" spans="1:11" x14ac:dyDescent="0.3">
      <c r="A422" s="41" t="s">
        <v>1473</v>
      </c>
      <c r="B422" s="10" t="s">
        <v>1047</v>
      </c>
      <c r="C422" s="10">
        <v>15</v>
      </c>
      <c r="D422" s="39" t="s">
        <v>1043</v>
      </c>
      <c r="E422" s="40">
        <v>45041</v>
      </c>
      <c r="F422" s="10">
        <v>31</v>
      </c>
      <c r="G422" s="42">
        <v>4.0999999999999996</v>
      </c>
      <c r="H422">
        <f>IF(MONTH(calls[[#This Row],[Date of Call]])&lt;=6,YEAR(calls[[#This Row],[Date of Call]]),YEAR(calls[[#This Row],[Date of Call]])+1)</f>
        <v>2023</v>
      </c>
      <c r="I422" t="str">
        <f>TEXT(calls[[#This Row],[Date of Call]],"DDDD")</f>
        <v>Tuesday</v>
      </c>
      <c r="J422" t="str" cm="1">
        <f t="array" ref="J422">_xlfn.IFS(calls[[#This Row],[Duration]]&lt;=10,"UNDER 10 MINS",calls[[#This Row],[Duration]]&lt;=30,"10 TO 30 MINS",calls[[#This Row],[Duration]]&lt;=60,"30 TO 60 MINS",calls[[#This Row],[Duration]]&lt;=120,"1 TO 2 HRS",TRUE,"MORE THAN 2 HRS")</f>
        <v>10 TO 30 MINS</v>
      </c>
      <c r="K422">
        <f>ROUND(calls[[#This Row],[Satisfaction Rating]],0)</f>
        <v>4</v>
      </c>
    </row>
    <row r="423" spans="1:11" x14ac:dyDescent="0.3">
      <c r="A423" s="41" t="s">
        <v>1474</v>
      </c>
      <c r="B423" s="10" t="s">
        <v>1042</v>
      </c>
      <c r="C423" s="10">
        <v>66</v>
      </c>
      <c r="D423" s="39" t="s">
        <v>1043</v>
      </c>
      <c r="E423" s="40">
        <v>45041</v>
      </c>
      <c r="F423" s="10">
        <v>102</v>
      </c>
      <c r="G423" s="42">
        <v>3.8</v>
      </c>
      <c r="H423">
        <f>IF(MONTH(calls[[#This Row],[Date of Call]])&lt;=6,YEAR(calls[[#This Row],[Date of Call]]),YEAR(calls[[#This Row],[Date of Call]])+1)</f>
        <v>2023</v>
      </c>
      <c r="I423" t="str">
        <f>TEXT(calls[[#This Row],[Date of Call]],"DDDD")</f>
        <v>Tuesday</v>
      </c>
      <c r="J423" t="str" cm="1">
        <f t="array" ref="J423">_xlfn.IFS(calls[[#This Row],[Duration]]&lt;=10,"UNDER 10 MINS",calls[[#This Row],[Duration]]&lt;=30,"10 TO 30 MINS",calls[[#This Row],[Duration]]&lt;=60,"30 TO 60 MINS",calls[[#This Row],[Duration]]&lt;=120,"1 TO 2 HRS",TRUE,"MORE THAN 2 HRS")</f>
        <v>1 TO 2 HRS</v>
      </c>
      <c r="K423">
        <f>ROUND(calls[[#This Row],[Satisfaction Rating]],0)</f>
        <v>4</v>
      </c>
    </row>
    <row r="424" spans="1:11" x14ac:dyDescent="0.3">
      <c r="A424" s="41" t="s">
        <v>1475</v>
      </c>
      <c r="B424" s="10" t="s">
        <v>1051</v>
      </c>
      <c r="C424" s="10">
        <v>126</v>
      </c>
      <c r="D424" s="39" t="s">
        <v>1048</v>
      </c>
      <c r="E424" s="40">
        <v>45042</v>
      </c>
      <c r="F424" s="10">
        <v>175</v>
      </c>
      <c r="G424" s="42">
        <v>4.8</v>
      </c>
      <c r="H424">
        <f>IF(MONTH(calls[[#This Row],[Date of Call]])&lt;=6,YEAR(calls[[#This Row],[Date of Call]]),YEAR(calls[[#This Row],[Date of Call]])+1)</f>
        <v>2023</v>
      </c>
      <c r="I424" t="str">
        <f>TEXT(calls[[#This Row],[Date of Call]],"DDDD")</f>
        <v>Wednesday</v>
      </c>
      <c r="J424" t="str" cm="1">
        <f t="array" ref="J424">_xlfn.IFS(calls[[#This Row],[Duration]]&lt;=10,"UNDER 10 MINS",calls[[#This Row],[Duration]]&lt;=30,"10 TO 30 MINS",calls[[#This Row],[Duration]]&lt;=60,"30 TO 60 MINS",calls[[#This Row],[Duration]]&lt;=120,"1 TO 2 HRS",TRUE,"MORE THAN 2 HRS")</f>
        <v>MORE THAN 2 HRS</v>
      </c>
      <c r="K424">
        <f>ROUND(calls[[#This Row],[Satisfaction Rating]],0)</f>
        <v>5</v>
      </c>
    </row>
    <row r="425" spans="1:11" x14ac:dyDescent="0.3">
      <c r="A425" s="41" t="s">
        <v>1476</v>
      </c>
      <c r="B425" s="10" t="s">
        <v>1079</v>
      </c>
      <c r="C425" s="10">
        <v>26</v>
      </c>
      <c r="D425" s="39" t="s">
        <v>1038</v>
      </c>
      <c r="E425" s="40">
        <v>45042</v>
      </c>
      <c r="F425" s="10">
        <v>87</v>
      </c>
      <c r="G425" s="42">
        <v>4.7</v>
      </c>
      <c r="H425">
        <f>IF(MONTH(calls[[#This Row],[Date of Call]])&lt;=6,YEAR(calls[[#This Row],[Date of Call]]),YEAR(calls[[#This Row],[Date of Call]])+1)</f>
        <v>2023</v>
      </c>
      <c r="I425" t="str">
        <f>TEXT(calls[[#This Row],[Date of Call]],"DDDD")</f>
        <v>Wednesday</v>
      </c>
      <c r="J425" t="str" cm="1">
        <f t="array" ref="J425">_xlfn.IFS(calls[[#This Row],[Duration]]&lt;=10,"UNDER 10 MINS",calls[[#This Row],[Duration]]&lt;=30,"10 TO 30 MINS",calls[[#This Row],[Duration]]&lt;=60,"30 TO 60 MINS",calls[[#This Row],[Duration]]&lt;=120,"1 TO 2 HRS",TRUE,"MORE THAN 2 HRS")</f>
        <v>10 TO 30 MINS</v>
      </c>
      <c r="K425">
        <f>ROUND(calls[[#This Row],[Satisfaction Rating]],0)</f>
        <v>5</v>
      </c>
    </row>
    <row r="426" spans="1:11" x14ac:dyDescent="0.3">
      <c r="A426" s="41" t="s">
        <v>1477</v>
      </c>
      <c r="B426" s="10" t="s">
        <v>1062</v>
      </c>
      <c r="C426" s="10">
        <v>105</v>
      </c>
      <c r="D426" s="39" t="s">
        <v>1048</v>
      </c>
      <c r="E426" s="40">
        <v>45042</v>
      </c>
      <c r="F426" s="10">
        <v>66</v>
      </c>
      <c r="G426" s="42">
        <v>4.2</v>
      </c>
      <c r="H426">
        <f>IF(MONTH(calls[[#This Row],[Date of Call]])&lt;=6,YEAR(calls[[#This Row],[Date of Call]]),YEAR(calls[[#This Row],[Date of Call]])+1)</f>
        <v>2023</v>
      </c>
      <c r="I426" t="str">
        <f>TEXT(calls[[#This Row],[Date of Call]],"DDDD")</f>
        <v>Wednesday</v>
      </c>
      <c r="J426" t="str" cm="1">
        <f t="array" ref="J426">_xlfn.IFS(calls[[#This Row],[Duration]]&lt;=10,"UNDER 10 MINS",calls[[#This Row],[Duration]]&lt;=30,"10 TO 30 MINS",calls[[#This Row],[Duration]]&lt;=60,"30 TO 60 MINS",calls[[#This Row],[Duration]]&lt;=120,"1 TO 2 HRS",TRUE,"MORE THAN 2 HRS")</f>
        <v>1 TO 2 HRS</v>
      </c>
      <c r="K426">
        <f>ROUND(calls[[#This Row],[Satisfaction Rating]],0)</f>
        <v>4</v>
      </c>
    </row>
    <row r="427" spans="1:11" x14ac:dyDescent="0.3">
      <c r="A427" s="41" t="s">
        <v>1478</v>
      </c>
      <c r="B427" s="10" t="s">
        <v>1062</v>
      </c>
      <c r="C427" s="10">
        <v>31</v>
      </c>
      <c r="D427" s="39" t="s">
        <v>1048</v>
      </c>
      <c r="E427" s="40">
        <v>45042</v>
      </c>
      <c r="F427" s="10">
        <v>25</v>
      </c>
      <c r="G427" s="42">
        <v>3.2</v>
      </c>
      <c r="H427">
        <f>IF(MONTH(calls[[#This Row],[Date of Call]])&lt;=6,YEAR(calls[[#This Row],[Date of Call]]),YEAR(calls[[#This Row],[Date of Call]])+1)</f>
        <v>2023</v>
      </c>
      <c r="I427" t="str">
        <f>TEXT(calls[[#This Row],[Date of Call]],"DDDD")</f>
        <v>Wednesday</v>
      </c>
      <c r="J427" t="str" cm="1">
        <f t="array" ref="J427">_xlfn.IFS(calls[[#This Row],[Duration]]&lt;=10,"UNDER 10 MINS",calls[[#This Row],[Duration]]&lt;=30,"10 TO 30 MINS",calls[[#This Row],[Duration]]&lt;=60,"30 TO 60 MINS",calls[[#This Row],[Duration]]&lt;=120,"1 TO 2 HRS",TRUE,"MORE THAN 2 HRS")</f>
        <v>30 TO 60 MINS</v>
      </c>
      <c r="K427">
        <f>ROUND(calls[[#This Row],[Satisfaction Rating]],0)</f>
        <v>3</v>
      </c>
    </row>
    <row r="428" spans="1:11" x14ac:dyDescent="0.3">
      <c r="A428" s="41" t="s">
        <v>1479</v>
      </c>
      <c r="B428" s="10" t="s">
        <v>1042</v>
      </c>
      <c r="C428" s="10">
        <v>109</v>
      </c>
      <c r="D428" s="39" t="s">
        <v>1043</v>
      </c>
      <c r="E428" s="40">
        <v>45042</v>
      </c>
      <c r="F428" s="10">
        <v>126</v>
      </c>
      <c r="G428" s="42">
        <v>3.4</v>
      </c>
      <c r="H428">
        <f>IF(MONTH(calls[[#This Row],[Date of Call]])&lt;=6,YEAR(calls[[#This Row],[Date of Call]]),YEAR(calls[[#This Row],[Date of Call]])+1)</f>
        <v>2023</v>
      </c>
      <c r="I428" t="str">
        <f>TEXT(calls[[#This Row],[Date of Call]],"DDDD")</f>
        <v>Wednesday</v>
      </c>
      <c r="J428" t="str" cm="1">
        <f t="array" ref="J428">_xlfn.IFS(calls[[#This Row],[Duration]]&lt;=10,"UNDER 10 MINS",calls[[#This Row],[Duration]]&lt;=30,"10 TO 30 MINS",calls[[#This Row],[Duration]]&lt;=60,"30 TO 60 MINS",calls[[#This Row],[Duration]]&lt;=120,"1 TO 2 HRS",TRUE,"MORE THAN 2 HRS")</f>
        <v>1 TO 2 HRS</v>
      </c>
      <c r="K428">
        <f>ROUND(calls[[#This Row],[Satisfaction Rating]],0)</f>
        <v>3</v>
      </c>
    </row>
    <row r="429" spans="1:11" x14ac:dyDescent="0.3">
      <c r="A429" s="41" t="s">
        <v>1480</v>
      </c>
      <c r="B429" s="10" t="s">
        <v>1037</v>
      </c>
      <c r="C429" s="10">
        <v>113</v>
      </c>
      <c r="D429" s="39" t="s">
        <v>1053</v>
      </c>
      <c r="E429" s="40">
        <v>45043</v>
      </c>
      <c r="F429" s="10">
        <v>42</v>
      </c>
      <c r="G429" s="42">
        <v>4.5999999999999996</v>
      </c>
      <c r="H429">
        <f>IF(MONTH(calls[[#This Row],[Date of Call]])&lt;=6,YEAR(calls[[#This Row],[Date of Call]]),YEAR(calls[[#This Row],[Date of Call]])+1)</f>
        <v>2023</v>
      </c>
      <c r="I429" t="str">
        <f>TEXT(calls[[#This Row],[Date of Call]],"DDDD")</f>
        <v>Thursday</v>
      </c>
      <c r="J429" t="str" cm="1">
        <f t="array" ref="J429">_xlfn.IFS(calls[[#This Row],[Duration]]&lt;=10,"UNDER 10 MINS",calls[[#This Row],[Duration]]&lt;=30,"10 TO 30 MINS",calls[[#This Row],[Duration]]&lt;=60,"30 TO 60 MINS",calls[[#This Row],[Duration]]&lt;=120,"1 TO 2 HRS",TRUE,"MORE THAN 2 HRS")</f>
        <v>1 TO 2 HRS</v>
      </c>
      <c r="K429">
        <f>ROUND(calls[[#This Row],[Satisfaction Rating]],0)</f>
        <v>5</v>
      </c>
    </row>
    <row r="430" spans="1:11" x14ac:dyDescent="0.3">
      <c r="A430" s="41" t="s">
        <v>1481</v>
      </c>
      <c r="B430" s="10" t="s">
        <v>1051</v>
      </c>
      <c r="C430" s="10">
        <v>101</v>
      </c>
      <c r="D430" s="39" t="s">
        <v>1038</v>
      </c>
      <c r="E430" s="40">
        <v>45043</v>
      </c>
      <c r="F430" s="10">
        <v>225</v>
      </c>
      <c r="G430" s="42">
        <v>1.9</v>
      </c>
      <c r="H430">
        <f>IF(MONTH(calls[[#This Row],[Date of Call]])&lt;=6,YEAR(calls[[#This Row],[Date of Call]]),YEAR(calls[[#This Row],[Date of Call]])+1)</f>
        <v>2023</v>
      </c>
      <c r="I430" t="str">
        <f>TEXT(calls[[#This Row],[Date of Call]],"DDDD")</f>
        <v>Thursday</v>
      </c>
      <c r="J430" t="str" cm="1">
        <f t="array" ref="J430">_xlfn.IFS(calls[[#This Row],[Duration]]&lt;=10,"UNDER 10 MINS",calls[[#This Row],[Duration]]&lt;=30,"10 TO 30 MINS",calls[[#This Row],[Duration]]&lt;=60,"30 TO 60 MINS",calls[[#This Row],[Duration]]&lt;=120,"1 TO 2 HRS",TRUE,"MORE THAN 2 HRS")</f>
        <v>1 TO 2 HRS</v>
      </c>
      <c r="K430">
        <f>ROUND(calls[[#This Row],[Satisfaction Rating]],0)</f>
        <v>2</v>
      </c>
    </row>
    <row r="431" spans="1:11" x14ac:dyDescent="0.3">
      <c r="A431" s="41" t="s">
        <v>1482</v>
      </c>
      <c r="B431" s="10" t="s">
        <v>1045</v>
      </c>
      <c r="C431" s="10">
        <v>156</v>
      </c>
      <c r="D431" s="39" t="s">
        <v>1038</v>
      </c>
      <c r="E431" s="40">
        <v>45043</v>
      </c>
      <c r="F431" s="10">
        <v>42</v>
      </c>
      <c r="G431" s="42">
        <v>3.3</v>
      </c>
      <c r="H431">
        <f>IF(MONTH(calls[[#This Row],[Date of Call]])&lt;=6,YEAR(calls[[#This Row],[Date of Call]]),YEAR(calls[[#This Row],[Date of Call]])+1)</f>
        <v>2023</v>
      </c>
      <c r="I431" t="str">
        <f>TEXT(calls[[#This Row],[Date of Call]],"DDDD")</f>
        <v>Thursday</v>
      </c>
      <c r="J431" t="str" cm="1">
        <f t="array" ref="J431">_xlfn.IFS(calls[[#This Row],[Duration]]&lt;=10,"UNDER 10 MINS",calls[[#This Row],[Duration]]&lt;=30,"10 TO 30 MINS",calls[[#This Row],[Duration]]&lt;=60,"30 TO 60 MINS",calls[[#This Row],[Duration]]&lt;=120,"1 TO 2 HRS",TRUE,"MORE THAN 2 HRS")</f>
        <v>MORE THAN 2 HRS</v>
      </c>
      <c r="K431">
        <f>ROUND(calls[[#This Row],[Satisfaction Rating]],0)</f>
        <v>3</v>
      </c>
    </row>
    <row r="432" spans="1:11" x14ac:dyDescent="0.3">
      <c r="A432" s="41" t="s">
        <v>1483</v>
      </c>
      <c r="B432" s="10" t="s">
        <v>1042</v>
      </c>
      <c r="C432" s="10">
        <v>145</v>
      </c>
      <c r="D432" s="39" t="s">
        <v>1053</v>
      </c>
      <c r="E432" s="40">
        <v>45044</v>
      </c>
      <c r="F432" s="10">
        <v>110</v>
      </c>
      <c r="G432" s="42">
        <v>3.1</v>
      </c>
      <c r="H432">
        <f>IF(MONTH(calls[[#This Row],[Date of Call]])&lt;=6,YEAR(calls[[#This Row],[Date of Call]]),YEAR(calls[[#This Row],[Date of Call]])+1)</f>
        <v>2023</v>
      </c>
      <c r="I432" t="str">
        <f>TEXT(calls[[#This Row],[Date of Call]],"DDDD")</f>
        <v>Friday</v>
      </c>
      <c r="J432" t="str" cm="1">
        <f t="array" ref="J432">_xlfn.IFS(calls[[#This Row],[Duration]]&lt;=10,"UNDER 10 MINS",calls[[#This Row],[Duration]]&lt;=30,"10 TO 30 MINS",calls[[#This Row],[Duration]]&lt;=60,"30 TO 60 MINS",calls[[#This Row],[Duration]]&lt;=120,"1 TO 2 HRS",TRUE,"MORE THAN 2 HRS")</f>
        <v>MORE THAN 2 HRS</v>
      </c>
      <c r="K432">
        <f>ROUND(calls[[#This Row],[Satisfaction Rating]],0)</f>
        <v>3</v>
      </c>
    </row>
    <row r="433" spans="1:11" x14ac:dyDescent="0.3">
      <c r="A433" s="41" t="s">
        <v>1484</v>
      </c>
      <c r="B433" s="10" t="s">
        <v>1071</v>
      </c>
      <c r="C433" s="10">
        <v>36</v>
      </c>
      <c r="D433" s="39" t="s">
        <v>1043</v>
      </c>
      <c r="E433" s="40">
        <v>45044</v>
      </c>
      <c r="F433" s="10">
        <v>225</v>
      </c>
      <c r="G433" s="42">
        <v>4.8</v>
      </c>
      <c r="H433">
        <f>IF(MONTH(calls[[#This Row],[Date of Call]])&lt;=6,YEAR(calls[[#This Row],[Date of Call]]),YEAR(calls[[#This Row],[Date of Call]])+1)</f>
        <v>2023</v>
      </c>
      <c r="I433" t="str">
        <f>TEXT(calls[[#This Row],[Date of Call]],"DDDD")</f>
        <v>Friday</v>
      </c>
      <c r="J433" t="str" cm="1">
        <f t="array" ref="J433">_xlfn.IFS(calls[[#This Row],[Duration]]&lt;=10,"UNDER 10 MINS",calls[[#This Row],[Duration]]&lt;=30,"10 TO 30 MINS",calls[[#This Row],[Duration]]&lt;=60,"30 TO 60 MINS",calls[[#This Row],[Duration]]&lt;=120,"1 TO 2 HRS",TRUE,"MORE THAN 2 HRS")</f>
        <v>30 TO 60 MINS</v>
      </c>
      <c r="K433">
        <f>ROUND(calls[[#This Row],[Satisfaction Rating]],0)</f>
        <v>5</v>
      </c>
    </row>
    <row r="434" spans="1:11" x14ac:dyDescent="0.3">
      <c r="A434" s="41" t="s">
        <v>1485</v>
      </c>
      <c r="B434" s="10" t="s">
        <v>1062</v>
      </c>
      <c r="C434" s="10">
        <v>135</v>
      </c>
      <c r="D434" s="39" t="s">
        <v>1057</v>
      </c>
      <c r="E434" s="40">
        <v>45045</v>
      </c>
      <c r="F434" s="10">
        <v>125</v>
      </c>
      <c r="G434" s="42">
        <v>3.3</v>
      </c>
      <c r="H434">
        <f>IF(MONTH(calls[[#This Row],[Date of Call]])&lt;=6,YEAR(calls[[#This Row],[Date of Call]]),YEAR(calls[[#This Row],[Date of Call]])+1)</f>
        <v>2023</v>
      </c>
      <c r="I434" t="str">
        <f>TEXT(calls[[#This Row],[Date of Call]],"DDDD")</f>
        <v>Saturday</v>
      </c>
      <c r="J434" t="str" cm="1">
        <f t="array" ref="J434">_xlfn.IFS(calls[[#This Row],[Duration]]&lt;=10,"UNDER 10 MINS",calls[[#This Row],[Duration]]&lt;=30,"10 TO 30 MINS",calls[[#This Row],[Duration]]&lt;=60,"30 TO 60 MINS",calls[[#This Row],[Duration]]&lt;=120,"1 TO 2 HRS",TRUE,"MORE THAN 2 HRS")</f>
        <v>MORE THAN 2 HRS</v>
      </c>
      <c r="K434">
        <f>ROUND(calls[[#This Row],[Satisfaction Rating]],0)</f>
        <v>3</v>
      </c>
    </row>
    <row r="435" spans="1:11" x14ac:dyDescent="0.3">
      <c r="A435" s="41" t="s">
        <v>1486</v>
      </c>
      <c r="B435" s="10" t="s">
        <v>1051</v>
      </c>
      <c r="C435" s="10">
        <v>81</v>
      </c>
      <c r="D435" s="39" t="s">
        <v>1043</v>
      </c>
      <c r="E435" s="40">
        <v>45045</v>
      </c>
      <c r="F435" s="10">
        <v>78</v>
      </c>
      <c r="G435" s="42">
        <v>2.9</v>
      </c>
      <c r="H435">
        <f>IF(MONTH(calls[[#This Row],[Date of Call]])&lt;=6,YEAR(calls[[#This Row],[Date of Call]]),YEAR(calls[[#This Row],[Date of Call]])+1)</f>
        <v>2023</v>
      </c>
      <c r="I435" t="str">
        <f>TEXT(calls[[#This Row],[Date of Call]],"DDDD")</f>
        <v>Saturday</v>
      </c>
      <c r="J435" t="str" cm="1">
        <f t="array" ref="J435">_xlfn.IFS(calls[[#This Row],[Duration]]&lt;=10,"UNDER 10 MINS",calls[[#This Row],[Duration]]&lt;=30,"10 TO 30 MINS",calls[[#This Row],[Duration]]&lt;=60,"30 TO 60 MINS",calls[[#This Row],[Duration]]&lt;=120,"1 TO 2 HRS",TRUE,"MORE THAN 2 HRS")</f>
        <v>1 TO 2 HRS</v>
      </c>
      <c r="K435">
        <f>ROUND(calls[[#This Row],[Satisfaction Rating]],0)</f>
        <v>3</v>
      </c>
    </row>
    <row r="436" spans="1:11" x14ac:dyDescent="0.3">
      <c r="A436" s="41" t="s">
        <v>1487</v>
      </c>
      <c r="B436" s="10" t="s">
        <v>1051</v>
      </c>
      <c r="C436" s="10">
        <v>81</v>
      </c>
      <c r="D436" s="39" t="s">
        <v>1053</v>
      </c>
      <c r="E436" s="40">
        <v>45045</v>
      </c>
      <c r="F436" s="10">
        <v>40</v>
      </c>
      <c r="G436" s="42">
        <v>2.4</v>
      </c>
      <c r="H436">
        <f>IF(MONTH(calls[[#This Row],[Date of Call]])&lt;=6,YEAR(calls[[#This Row],[Date of Call]]),YEAR(calls[[#This Row],[Date of Call]])+1)</f>
        <v>2023</v>
      </c>
      <c r="I436" t="str">
        <f>TEXT(calls[[#This Row],[Date of Call]],"DDDD")</f>
        <v>Saturday</v>
      </c>
      <c r="J436" t="str" cm="1">
        <f t="array" ref="J436">_xlfn.IFS(calls[[#This Row],[Duration]]&lt;=10,"UNDER 10 MINS",calls[[#This Row],[Duration]]&lt;=30,"10 TO 30 MINS",calls[[#This Row],[Duration]]&lt;=60,"30 TO 60 MINS",calls[[#This Row],[Duration]]&lt;=120,"1 TO 2 HRS",TRUE,"MORE THAN 2 HRS")</f>
        <v>1 TO 2 HRS</v>
      </c>
      <c r="K436">
        <f>ROUND(calls[[#This Row],[Satisfaction Rating]],0)</f>
        <v>2</v>
      </c>
    </row>
    <row r="437" spans="1:11" x14ac:dyDescent="0.3">
      <c r="A437" s="41" t="s">
        <v>1488</v>
      </c>
      <c r="B437" s="10" t="s">
        <v>1068</v>
      </c>
      <c r="C437" s="10">
        <v>93</v>
      </c>
      <c r="D437" s="39" t="s">
        <v>1048</v>
      </c>
      <c r="E437" s="40">
        <v>45045</v>
      </c>
      <c r="F437" s="10">
        <v>150</v>
      </c>
      <c r="G437" s="42">
        <v>4.5999999999999996</v>
      </c>
      <c r="H437">
        <f>IF(MONTH(calls[[#This Row],[Date of Call]])&lt;=6,YEAR(calls[[#This Row],[Date of Call]]),YEAR(calls[[#This Row],[Date of Call]])+1)</f>
        <v>2023</v>
      </c>
      <c r="I437" t="str">
        <f>TEXT(calls[[#This Row],[Date of Call]],"DDDD")</f>
        <v>Saturday</v>
      </c>
      <c r="J437" t="str" cm="1">
        <f t="array" ref="J437">_xlfn.IFS(calls[[#This Row],[Duration]]&lt;=10,"UNDER 10 MINS",calls[[#This Row],[Duration]]&lt;=30,"10 TO 30 MINS",calls[[#This Row],[Duration]]&lt;=60,"30 TO 60 MINS",calls[[#This Row],[Duration]]&lt;=120,"1 TO 2 HRS",TRUE,"MORE THAN 2 HRS")</f>
        <v>1 TO 2 HRS</v>
      </c>
      <c r="K437">
        <f>ROUND(calls[[#This Row],[Satisfaction Rating]],0)</f>
        <v>5</v>
      </c>
    </row>
    <row r="438" spans="1:11" x14ac:dyDescent="0.3">
      <c r="A438" s="41" t="s">
        <v>1489</v>
      </c>
      <c r="B438" s="10" t="s">
        <v>1042</v>
      </c>
      <c r="C438" s="10">
        <v>14</v>
      </c>
      <c r="D438" s="39" t="s">
        <v>1043</v>
      </c>
      <c r="E438" s="40">
        <v>45045</v>
      </c>
      <c r="F438" s="10">
        <v>96</v>
      </c>
      <c r="G438" s="42">
        <v>4.8</v>
      </c>
      <c r="H438">
        <f>IF(MONTH(calls[[#This Row],[Date of Call]])&lt;=6,YEAR(calls[[#This Row],[Date of Call]]),YEAR(calls[[#This Row],[Date of Call]])+1)</f>
        <v>2023</v>
      </c>
      <c r="I438" t="str">
        <f>TEXT(calls[[#This Row],[Date of Call]],"DDDD")</f>
        <v>Saturday</v>
      </c>
      <c r="J438" t="str" cm="1">
        <f t="array" ref="J438">_xlfn.IFS(calls[[#This Row],[Duration]]&lt;=10,"UNDER 10 MINS",calls[[#This Row],[Duration]]&lt;=30,"10 TO 30 MINS",calls[[#This Row],[Duration]]&lt;=60,"30 TO 60 MINS",calls[[#This Row],[Duration]]&lt;=120,"1 TO 2 HRS",TRUE,"MORE THAN 2 HRS")</f>
        <v>10 TO 30 MINS</v>
      </c>
      <c r="K438">
        <f>ROUND(calls[[#This Row],[Satisfaction Rating]],0)</f>
        <v>5</v>
      </c>
    </row>
    <row r="439" spans="1:11" x14ac:dyDescent="0.3">
      <c r="A439" s="41" t="s">
        <v>1490</v>
      </c>
      <c r="B439" s="10" t="s">
        <v>1062</v>
      </c>
      <c r="C439" s="10">
        <v>95</v>
      </c>
      <c r="D439" s="39" t="s">
        <v>1053</v>
      </c>
      <c r="E439" s="40">
        <v>45046</v>
      </c>
      <c r="F439" s="10">
        <v>75</v>
      </c>
      <c r="G439" s="42">
        <v>4.8</v>
      </c>
      <c r="H439">
        <f>IF(MONTH(calls[[#This Row],[Date of Call]])&lt;=6,YEAR(calls[[#This Row],[Date of Call]]),YEAR(calls[[#This Row],[Date of Call]])+1)</f>
        <v>2023</v>
      </c>
      <c r="I439" t="str">
        <f>TEXT(calls[[#This Row],[Date of Call]],"DDDD")</f>
        <v>Sunday</v>
      </c>
      <c r="J439" t="str" cm="1">
        <f t="array" ref="J439">_xlfn.IFS(calls[[#This Row],[Duration]]&lt;=10,"UNDER 10 MINS",calls[[#This Row],[Duration]]&lt;=30,"10 TO 30 MINS",calls[[#This Row],[Duration]]&lt;=60,"30 TO 60 MINS",calls[[#This Row],[Duration]]&lt;=120,"1 TO 2 HRS",TRUE,"MORE THAN 2 HRS")</f>
        <v>1 TO 2 HRS</v>
      </c>
      <c r="K439">
        <f>ROUND(calls[[#This Row],[Satisfaction Rating]],0)</f>
        <v>5</v>
      </c>
    </row>
    <row r="440" spans="1:11" x14ac:dyDescent="0.3">
      <c r="A440" s="41" t="s">
        <v>1491</v>
      </c>
      <c r="B440" s="10" t="s">
        <v>1068</v>
      </c>
      <c r="C440" s="10">
        <v>81</v>
      </c>
      <c r="D440" s="39" t="s">
        <v>1053</v>
      </c>
      <c r="E440" s="40">
        <v>45046</v>
      </c>
      <c r="F440" s="10">
        <v>60</v>
      </c>
      <c r="G440" s="42">
        <v>3.6</v>
      </c>
      <c r="H440">
        <f>IF(MONTH(calls[[#This Row],[Date of Call]])&lt;=6,YEAR(calls[[#This Row],[Date of Call]]),YEAR(calls[[#This Row],[Date of Call]])+1)</f>
        <v>2023</v>
      </c>
      <c r="I440" t="str">
        <f>TEXT(calls[[#This Row],[Date of Call]],"DDDD")</f>
        <v>Sunday</v>
      </c>
      <c r="J440" t="str" cm="1">
        <f t="array" ref="J440">_xlfn.IFS(calls[[#This Row],[Duration]]&lt;=10,"UNDER 10 MINS",calls[[#This Row],[Duration]]&lt;=30,"10 TO 30 MINS",calls[[#This Row],[Duration]]&lt;=60,"30 TO 60 MINS",calls[[#This Row],[Duration]]&lt;=120,"1 TO 2 HRS",TRUE,"MORE THAN 2 HRS")</f>
        <v>1 TO 2 HRS</v>
      </c>
      <c r="K440">
        <f>ROUND(calls[[#This Row],[Satisfaction Rating]],0)</f>
        <v>4</v>
      </c>
    </row>
    <row r="441" spans="1:11" x14ac:dyDescent="0.3">
      <c r="A441" s="41" t="s">
        <v>1492</v>
      </c>
      <c r="B441" s="10" t="s">
        <v>1109</v>
      </c>
      <c r="C441" s="10">
        <v>60</v>
      </c>
      <c r="D441" s="39" t="s">
        <v>1043</v>
      </c>
      <c r="E441" s="40">
        <v>45047</v>
      </c>
      <c r="F441" s="10">
        <v>41</v>
      </c>
      <c r="G441" s="42">
        <v>4.8</v>
      </c>
      <c r="H441">
        <f>IF(MONTH(calls[[#This Row],[Date of Call]])&lt;=6,YEAR(calls[[#This Row],[Date of Call]]),YEAR(calls[[#This Row],[Date of Call]])+1)</f>
        <v>2023</v>
      </c>
      <c r="I441" t="str">
        <f>TEXT(calls[[#This Row],[Date of Call]],"DDDD")</f>
        <v>Monday</v>
      </c>
      <c r="J441" t="str" cm="1">
        <f t="array" ref="J441">_xlfn.IFS(calls[[#This Row],[Duration]]&lt;=10,"UNDER 10 MINS",calls[[#This Row],[Duration]]&lt;=30,"10 TO 30 MINS",calls[[#This Row],[Duration]]&lt;=60,"30 TO 60 MINS",calls[[#This Row],[Duration]]&lt;=120,"1 TO 2 HRS",TRUE,"MORE THAN 2 HRS")</f>
        <v>30 TO 60 MINS</v>
      </c>
      <c r="K441">
        <f>ROUND(calls[[#This Row],[Satisfaction Rating]],0)</f>
        <v>5</v>
      </c>
    </row>
    <row r="442" spans="1:11" x14ac:dyDescent="0.3">
      <c r="A442" s="41" t="s">
        <v>1493</v>
      </c>
      <c r="B442" s="10" t="s">
        <v>1060</v>
      </c>
      <c r="C442" s="10">
        <v>137</v>
      </c>
      <c r="D442" s="39" t="s">
        <v>1048</v>
      </c>
      <c r="E442" s="40">
        <v>45047</v>
      </c>
      <c r="F442" s="10">
        <v>20</v>
      </c>
      <c r="G442" s="42">
        <v>4.2</v>
      </c>
      <c r="H442">
        <f>IF(MONTH(calls[[#This Row],[Date of Call]])&lt;=6,YEAR(calls[[#This Row],[Date of Call]]),YEAR(calls[[#This Row],[Date of Call]])+1)</f>
        <v>2023</v>
      </c>
      <c r="I442" t="str">
        <f>TEXT(calls[[#This Row],[Date of Call]],"DDDD")</f>
        <v>Monday</v>
      </c>
      <c r="J442" t="str" cm="1">
        <f t="array" ref="J442">_xlfn.IFS(calls[[#This Row],[Duration]]&lt;=10,"UNDER 10 MINS",calls[[#This Row],[Duration]]&lt;=30,"10 TO 30 MINS",calls[[#This Row],[Duration]]&lt;=60,"30 TO 60 MINS",calls[[#This Row],[Duration]]&lt;=120,"1 TO 2 HRS",TRUE,"MORE THAN 2 HRS")</f>
        <v>MORE THAN 2 HRS</v>
      </c>
      <c r="K442">
        <f>ROUND(calls[[#This Row],[Satisfaction Rating]],0)</f>
        <v>4</v>
      </c>
    </row>
    <row r="443" spans="1:11" x14ac:dyDescent="0.3">
      <c r="A443" s="41" t="s">
        <v>1494</v>
      </c>
      <c r="B443" s="10" t="s">
        <v>1040</v>
      </c>
      <c r="C443" s="10">
        <v>112</v>
      </c>
      <c r="D443" s="39" t="s">
        <v>1057</v>
      </c>
      <c r="E443" s="40">
        <v>45047</v>
      </c>
      <c r="F443" s="10">
        <v>84</v>
      </c>
      <c r="G443" s="42">
        <v>2.6</v>
      </c>
      <c r="H443">
        <f>IF(MONTH(calls[[#This Row],[Date of Call]])&lt;=6,YEAR(calls[[#This Row],[Date of Call]]),YEAR(calls[[#This Row],[Date of Call]])+1)</f>
        <v>2023</v>
      </c>
      <c r="I443" t="str">
        <f>TEXT(calls[[#This Row],[Date of Call]],"DDDD")</f>
        <v>Monday</v>
      </c>
      <c r="J443" t="str" cm="1">
        <f t="array" ref="J443">_xlfn.IFS(calls[[#This Row],[Duration]]&lt;=10,"UNDER 10 MINS",calls[[#This Row],[Duration]]&lt;=30,"10 TO 30 MINS",calls[[#This Row],[Duration]]&lt;=60,"30 TO 60 MINS",calls[[#This Row],[Duration]]&lt;=120,"1 TO 2 HRS",TRUE,"MORE THAN 2 HRS")</f>
        <v>1 TO 2 HRS</v>
      </c>
      <c r="K443">
        <f>ROUND(calls[[#This Row],[Satisfaction Rating]],0)</f>
        <v>3</v>
      </c>
    </row>
    <row r="444" spans="1:11" x14ac:dyDescent="0.3">
      <c r="A444" s="41" t="s">
        <v>1495</v>
      </c>
      <c r="B444" s="10" t="s">
        <v>1062</v>
      </c>
      <c r="C444" s="10">
        <v>76</v>
      </c>
      <c r="D444" s="39" t="s">
        <v>1038</v>
      </c>
      <c r="E444" s="40">
        <v>45047</v>
      </c>
      <c r="F444" s="10">
        <v>140</v>
      </c>
      <c r="G444" s="42">
        <v>3.7</v>
      </c>
      <c r="H444">
        <f>IF(MONTH(calls[[#This Row],[Date of Call]])&lt;=6,YEAR(calls[[#This Row],[Date of Call]]),YEAR(calls[[#This Row],[Date of Call]])+1)</f>
        <v>2023</v>
      </c>
      <c r="I444" t="str">
        <f>TEXT(calls[[#This Row],[Date of Call]],"DDDD")</f>
        <v>Monday</v>
      </c>
      <c r="J444" t="str" cm="1">
        <f t="array" ref="J444">_xlfn.IFS(calls[[#This Row],[Duration]]&lt;=10,"UNDER 10 MINS",calls[[#This Row],[Duration]]&lt;=30,"10 TO 30 MINS",calls[[#This Row],[Duration]]&lt;=60,"30 TO 60 MINS",calls[[#This Row],[Duration]]&lt;=120,"1 TO 2 HRS",TRUE,"MORE THAN 2 HRS")</f>
        <v>1 TO 2 HRS</v>
      </c>
      <c r="K444">
        <f>ROUND(calls[[#This Row],[Satisfaction Rating]],0)</f>
        <v>4</v>
      </c>
    </row>
    <row r="445" spans="1:11" x14ac:dyDescent="0.3">
      <c r="A445" s="41" t="s">
        <v>1496</v>
      </c>
      <c r="B445" s="10" t="s">
        <v>1076</v>
      </c>
      <c r="C445" s="10">
        <v>73</v>
      </c>
      <c r="D445" s="39" t="s">
        <v>1043</v>
      </c>
      <c r="E445" s="40">
        <v>45047</v>
      </c>
      <c r="F445" s="10">
        <v>66</v>
      </c>
      <c r="G445" s="42">
        <v>4.8</v>
      </c>
      <c r="H445">
        <f>IF(MONTH(calls[[#This Row],[Date of Call]])&lt;=6,YEAR(calls[[#This Row],[Date of Call]]),YEAR(calls[[#This Row],[Date of Call]])+1)</f>
        <v>2023</v>
      </c>
      <c r="I445" t="str">
        <f>TEXT(calls[[#This Row],[Date of Call]],"DDDD")</f>
        <v>Monday</v>
      </c>
      <c r="J445" t="str" cm="1">
        <f t="array" ref="J445">_xlfn.IFS(calls[[#This Row],[Duration]]&lt;=10,"UNDER 10 MINS",calls[[#This Row],[Duration]]&lt;=30,"10 TO 30 MINS",calls[[#This Row],[Duration]]&lt;=60,"30 TO 60 MINS",calls[[#This Row],[Duration]]&lt;=120,"1 TO 2 HRS",TRUE,"MORE THAN 2 HRS")</f>
        <v>1 TO 2 HRS</v>
      </c>
      <c r="K445">
        <f>ROUND(calls[[#This Row],[Satisfaction Rating]],0)</f>
        <v>5</v>
      </c>
    </row>
    <row r="446" spans="1:11" x14ac:dyDescent="0.3">
      <c r="A446" s="41" t="s">
        <v>1497</v>
      </c>
      <c r="B446" s="10" t="s">
        <v>1056</v>
      </c>
      <c r="C446" s="10">
        <v>119</v>
      </c>
      <c r="D446" s="39" t="s">
        <v>1048</v>
      </c>
      <c r="E446" s="40">
        <v>45047</v>
      </c>
      <c r="F446" s="10">
        <v>105</v>
      </c>
      <c r="G446" s="42">
        <v>4.7</v>
      </c>
      <c r="H446">
        <f>IF(MONTH(calls[[#This Row],[Date of Call]])&lt;=6,YEAR(calls[[#This Row],[Date of Call]]),YEAR(calls[[#This Row],[Date of Call]])+1)</f>
        <v>2023</v>
      </c>
      <c r="I446" t="str">
        <f>TEXT(calls[[#This Row],[Date of Call]],"DDDD")</f>
        <v>Monday</v>
      </c>
      <c r="J446" t="str" cm="1">
        <f t="array" ref="J446">_xlfn.IFS(calls[[#This Row],[Duration]]&lt;=10,"UNDER 10 MINS",calls[[#This Row],[Duration]]&lt;=30,"10 TO 30 MINS",calls[[#This Row],[Duration]]&lt;=60,"30 TO 60 MINS",calls[[#This Row],[Duration]]&lt;=120,"1 TO 2 HRS",TRUE,"MORE THAN 2 HRS")</f>
        <v>1 TO 2 HRS</v>
      </c>
      <c r="K446">
        <f>ROUND(calls[[#This Row],[Satisfaction Rating]],0)</f>
        <v>5</v>
      </c>
    </row>
    <row r="447" spans="1:11" x14ac:dyDescent="0.3">
      <c r="A447" s="41" t="s">
        <v>1498</v>
      </c>
      <c r="B447" s="10" t="s">
        <v>1037</v>
      </c>
      <c r="C447" s="10">
        <v>135</v>
      </c>
      <c r="D447" s="39" t="s">
        <v>1053</v>
      </c>
      <c r="E447" s="40">
        <v>45048</v>
      </c>
      <c r="F447" s="10">
        <v>104</v>
      </c>
      <c r="G447" s="42">
        <v>4.0999999999999996</v>
      </c>
      <c r="H447">
        <f>IF(MONTH(calls[[#This Row],[Date of Call]])&lt;=6,YEAR(calls[[#This Row],[Date of Call]]),YEAR(calls[[#This Row],[Date of Call]])+1)</f>
        <v>2023</v>
      </c>
      <c r="I447" t="str">
        <f>TEXT(calls[[#This Row],[Date of Call]],"DDDD")</f>
        <v>Tuesday</v>
      </c>
      <c r="J447" t="str" cm="1">
        <f t="array" ref="J447">_xlfn.IFS(calls[[#This Row],[Duration]]&lt;=10,"UNDER 10 MINS",calls[[#This Row],[Duration]]&lt;=30,"10 TO 30 MINS",calls[[#This Row],[Duration]]&lt;=60,"30 TO 60 MINS",calls[[#This Row],[Duration]]&lt;=120,"1 TO 2 HRS",TRUE,"MORE THAN 2 HRS")</f>
        <v>MORE THAN 2 HRS</v>
      </c>
      <c r="K447">
        <f>ROUND(calls[[#This Row],[Satisfaction Rating]],0)</f>
        <v>4</v>
      </c>
    </row>
    <row r="448" spans="1:11" x14ac:dyDescent="0.3">
      <c r="A448" s="41" t="s">
        <v>1499</v>
      </c>
      <c r="B448" s="10" t="s">
        <v>1060</v>
      </c>
      <c r="C448" s="10">
        <v>41</v>
      </c>
      <c r="D448" s="39" t="s">
        <v>1057</v>
      </c>
      <c r="E448" s="40">
        <v>45048</v>
      </c>
      <c r="F448" s="10">
        <v>123</v>
      </c>
      <c r="G448" s="42">
        <v>3.2</v>
      </c>
      <c r="H448">
        <f>IF(MONTH(calls[[#This Row],[Date of Call]])&lt;=6,YEAR(calls[[#This Row],[Date of Call]]),YEAR(calls[[#This Row],[Date of Call]])+1)</f>
        <v>2023</v>
      </c>
      <c r="I448" t="str">
        <f>TEXT(calls[[#This Row],[Date of Call]],"DDDD")</f>
        <v>Tuesday</v>
      </c>
      <c r="J448" t="str" cm="1">
        <f t="array" ref="J448">_xlfn.IFS(calls[[#This Row],[Duration]]&lt;=10,"UNDER 10 MINS",calls[[#This Row],[Duration]]&lt;=30,"10 TO 30 MINS",calls[[#This Row],[Duration]]&lt;=60,"30 TO 60 MINS",calls[[#This Row],[Duration]]&lt;=120,"1 TO 2 HRS",TRUE,"MORE THAN 2 HRS")</f>
        <v>30 TO 60 MINS</v>
      </c>
      <c r="K448">
        <f>ROUND(calls[[#This Row],[Satisfaction Rating]],0)</f>
        <v>3</v>
      </c>
    </row>
    <row r="449" spans="1:11" x14ac:dyDescent="0.3">
      <c r="A449" s="41" t="s">
        <v>1500</v>
      </c>
      <c r="B449" s="10" t="s">
        <v>1042</v>
      </c>
      <c r="C449" s="10">
        <v>35</v>
      </c>
      <c r="D449" s="39" t="s">
        <v>1053</v>
      </c>
      <c r="E449" s="40">
        <v>45049</v>
      </c>
      <c r="F449" s="10">
        <v>215</v>
      </c>
      <c r="G449" s="42">
        <v>4.3</v>
      </c>
      <c r="H449">
        <f>IF(MONTH(calls[[#This Row],[Date of Call]])&lt;=6,YEAR(calls[[#This Row],[Date of Call]]),YEAR(calls[[#This Row],[Date of Call]])+1)</f>
        <v>2023</v>
      </c>
      <c r="I449" t="str">
        <f>TEXT(calls[[#This Row],[Date of Call]],"DDDD")</f>
        <v>Wednesday</v>
      </c>
      <c r="J449" t="str" cm="1">
        <f t="array" ref="J449">_xlfn.IFS(calls[[#This Row],[Duration]]&lt;=10,"UNDER 10 MINS",calls[[#This Row],[Duration]]&lt;=30,"10 TO 30 MINS",calls[[#This Row],[Duration]]&lt;=60,"30 TO 60 MINS",calls[[#This Row],[Duration]]&lt;=120,"1 TO 2 HRS",TRUE,"MORE THAN 2 HRS")</f>
        <v>30 TO 60 MINS</v>
      </c>
      <c r="K449">
        <f>ROUND(calls[[#This Row],[Satisfaction Rating]],0)</f>
        <v>4</v>
      </c>
    </row>
    <row r="450" spans="1:11" x14ac:dyDescent="0.3">
      <c r="A450" s="41" t="s">
        <v>1501</v>
      </c>
      <c r="B450" s="10" t="s">
        <v>1037</v>
      </c>
      <c r="C450" s="10">
        <v>96</v>
      </c>
      <c r="D450" s="39" t="s">
        <v>1043</v>
      </c>
      <c r="E450" s="40">
        <v>45049</v>
      </c>
      <c r="F450" s="10">
        <v>46</v>
      </c>
      <c r="G450" s="42">
        <v>0.7</v>
      </c>
      <c r="H450">
        <f>IF(MONTH(calls[[#This Row],[Date of Call]])&lt;=6,YEAR(calls[[#This Row],[Date of Call]]),YEAR(calls[[#This Row],[Date of Call]])+1)</f>
        <v>2023</v>
      </c>
      <c r="I450" t="str">
        <f>TEXT(calls[[#This Row],[Date of Call]],"DDDD")</f>
        <v>Wednesday</v>
      </c>
      <c r="J450" t="str" cm="1">
        <f t="array" ref="J450">_xlfn.IFS(calls[[#This Row],[Duration]]&lt;=10,"UNDER 10 MINS",calls[[#This Row],[Duration]]&lt;=30,"10 TO 30 MINS",calls[[#This Row],[Duration]]&lt;=60,"30 TO 60 MINS",calls[[#This Row],[Duration]]&lt;=120,"1 TO 2 HRS",TRUE,"MORE THAN 2 HRS")</f>
        <v>1 TO 2 HRS</v>
      </c>
      <c r="K450">
        <f>ROUND(calls[[#This Row],[Satisfaction Rating]],0)</f>
        <v>1</v>
      </c>
    </row>
    <row r="451" spans="1:11" x14ac:dyDescent="0.3">
      <c r="A451" s="41" t="s">
        <v>1502</v>
      </c>
      <c r="B451" s="10" t="s">
        <v>1068</v>
      </c>
      <c r="C451" s="10">
        <v>61</v>
      </c>
      <c r="D451" s="39" t="s">
        <v>1057</v>
      </c>
      <c r="E451" s="40">
        <v>45049</v>
      </c>
      <c r="F451" s="10">
        <v>115</v>
      </c>
      <c r="G451" s="42">
        <v>3.7</v>
      </c>
      <c r="H451">
        <f>IF(MONTH(calls[[#This Row],[Date of Call]])&lt;=6,YEAR(calls[[#This Row],[Date of Call]]),YEAR(calls[[#This Row],[Date of Call]])+1)</f>
        <v>2023</v>
      </c>
      <c r="I451" t="str">
        <f>TEXT(calls[[#This Row],[Date of Call]],"DDDD")</f>
        <v>Wednesday</v>
      </c>
      <c r="J451" t="str" cm="1">
        <f t="array" ref="J451">_xlfn.IFS(calls[[#This Row],[Duration]]&lt;=10,"UNDER 10 MINS",calls[[#This Row],[Duration]]&lt;=30,"10 TO 30 MINS",calls[[#This Row],[Duration]]&lt;=60,"30 TO 60 MINS",calls[[#This Row],[Duration]]&lt;=120,"1 TO 2 HRS",TRUE,"MORE THAN 2 HRS")</f>
        <v>1 TO 2 HRS</v>
      </c>
      <c r="K451">
        <f>ROUND(calls[[#This Row],[Satisfaction Rating]],0)</f>
        <v>4</v>
      </c>
    </row>
    <row r="452" spans="1:11" x14ac:dyDescent="0.3">
      <c r="A452" s="41" t="s">
        <v>1503</v>
      </c>
      <c r="B452" s="10" t="s">
        <v>1037</v>
      </c>
      <c r="C452" s="10">
        <v>91</v>
      </c>
      <c r="D452" s="39" t="s">
        <v>1057</v>
      </c>
      <c r="E452" s="40">
        <v>45049</v>
      </c>
      <c r="F452" s="10">
        <v>124</v>
      </c>
      <c r="G452" s="42">
        <v>3.9</v>
      </c>
      <c r="H452">
        <f>IF(MONTH(calls[[#This Row],[Date of Call]])&lt;=6,YEAR(calls[[#This Row],[Date of Call]]),YEAR(calls[[#This Row],[Date of Call]])+1)</f>
        <v>2023</v>
      </c>
      <c r="I452" t="str">
        <f>TEXT(calls[[#This Row],[Date of Call]],"DDDD")</f>
        <v>Wednesday</v>
      </c>
      <c r="J452" t="str" cm="1">
        <f t="array" ref="J452">_xlfn.IFS(calls[[#This Row],[Duration]]&lt;=10,"UNDER 10 MINS",calls[[#This Row],[Duration]]&lt;=30,"10 TO 30 MINS",calls[[#This Row],[Duration]]&lt;=60,"30 TO 60 MINS",calls[[#This Row],[Duration]]&lt;=120,"1 TO 2 HRS",TRUE,"MORE THAN 2 HRS")</f>
        <v>1 TO 2 HRS</v>
      </c>
      <c r="K452">
        <f>ROUND(calls[[#This Row],[Satisfaction Rating]],0)</f>
        <v>4</v>
      </c>
    </row>
    <row r="453" spans="1:11" x14ac:dyDescent="0.3">
      <c r="A453" s="41" t="s">
        <v>1504</v>
      </c>
      <c r="B453" s="10" t="s">
        <v>1089</v>
      </c>
      <c r="C453" s="10">
        <v>30</v>
      </c>
      <c r="D453" s="39" t="s">
        <v>1057</v>
      </c>
      <c r="E453" s="40">
        <v>45050</v>
      </c>
      <c r="F453" s="10">
        <v>205</v>
      </c>
      <c r="G453" s="42">
        <v>4.5</v>
      </c>
      <c r="H453">
        <f>IF(MONTH(calls[[#This Row],[Date of Call]])&lt;=6,YEAR(calls[[#This Row],[Date of Call]]),YEAR(calls[[#This Row],[Date of Call]])+1)</f>
        <v>2023</v>
      </c>
      <c r="I453" t="str">
        <f>TEXT(calls[[#This Row],[Date of Call]],"DDDD")</f>
        <v>Thursday</v>
      </c>
      <c r="J453" t="str" cm="1">
        <f t="array" ref="J453">_xlfn.IFS(calls[[#This Row],[Duration]]&lt;=10,"UNDER 10 MINS",calls[[#This Row],[Duration]]&lt;=30,"10 TO 30 MINS",calls[[#This Row],[Duration]]&lt;=60,"30 TO 60 MINS",calls[[#This Row],[Duration]]&lt;=120,"1 TO 2 HRS",TRUE,"MORE THAN 2 HRS")</f>
        <v>10 TO 30 MINS</v>
      </c>
      <c r="K453">
        <f>ROUND(calls[[#This Row],[Satisfaction Rating]],0)</f>
        <v>5</v>
      </c>
    </row>
    <row r="454" spans="1:11" x14ac:dyDescent="0.3">
      <c r="A454" s="41" t="s">
        <v>1505</v>
      </c>
      <c r="B454" s="10" t="s">
        <v>1109</v>
      </c>
      <c r="C454" s="10">
        <v>111</v>
      </c>
      <c r="D454" s="39" t="s">
        <v>1048</v>
      </c>
      <c r="E454" s="40">
        <v>45050</v>
      </c>
      <c r="F454" s="10">
        <v>90</v>
      </c>
      <c r="G454" s="42">
        <v>2.8</v>
      </c>
      <c r="H454">
        <f>IF(MONTH(calls[[#This Row],[Date of Call]])&lt;=6,YEAR(calls[[#This Row],[Date of Call]]),YEAR(calls[[#This Row],[Date of Call]])+1)</f>
        <v>2023</v>
      </c>
      <c r="I454" t="str">
        <f>TEXT(calls[[#This Row],[Date of Call]],"DDDD")</f>
        <v>Thursday</v>
      </c>
      <c r="J454" t="str" cm="1">
        <f t="array" ref="J454">_xlfn.IFS(calls[[#This Row],[Duration]]&lt;=10,"UNDER 10 MINS",calls[[#This Row],[Duration]]&lt;=30,"10 TO 30 MINS",calls[[#This Row],[Duration]]&lt;=60,"30 TO 60 MINS",calls[[#This Row],[Duration]]&lt;=120,"1 TO 2 HRS",TRUE,"MORE THAN 2 HRS")</f>
        <v>1 TO 2 HRS</v>
      </c>
      <c r="K454">
        <f>ROUND(calls[[#This Row],[Satisfaction Rating]],0)</f>
        <v>3</v>
      </c>
    </row>
    <row r="455" spans="1:11" x14ac:dyDescent="0.3">
      <c r="A455" s="41" t="s">
        <v>1506</v>
      </c>
      <c r="B455" s="10" t="s">
        <v>1068</v>
      </c>
      <c r="C455" s="10">
        <v>81</v>
      </c>
      <c r="D455" s="39" t="s">
        <v>1043</v>
      </c>
      <c r="E455" s="40">
        <v>45050</v>
      </c>
      <c r="F455" s="10">
        <v>92</v>
      </c>
      <c r="G455" s="42">
        <v>4.9000000000000004</v>
      </c>
      <c r="H455">
        <f>IF(MONTH(calls[[#This Row],[Date of Call]])&lt;=6,YEAR(calls[[#This Row],[Date of Call]]),YEAR(calls[[#This Row],[Date of Call]])+1)</f>
        <v>2023</v>
      </c>
      <c r="I455" t="str">
        <f>TEXT(calls[[#This Row],[Date of Call]],"DDDD")</f>
        <v>Thursday</v>
      </c>
      <c r="J455" t="str" cm="1">
        <f t="array" ref="J455">_xlfn.IFS(calls[[#This Row],[Duration]]&lt;=10,"UNDER 10 MINS",calls[[#This Row],[Duration]]&lt;=30,"10 TO 30 MINS",calls[[#This Row],[Duration]]&lt;=60,"30 TO 60 MINS",calls[[#This Row],[Duration]]&lt;=120,"1 TO 2 HRS",TRUE,"MORE THAN 2 HRS")</f>
        <v>1 TO 2 HRS</v>
      </c>
      <c r="K455">
        <f>ROUND(calls[[#This Row],[Satisfaction Rating]],0)</f>
        <v>5</v>
      </c>
    </row>
    <row r="456" spans="1:11" x14ac:dyDescent="0.3">
      <c r="A456" s="41" t="s">
        <v>1507</v>
      </c>
      <c r="B456" s="10" t="s">
        <v>1062</v>
      </c>
      <c r="C456" s="10">
        <v>40</v>
      </c>
      <c r="D456" s="39" t="s">
        <v>1053</v>
      </c>
      <c r="E456" s="40">
        <v>45052</v>
      </c>
      <c r="F456" s="10">
        <v>108</v>
      </c>
      <c r="G456" s="42">
        <v>4.2</v>
      </c>
      <c r="H456">
        <f>IF(MONTH(calls[[#This Row],[Date of Call]])&lt;=6,YEAR(calls[[#This Row],[Date of Call]]),YEAR(calls[[#This Row],[Date of Call]])+1)</f>
        <v>2023</v>
      </c>
      <c r="I456" t="str">
        <f>TEXT(calls[[#This Row],[Date of Call]],"DDDD")</f>
        <v>Saturday</v>
      </c>
      <c r="J456" t="str" cm="1">
        <f t="array" ref="J456">_xlfn.IFS(calls[[#This Row],[Duration]]&lt;=10,"UNDER 10 MINS",calls[[#This Row],[Duration]]&lt;=30,"10 TO 30 MINS",calls[[#This Row],[Duration]]&lt;=60,"30 TO 60 MINS",calls[[#This Row],[Duration]]&lt;=120,"1 TO 2 HRS",TRUE,"MORE THAN 2 HRS")</f>
        <v>30 TO 60 MINS</v>
      </c>
      <c r="K456">
        <f>ROUND(calls[[#This Row],[Satisfaction Rating]],0)</f>
        <v>4</v>
      </c>
    </row>
    <row r="457" spans="1:11" x14ac:dyDescent="0.3">
      <c r="A457" s="41" t="s">
        <v>1508</v>
      </c>
      <c r="B457" s="10" t="s">
        <v>1109</v>
      </c>
      <c r="C457" s="10">
        <v>143</v>
      </c>
      <c r="D457" s="39" t="s">
        <v>1053</v>
      </c>
      <c r="E457" s="40">
        <v>45052</v>
      </c>
      <c r="F457" s="10">
        <v>54</v>
      </c>
      <c r="G457" s="42">
        <v>4.4000000000000004</v>
      </c>
      <c r="H457">
        <f>IF(MONTH(calls[[#This Row],[Date of Call]])&lt;=6,YEAR(calls[[#This Row],[Date of Call]]),YEAR(calls[[#This Row],[Date of Call]])+1)</f>
        <v>2023</v>
      </c>
      <c r="I457" t="str">
        <f>TEXT(calls[[#This Row],[Date of Call]],"DDDD")</f>
        <v>Saturday</v>
      </c>
      <c r="J457" t="str" cm="1">
        <f t="array" ref="J457">_xlfn.IFS(calls[[#This Row],[Duration]]&lt;=10,"UNDER 10 MINS",calls[[#This Row],[Duration]]&lt;=30,"10 TO 30 MINS",calls[[#This Row],[Duration]]&lt;=60,"30 TO 60 MINS",calls[[#This Row],[Duration]]&lt;=120,"1 TO 2 HRS",TRUE,"MORE THAN 2 HRS")</f>
        <v>MORE THAN 2 HRS</v>
      </c>
      <c r="K457">
        <f>ROUND(calls[[#This Row],[Satisfaction Rating]],0)</f>
        <v>4</v>
      </c>
    </row>
    <row r="458" spans="1:11" x14ac:dyDescent="0.3">
      <c r="A458" s="41" t="s">
        <v>1509</v>
      </c>
      <c r="B458" s="10" t="s">
        <v>1062</v>
      </c>
      <c r="C458" s="10">
        <v>70</v>
      </c>
      <c r="D458" s="39" t="s">
        <v>1053</v>
      </c>
      <c r="E458" s="40">
        <v>45053</v>
      </c>
      <c r="F458" s="10">
        <v>44</v>
      </c>
      <c r="G458" s="42">
        <v>3.5</v>
      </c>
      <c r="H458">
        <f>IF(MONTH(calls[[#This Row],[Date of Call]])&lt;=6,YEAR(calls[[#This Row],[Date of Call]]),YEAR(calls[[#This Row],[Date of Call]])+1)</f>
        <v>2023</v>
      </c>
      <c r="I458" t="str">
        <f>TEXT(calls[[#This Row],[Date of Call]],"DDDD")</f>
        <v>Sunday</v>
      </c>
      <c r="J458" t="str" cm="1">
        <f t="array" ref="J458">_xlfn.IFS(calls[[#This Row],[Duration]]&lt;=10,"UNDER 10 MINS",calls[[#This Row],[Duration]]&lt;=30,"10 TO 30 MINS",calls[[#This Row],[Duration]]&lt;=60,"30 TO 60 MINS",calls[[#This Row],[Duration]]&lt;=120,"1 TO 2 HRS",TRUE,"MORE THAN 2 HRS")</f>
        <v>1 TO 2 HRS</v>
      </c>
      <c r="K458">
        <f>ROUND(calls[[#This Row],[Satisfaction Rating]],0)</f>
        <v>4</v>
      </c>
    </row>
    <row r="459" spans="1:11" x14ac:dyDescent="0.3">
      <c r="A459" s="41" t="s">
        <v>1510</v>
      </c>
      <c r="B459" s="10" t="s">
        <v>1076</v>
      </c>
      <c r="C459" s="10">
        <v>137</v>
      </c>
      <c r="D459" s="39" t="s">
        <v>1053</v>
      </c>
      <c r="E459" s="40">
        <v>45053</v>
      </c>
      <c r="F459" s="10">
        <v>44</v>
      </c>
      <c r="G459" s="42">
        <v>4.7</v>
      </c>
      <c r="H459">
        <f>IF(MONTH(calls[[#This Row],[Date of Call]])&lt;=6,YEAR(calls[[#This Row],[Date of Call]]),YEAR(calls[[#This Row],[Date of Call]])+1)</f>
        <v>2023</v>
      </c>
      <c r="I459" t="str">
        <f>TEXT(calls[[#This Row],[Date of Call]],"DDDD")</f>
        <v>Sunday</v>
      </c>
      <c r="J459" t="str" cm="1">
        <f t="array" ref="J459">_xlfn.IFS(calls[[#This Row],[Duration]]&lt;=10,"UNDER 10 MINS",calls[[#This Row],[Duration]]&lt;=30,"10 TO 30 MINS",calls[[#This Row],[Duration]]&lt;=60,"30 TO 60 MINS",calls[[#This Row],[Duration]]&lt;=120,"1 TO 2 HRS",TRUE,"MORE THAN 2 HRS")</f>
        <v>MORE THAN 2 HRS</v>
      </c>
      <c r="K459">
        <f>ROUND(calls[[#This Row],[Satisfaction Rating]],0)</f>
        <v>5</v>
      </c>
    </row>
    <row r="460" spans="1:11" x14ac:dyDescent="0.3">
      <c r="A460" s="41" t="s">
        <v>1511</v>
      </c>
      <c r="B460" s="10" t="s">
        <v>1037</v>
      </c>
      <c r="C460" s="10">
        <v>52</v>
      </c>
      <c r="D460" s="39" t="s">
        <v>1043</v>
      </c>
      <c r="E460" s="40">
        <v>45054</v>
      </c>
      <c r="F460" s="10">
        <v>37</v>
      </c>
      <c r="G460" s="42">
        <v>4.9000000000000004</v>
      </c>
      <c r="H460">
        <f>IF(MONTH(calls[[#This Row],[Date of Call]])&lt;=6,YEAR(calls[[#This Row],[Date of Call]]),YEAR(calls[[#This Row],[Date of Call]])+1)</f>
        <v>2023</v>
      </c>
      <c r="I460" t="str">
        <f>TEXT(calls[[#This Row],[Date of Call]],"DDDD")</f>
        <v>Monday</v>
      </c>
      <c r="J460" t="str" cm="1">
        <f t="array" ref="J460">_xlfn.IFS(calls[[#This Row],[Duration]]&lt;=10,"UNDER 10 MINS",calls[[#This Row],[Duration]]&lt;=30,"10 TO 30 MINS",calls[[#This Row],[Duration]]&lt;=60,"30 TO 60 MINS",calls[[#This Row],[Duration]]&lt;=120,"1 TO 2 HRS",TRUE,"MORE THAN 2 HRS")</f>
        <v>30 TO 60 MINS</v>
      </c>
      <c r="K460">
        <f>ROUND(calls[[#This Row],[Satisfaction Rating]],0)</f>
        <v>5</v>
      </c>
    </row>
    <row r="461" spans="1:11" x14ac:dyDescent="0.3">
      <c r="A461" s="41" t="s">
        <v>1512</v>
      </c>
      <c r="B461" s="10" t="s">
        <v>1040</v>
      </c>
      <c r="C461" s="10">
        <v>31</v>
      </c>
      <c r="D461" s="39" t="s">
        <v>1048</v>
      </c>
      <c r="E461" s="40">
        <v>45054</v>
      </c>
      <c r="F461" s="10">
        <v>180</v>
      </c>
      <c r="G461" s="42">
        <v>4.5</v>
      </c>
      <c r="H461">
        <f>IF(MONTH(calls[[#This Row],[Date of Call]])&lt;=6,YEAR(calls[[#This Row],[Date of Call]]),YEAR(calls[[#This Row],[Date of Call]])+1)</f>
        <v>2023</v>
      </c>
      <c r="I461" t="str">
        <f>TEXT(calls[[#This Row],[Date of Call]],"DDDD")</f>
        <v>Monday</v>
      </c>
      <c r="J461" t="str" cm="1">
        <f t="array" ref="J461">_xlfn.IFS(calls[[#This Row],[Duration]]&lt;=10,"UNDER 10 MINS",calls[[#This Row],[Duration]]&lt;=30,"10 TO 30 MINS",calls[[#This Row],[Duration]]&lt;=60,"30 TO 60 MINS",calls[[#This Row],[Duration]]&lt;=120,"1 TO 2 HRS",TRUE,"MORE THAN 2 HRS")</f>
        <v>30 TO 60 MINS</v>
      </c>
      <c r="K461">
        <f>ROUND(calls[[#This Row],[Satisfaction Rating]],0)</f>
        <v>5</v>
      </c>
    </row>
    <row r="462" spans="1:11" x14ac:dyDescent="0.3">
      <c r="A462" s="41" t="s">
        <v>1513</v>
      </c>
      <c r="B462" s="10" t="s">
        <v>1037</v>
      </c>
      <c r="C462" s="10">
        <v>114</v>
      </c>
      <c r="D462" s="39" t="s">
        <v>1057</v>
      </c>
      <c r="E462" s="40">
        <v>45054</v>
      </c>
      <c r="F462" s="10">
        <v>105</v>
      </c>
      <c r="G462" s="42">
        <v>4.9000000000000004</v>
      </c>
      <c r="H462">
        <f>IF(MONTH(calls[[#This Row],[Date of Call]])&lt;=6,YEAR(calls[[#This Row],[Date of Call]]),YEAR(calls[[#This Row],[Date of Call]])+1)</f>
        <v>2023</v>
      </c>
      <c r="I462" t="str">
        <f>TEXT(calls[[#This Row],[Date of Call]],"DDDD")</f>
        <v>Monday</v>
      </c>
      <c r="J462" t="str" cm="1">
        <f t="array" ref="J462">_xlfn.IFS(calls[[#This Row],[Duration]]&lt;=10,"UNDER 10 MINS",calls[[#This Row],[Duration]]&lt;=30,"10 TO 30 MINS",calls[[#This Row],[Duration]]&lt;=60,"30 TO 60 MINS",calls[[#This Row],[Duration]]&lt;=120,"1 TO 2 HRS",TRUE,"MORE THAN 2 HRS")</f>
        <v>1 TO 2 HRS</v>
      </c>
      <c r="K462">
        <f>ROUND(calls[[#This Row],[Satisfaction Rating]],0)</f>
        <v>5</v>
      </c>
    </row>
    <row r="463" spans="1:11" x14ac:dyDescent="0.3">
      <c r="A463" s="41" t="s">
        <v>1514</v>
      </c>
      <c r="B463" s="10" t="s">
        <v>1076</v>
      </c>
      <c r="C463" s="10">
        <v>73</v>
      </c>
      <c r="D463" s="39" t="s">
        <v>1038</v>
      </c>
      <c r="E463" s="40">
        <v>45054</v>
      </c>
      <c r="F463" s="10">
        <v>87</v>
      </c>
      <c r="G463" s="42">
        <v>3.6</v>
      </c>
      <c r="H463">
        <f>IF(MONTH(calls[[#This Row],[Date of Call]])&lt;=6,YEAR(calls[[#This Row],[Date of Call]]),YEAR(calls[[#This Row],[Date of Call]])+1)</f>
        <v>2023</v>
      </c>
      <c r="I463" t="str">
        <f>TEXT(calls[[#This Row],[Date of Call]],"DDDD")</f>
        <v>Monday</v>
      </c>
      <c r="J463" t="str" cm="1">
        <f t="array" ref="J463">_xlfn.IFS(calls[[#This Row],[Duration]]&lt;=10,"UNDER 10 MINS",calls[[#This Row],[Duration]]&lt;=30,"10 TO 30 MINS",calls[[#This Row],[Duration]]&lt;=60,"30 TO 60 MINS",calls[[#This Row],[Duration]]&lt;=120,"1 TO 2 HRS",TRUE,"MORE THAN 2 HRS")</f>
        <v>1 TO 2 HRS</v>
      </c>
      <c r="K463">
        <f>ROUND(calls[[#This Row],[Satisfaction Rating]],0)</f>
        <v>4</v>
      </c>
    </row>
    <row r="464" spans="1:11" x14ac:dyDescent="0.3">
      <c r="A464" s="41" t="s">
        <v>1515</v>
      </c>
      <c r="B464" s="10" t="s">
        <v>1068</v>
      </c>
      <c r="C464" s="10">
        <v>25</v>
      </c>
      <c r="D464" s="39" t="s">
        <v>1048</v>
      </c>
      <c r="E464" s="40">
        <v>45054</v>
      </c>
      <c r="F464" s="10">
        <v>52</v>
      </c>
      <c r="G464" s="42">
        <v>3.8</v>
      </c>
      <c r="H464">
        <f>IF(MONTH(calls[[#This Row],[Date of Call]])&lt;=6,YEAR(calls[[#This Row],[Date of Call]]),YEAR(calls[[#This Row],[Date of Call]])+1)</f>
        <v>2023</v>
      </c>
      <c r="I464" t="str">
        <f>TEXT(calls[[#This Row],[Date of Call]],"DDDD")</f>
        <v>Monday</v>
      </c>
      <c r="J464" t="str" cm="1">
        <f t="array" ref="J464">_xlfn.IFS(calls[[#This Row],[Duration]]&lt;=10,"UNDER 10 MINS",calls[[#This Row],[Duration]]&lt;=30,"10 TO 30 MINS",calls[[#This Row],[Duration]]&lt;=60,"30 TO 60 MINS",calls[[#This Row],[Duration]]&lt;=120,"1 TO 2 HRS",TRUE,"MORE THAN 2 HRS")</f>
        <v>10 TO 30 MINS</v>
      </c>
      <c r="K464">
        <f>ROUND(calls[[#This Row],[Satisfaction Rating]],0)</f>
        <v>4</v>
      </c>
    </row>
    <row r="465" spans="1:11" x14ac:dyDescent="0.3">
      <c r="A465" s="41" t="s">
        <v>1516</v>
      </c>
      <c r="B465" s="10" t="s">
        <v>1047</v>
      </c>
      <c r="C465" s="10">
        <v>44</v>
      </c>
      <c r="D465" s="39" t="s">
        <v>1057</v>
      </c>
      <c r="E465" s="40">
        <v>45054</v>
      </c>
      <c r="F465" s="10">
        <v>63</v>
      </c>
      <c r="G465" s="42">
        <v>3.5</v>
      </c>
      <c r="H465">
        <f>IF(MONTH(calls[[#This Row],[Date of Call]])&lt;=6,YEAR(calls[[#This Row],[Date of Call]]),YEAR(calls[[#This Row],[Date of Call]])+1)</f>
        <v>2023</v>
      </c>
      <c r="I465" t="str">
        <f>TEXT(calls[[#This Row],[Date of Call]],"DDDD")</f>
        <v>Monday</v>
      </c>
      <c r="J465" t="str" cm="1">
        <f t="array" ref="J465">_xlfn.IFS(calls[[#This Row],[Duration]]&lt;=10,"UNDER 10 MINS",calls[[#This Row],[Duration]]&lt;=30,"10 TO 30 MINS",calls[[#This Row],[Duration]]&lt;=60,"30 TO 60 MINS",calls[[#This Row],[Duration]]&lt;=120,"1 TO 2 HRS",TRUE,"MORE THAN 2 HRS")</f>
        <v>30 TO 60 MINS</v>
      </c>
      <c r="K465">
        <f>ROUND(calls[[#This Row],[Satisfaction Rating]],0)</f>
        <v>4</v>
      </c>
    </row>
    <row r="466" spans="1:11" x14ac:dyDescent="0.3">
      <c r="A466" s="41" t="s">
        <v>1517</v>
      </c>
      <c r="B466" s="10" t="s">
        <v>1071</v>
      </c>
      <c r="C466" s="10">
        <v>34</v>
      </c>
      <c r="D466" s="39" t="s">
        <v>1043</v>
      </c>
      <c r="E466" s="40">
        <v>45055</v>
      </c>
      <c r="F466" s="10">
        <v>195</v>
      </c>
      <c r="G466" s="42">
        <v>4.8</v>
      </c>
      <c r="H466">
        <f>IF(MONTH(calls[[#This Row],[Date of Call]])&lt;=6,YEAR(calls[[#This Row],[Date of Call]]),YEAR(calls[[#This Row],[Date of Call]])+1)</f>
        <v>2023</v>
      </c>
      <c r="I466" t="str">
        <f>TEXT(calls[[#This Row],[Date of Call]],"DDDD")</f>
        <v>Tuesday</v>
      </c>
      <c r="J466" t="str" cm="1">
        <f t="array" ref="J466">_xlfn.IFS(calls[[#This Row],[Duration]]&lt;=10,"UNDER 10 MINS",calls[[#This Row],[Duration]]&lt;=30,"10 TO 30 MINS",calls[[#This Row],[Duration]]&lt;=60,"30 TO 60 MINS",calls[[#This Row],[Duration]]&lt;=120,"1 TO 2 HRS",TRUE,"MORE THAN 2 HRS")</f>
        <v>30 TO 60 MINS</v>
      </c>
      <c r="K466">
        <f>ROUND(calls[[#This Row],[Satisfaction Rating]],0)</f>
        <v>5</v>
      </c>
    </row>
    <row r="467" spans="1:11" x14ac:dyDescent="0.3">
      <c r="A467" s="41" t="s">
        <v>1518</v>
      </c>
      <c r="B467" s="10" t="s">
        <v>1109</v>
      </c>
      <c r="C467" s="10">
        <v>89</v>
      </c>
      <c r="D467" s="39" t="s">
        <v>1053</v>
      </c>
      <c r="E467" s="40">
        <v>45056</v>
      </c>
      <c r="F467" s="10">
        <v>176</v>
      </c>
      <c r="G467" s="42">
        <v>4.5</v>
      </c>
      <c r="H467">
        <f>IF(MONTH(calls[[#This Row],[Date of Call]])&lt;=6,YEAR(calls[[#This Row],[Date of Call]]),YEAR(calls[[#This Row],[Date of Call]])+1)</f>
        <v>2023</v>
      </c>
      <c r="I467" t="str">
        <f>TEXT(calls[[#This Row],[Date of Call]],"DDDD")</f>
        <v>Wednesday</v>
      </c>
      <c r="J467" t="str" cm="1">
        <f t="array" ref="J467">_xlfn.IFS(calls[[#This Row],[Duration]]&lt;=10,"UNDER 10 MINS",calls[[#This Row],[Duration]]&lt;=30,"10 TO 30 MINS",calls[[#This Row],[Duration]]&lt;=60,"30 TO 60 MINS",calls[[#This Row],[Duration]]&lt;=120,"1 TO 2 HRS",TRUE,"MORE THAN 2 HRS")</f>
        <v>1 TO 2 HRS</v>
      </c>
      <c r="K467">
        <f>ROUND(calls[[#This Row],[Satisfaction Rating]],0)</f>
        <v>5</v>
      </c>
    </row>
    <row r="468" spans="1:11" x14ac:dyDescent="0.3">
      <c r="A468" s="41" t="s">
        <v>1519</v>
      </c>
      <c r="B468" s="10" t="s">
        <v>1056</v>
      </c>
      <c r="C468" s="10">
        <v>54</v>
      </c>
      <c r="D468" s="39" t="s">
        <v>1048</v>
      </c>
      <c r="E468" s="40">
        <v>45057</v>
      </c>
      <c r="F468" s="10">
        <v>31</v>
      </c>
      <c r="G468" s="42">
        <v>3.3</v>
      </c>
      <c r="H468">
        <f>IF(MONTH(calls[[#This Row],[Date of Call]])&lt;=6,YEAR(calls[[#This Row],[Date of Call]]),YEAR(calls[[#This Row],[Date of Call]])+1)</f>
        <v>2023</v>
      </c>
      <c r="I468" t="str">
        <f>TEXT(calls[[#This Row],[Date of Call]],"DDDD")</f>
        <v>Thursday</v>
      </c>
      <c r="J468" t="str" cm="1">
        <f t="array" ref="J468">_xlfn.IFS(calls[[#This Row],[Duration]]&lt;=10,"UNDER 10 MINS",calls[[#This Row],[Duration]]&lt;=30,"10 TO 30 MINS",calls[[#This Row],[Duration]]&lt;=60,"30 TO 60 MINS",calls[[#This Row],[Duration]]&lt;=120,"1 TO 2 HRS",TRUE,"MORE THAN 2 HRS")</f>
        <v>30 TO 60 MINS</v>
      </c>
      <c r="K468">
        <f>ROUND(calls[[#This Row],[Satisfaction Rating]],0)</f>
        <v>3</v>
      </c>
    </row>
    <row r="469" spans="1:11" x14ac:dyDescent="0.3">
      <c r="A469" s="41" t="s">
        <v>1520</v>
      </c>
      <c r="B469" s="10" t="s">
        <v>1042</v>
      </c>
      <c r="C469" s="10">
        <v>25</v>
      </c>
      <c r="D469" s="39" t="s">
        <v>1048</v>
      </c>
      <c r="E469" s="40">
        <v>45058</v>
      </c>
      <c r="F469" s="10">
        <v>27</v>
      </c>
      <c r="G469" s="42">
        <v>3.2</v>
      </c>
      <c r="H469">
        <f>IF(MONTH(calls[[#This Row],[Date of Call]])&lt;=6,YEAR(calls[[#This Row],[Date of Call]]),YEAR(calls[[#This Row],[Date of Call]])+1)</f>
        <v>2023</v>
      </c>
      <c r="I469" t="str">
        <f>TEXT(calls[[#This Row],[Date of Call]],"DDDD")</f>
        <v>Friday</v>
      </c>
      <c r="J469" t="str" cm="1">
        <f t="array" ref="J469">_xlfn.IFS(calls[[#This Row],[Duration]]&lt;=10,"UNDER 10 MINS",calls[[#This Row],[Duration]]&lt;=30,"10 TO 30 MINS",calls[[#This Row],[Duration]]&lt;=60,"30 TO 60 MINS",calls[[#This Row],[Duration]]&lt;=120,"1 TO 2 HRS",TRUE,"MORE THAN 2 HRS")</f>
        <v>10 TO 30 MINS</v>
      </c>
      <c r="K469">
        <f>ROUND(calls[[#This Row],[Satisfaction Rating]],0)</f>
        <v>3</v>
      </c>
    </row>
    <row r="470" spans="1:11" x14ac:dyDescent="0.3">
      <c r="A470" s="41" t="s">
        <v>1521</v>
      </c>
      <c r="B470" s="10" t="s">
        <v>1060</v>
      </c>
      <c r="C470" s="10">
        <v>91</v>
      </c>
      <c r="D470" s="39" t="s">
        <v>1053</v>
      </c>
      <c r="E470" s="40">
        <v>45058</v>
      </c>
      <c r="F470" s="10">
        <v>76</v>
      </c>
      <c r="G470" s="42">
        <v>4.9000000000000004</v>
      </c>
      <c r="H470">
        <f>IF(MONTH(calls[[#This Row],[Date of Call]])&lt;=6,YEAR(calls[[#This Row],[Date of Call]]),YEAR(calls[[#This Row],[Date of Call]])+1)</f>
        <v>2023</v>
      </c>
      <c r="I470" t="str">
        <f>TEXT(calls[[#This Row],[Date of Call]],"DDDD")</f>
        <v>Friday</v>
      </c>
      <c r="J470" t="str" cm="1">
        <f t="array" ref="J470">_xlfn.IFS(calls[[#This Row],[Duration]]&lt;=10,"UNDER 10 MINS",calls[[#This Row],[Duration]]&lt;=30,"10 TO 30 MINS",calls[[#This Row],[Duration]]&lt;=60,"30 TO 60 MINS",calls[[#This Row],[Duration]]&lt;=120,"1 TO 2 HRS",TRUE,"MORE THAN 2 HRS")</f>
        <v>1 TO 2 HRS</v>
      </c>
      <c r="K470">
        <f>ROUND(calls[[#This Row],[Satisfaction Rating]],0)</f>
        <v>5</v>
      </c>
    </row>
    <row r="471" spans="1:11" x14ac:dyDescent="0.3">
      <c r="A471" s="41" t="s">
        <v>1522</v>
      </c>
      <c r="B471" s="10" t="s">
        <v>1047</v>
      </c>
      <c r="C471" s="10">
        <v>144</v>
      </c>
      <c r="D471" s="39" t="s">
        <v>1057</v>
      </c>
      <c r="E471" s="40">
        <v>45058</v>
      </c>
      <c r="F471" s="10">
        <v>62</v>
      </c>
      <c r="G471" s="42">
        <v>4.8</v>
      </c>
      <c r="H471">
        <f>IF(MONTH(calls[[#This Row],[Date of Call]])&lt;=6,YEAR(calls[[#This Row],[Date of Call]]),YEAR(calls[[#This Row],[Date of Call]])+1)</f>
        <v>2023</v>
      </c>
      <c r="I471" t="str">
        <f>TEXT(calls[[#This Row],[Date of Call]],"DDDD")</f>
        <v>Friday</v>
      </c>
      <c r="J471" t="str" cm="1">
        <f t="array" ref="J471">_xlfn.IFS(calls[[#This Row],[Duration]]&lt;=10,"UNDER 10 MINS",calls[[#This Row],[Duration]]&lt;=30,"10 TO 30 MINS",calls[[#This Row],[Duration]]&lt;=60,"30 TO 60 MINS",calls[[#This Row],[Duration]]&lt;=120,"1 TO 2 HRS",TRUE,"MORE THAN 2 HRS")</f>
        <v>MORE THAN 2 HRS</v>
      </c>
      <c r="K471">
        <f>ROUND(calls[[#This Row],[Satisfaction Rating]],0)</f>
        <v>5</v>
      </c>
    </row>
    <row r="472" spans="1:11" x14ac:dyDescent="0.3">
      <c r="A472" s="41" t="s">
        <v>1523</v>
      </c>
      <c r="B472" s="10" t="s">
        <v>1060</v>
      </c>
      <c r="C472" s="10">
        <v>81</v>
      </c>
      <c r="D472" s="39" t="s">
        <v>1043</v>
      </c>
      <c r="E472" s="40">
        <v>45060</v>
      </c>
      <c r="F472" s="10">
        <v>100</v>
      </c>
      <c r="G472" s="42">
        <v>1.3</v>
      </c>
      <c r="H472">
        <f>IF(MONTH(calls[[#This Row],[Date of Call]])&lt;=6,YEAR(calls[[#This Row],[Date of Call]]),YEAR(calls[[#This Row],[Date of Call]])+1)</f>
        <v>2023</v>
      </c>
      <c r="I472" t="str">
        <f>TEXT(calls[[#This Row],[Date of Call]],"DDDD")</f>
        <v>Sunday</v>
      </c>
      <c r="J472" t="str" cm="1">
        <f t="array" ref="J472">_xlfn.IFS(calls[[#This Row],[Duration]]&lt;=10,"UNDER 10 MINS",calls[[#This Row],[Duration]]&lt;=30,"10 TO 30 MINS",calls[[#This Row],[Duration]]&lt;=60,"30 TO 60 MINS",calls[[#This Row],[Duration]]&lt;=120,"1 TO 2 HRS",TRUE,"MORE THAN 2 HRS")</f>
        <v>1 TO 2 HRS</v>
      </c>
      <c r="K472">
        <f>ROUND(calls[[#This Row],[Satisfaction Rating]],0)</f>
        <v>1</v>
      </c>
    </row>
    <row r="473" spans="1:11" x14ac:dyDescent="0.3">
      <c r="A473" s="41" t="s">
        <v>1524</v>
      </c>
      <c r="B473" s="10" t="s">
        <v>1089</v>
      </c>
      <c r="C473" s="10">
        <v>92</v>
      </c>
      <c r="D473" s="39" t="s">
        <v>1048</v>
      </c>
      <c r="E473" s="40">
        <v>45060</v>
      </c>
      <c r="F473" s="10">
        <v>44</v>
      </c>
      <c r="G473" s="42">
        <v>3.1</v>
      </c>
      <c r="H473">
        <f>IF(MONTH(calls[[#This Row],[Date of Call]])&lt;=6,YEAR(calls[[#This Row],[Date of Call]]),YEAR(calls[[#This Row],[Date of Call]])+1)</f>
        <v>2023</v>
      </c>
      <c r="I473" t="str">
        <f>TEXT(calls[[#This Row],[Date of Call]],"DDDD")</f>
        <v>Sunday</v>
      </c>
      <c r="J473" t="str" cm="1">
        <f t="array" ref="J473">_xlfn.IFS(calls[[#This Row],[Duration]]&lt;=10,"UNDER 10 MINS",calls[[#This Row],[Duration]]&lt;=30,"10 TO 30 MINS",calls[[#This Row],[Duration]]&lt;=60,"30 TO 60 MINS",calls[[#This Row],[Duration]]&lt;=120,"1 TO 2 HRS",TRUE,"MORE THAN 2 HRS")</f>
        <v>1 TO 2 HRS</v>
      </c>
      <c r="K473">
        <f>ROUND(calls[[#This Row],[Satisfaction Rating]],0)</f>
        <v>3</v>
      </c>
    </row>
    <row r="474" spans="1:11" x14ac:dyDescent="0.3">
      <c r="A474" s="41" t="s">
        <v>1525</v>
      </c>
      <c r="B474" s="10" t="s">
        <v>1042</v>
      </c>
      <c r="C474" s="10">
        <v>115</v>
      </c>
      <c r="D474" s="39" t="s">
        <v>1053</v>
      </c>
      <c r="E474" s="40">
        <v>45060</v>
      </c>
      <c r="F474" s="10">
        <v>168</v>
      </c>
      <c r="G474" s="42">
        <v>3.4</v>
      </c>
      <c r="H474">
        <f>IF(MONTH(calls[[#This Row],[Date of Call]])&lt;=6,YEAR(calls[[#This Row],[Date of Call]]),YEAR(calls[[#This Row],[Date of Call]])+1)</f>
        <v>2023</v>
      </c>
      <c r="I474" t="str">
        <f>TEXT(calls[[#This Row],[Date of Call]],"DDDD")</f>
        <v>Sunday</v>
      </c>
      <c r="J474" t="str" cm="1">
        <f t="array" ref="J474">_xlfn.IFS(calls[[#This Row],[Duration]]&lt;=10,"UNDER 10 MINS",calls[[#This Row],[Duration]]&lt;=30,"10 TO 30 MINS",calls[[#This Row],[Duration]]&lt;=60,"30 TO 60 MINS",calls[[#This Row],[Duration]]&lt;=120,"1 TO 2 HRS",TRUE,"MORE THAN 2 HRS")</f>
        <v>1 TO 2 HRS</v>
      </c>
      <c r="K474">
        <f>ROUND(calls[[#This Row],[Satisfaction Rating]],0)</f>
        <v>3</v>
      </c>
    </row>
    <row r="475" spans="1:11" x14ac:dyDescent="0.3">
      <c r="A475" s="41" t="s">
        <v>1526</v>
      </c>
      <c r="B475" s="10" t="s">
        <v>1051</v>
      </c>
      <c r="C475" s="10">
        <v>56</v>
      </c>
      <c r="D475" s="39" t="s">
        <v>1053</v>
      </c>
      <c r="E475" s="40">
        <v>45061</v>
      </c>
      <c r="F475" s="10">
        <v>200</v>
      </c>
      <c r="G475" s="42">
        <v>4.5999999999999996</v>
      </c>
      <c r="H475">
        <f>IF(MONTH(calls[[#This Row],[Date of Call]])&lt;=6,YEAR(calls[[#This Row],[Date of Call]]),YEAR(calls[[#This Row],[Date of Call]])+1)</f>
        <v>2023</v>
      </c>
      <c r="I475" t="str">
        <f>TEXT(calls[[#This Row],[Date of Call]],"DDDD")</f>
        <v>Monday</v>
      </c>
      <c r="J475" t="str" cm="1">
        <f t="array" ref="J475">_xlfn.IFS(calls[[#This Row],[Duration]]&lt;=10,"UNDER 10 MINS",calls[[#This Row],[Duration]]&lt;=30,"10 TO 30 MINS",calls[[#This Row],[Duration]]&lt;=60,"30 TO 60 MINS",calls[[#This Row],[Duration]]&lt;=120,"1 TO 2 HRS",TRUE,"MORE THAN 2 HRS")</f>
        <v>30 TO 60 MINS</v>
      </c>
      <c r="K475">
        <f>ROUND(calls[[#This Row],[Satisfaction Rating]],0)</f>
        <v>5</v>
      </c>
    </row>
    <row r="476" spans="1:11" x14ac:dyDescent="0.3">
      <c r="A476" s="41" t="s">
        <v>1527</v>
      </c>
      <c r="B476" s="10" t="s">
        <v>1040</v>
      </c>
      <c r="C476" s="10">
        <v>154</v>
      </c>
      <c r="D476" s="39" t="s">
        <v>1048</v>
      </c>
      <c r="E476" s="40">
        <v>45061</v>
      </c>
      <c r="F476" s="10">
        <v>84</v>
      </c>
      <c r="G476" s="42">
        <v>4.3</v>
      </c>
      <c r="H476">
        <f>IF(MONTH(calls[[#This Row],[Date of Call]])&lt;=6,YEAR(calls[[#This Row],[Date of Call]]),YEAR(calls[[#This Row],[Date of Call]])+1)</f>
        <v>2023</v>
      </c>
      <c r="I476" t="str">
        <f>TEXT(calls[[#This Row],[Date of Call]],"DDDD")</f>
        <v>Monday</v>
      </c>
      <c r="J476" t="str" cm="1">
        <f t="array" ref="J476">_xlfn.IFS(calls[[#This Row],[Duration]]&lt;=10,"UNDER 10 MINS",calls[[#This Row],[Duration]]&lt;=30,"10 TO 30 MINS",calls[[#This Row],[Duration]]&lt;=60,"30 TO 60 MINS",calls[[#This Row],[Duration]]&lt;=120,"1 TO 2 HRS",TRUE,"MORE THAN 2 HRS")</f>
        <v>MORE THAN 2 HRS</v>
      </c>
      <c r="K476">
        <f>ROUND(calls[[#This Row],[Satisfaction Rating]],0)</f>
        <v>4</v>
      </c>
    </row>
    <row r="477" spans="1:11" x14ac:dyDescent="0.3">
      <c r="A477" s="41" t="s">
        <v>1528</v>
      </c>
      <c r="B477" s="10" t="s">
        <v>1109</v>
      </c>
      <c r="C477" s="10">
        <v>51</v>
      </c>
      <c r="D477" s="39" t="s">
        <v>1053</v>
      </c>
      <c r="E477" s="40">
        <v>45062</v>
      </c>
      <c r="F477" s="10">
        <v>117</v>
      </c>
      <c r="G477" s="42">
        <v>2.7</v>
      </c>
      <c r="H477">
        <f>IF(MONTH(calls[[#This Row],[Date of Call]])&lt;=6,YEAR(calls[[#This Row],[Date of Call]]),YEAR(calls[[#This Row],[Date of Call]])+1)</f>
        <v>2023</v>
      </c>
      <c r="I477" t="str">
        <f>TEXT(calls[[#This Row],[Date of Call]],"DDDD")</f>
        <v>Tuesday</v>
      </c>
      <c r="J477" t="str" cm="1">
        <f t="array" ref="J477">_xlfn.IFS(calls[[#This Row],[Duration]]&lt;=10,"UNDER 10 MINS",calls[[#This Row],[Duration]]&lt;=30,"10 TO 30 MINS",calls[[#This Row],[Duration]]&lt;=60,"30 TO 60 MINS",calls[[#This Row],[Duration]]&lt;=120,"1 TO 2 HRS",TRUE,"MORE THAN 2 HRS")</f>
        <v>30 TO 60 MINS</v>
      </c>
      <c r="K477">
        <f>ROUND(calls[[#This Row],[Satisfaction Rating]],0)</f>
        <v>3</v>
      </c>
    </row>
    <row r="478" spans="1:11" x14ac:dyDescent="0.3">
      <c r="A478" s="41" t="s">
        <v>1529</v>
      </c>
      <c r="B478" s="10" t="s">
        <v>1071</v>
      </c>
      <c r="C478" s="10">
        <v>21</v>
      </c>
      <c r="D478" s="39" t="s">
        <v>1043</v>
      </c>
      <c r="E478" s="40">
        <v>45062</v>
      </c>
      <c r="F478" s="10">
        <v>63</v>
      </c>
      <c r="G478" s="42">
        <v>4.2</v>
      </c>
      <c r="H478">
        <f>IF(MONTH(calls[[#This Row],[Date of Call]])&lt;=6,YEAR(calls[[#This Row],[Date of Call]]),YEAR(calls[[#This Row],[Date of Call]])+1)</f>
        <v>2023</v>
      </c>
      <c r="I478" t="str">
        <f>TEXT(calls[[#This Row],[Date of Call]],"DDDD")</f>
        <v>Tuesday</v>
      </c>
      <c r="J478" t="str" cm="1">
        <f t="array" ref="J478">_xlfn.IFS(calls[[#This Row],[Duration]]&lt;=10,"UNDER 10 MINS",calls[[#This Row],[Duration]]&lt;=30,"10 TO 30 MINS",calls[[#This Row],[Duration]]&lt;=60,"30 TO 60 MINS",calls[[#This Row],[Duration]]&lt;=120,"1 TO 2 HRS",TRUE,"MORE THAN 2 HRS")</f>
        <v>10 TO 30 MINS</v>
      </c>
      <c r="K478">
        <f>ROUND(calls[[#This Row],[Satisfaction Rating]],0)</f>
        <v>4</v>
      </c>
    </row>
    <row r="479" spans="1:11" x14ac:dyDescent="0.3">
      <c r="A479" s="41" t="s">
        <v>1530</v>
      </c>
      <c r="B479" s="10" t="s">
        <v>1042</v>
      </c>
      <c r="C479" s="10">
        <v>80</v>
      </c>
      <c r="D479" s="39" t="s">
        <v>1053</v>
      </c>
      <c r="E479" s="40">
        <v>45063</v>
      </c>
      <c r="F479" s="10">
        <v>145</v>
      </c>
      <c r="G479" s="42">
        <v>4.9000000000000004</v>
      </c>
      <c r="H479">
        <f>IF(MONTH(calls[[#This Row],[Date of Call]])&lt;=6,YEAR(calls[[#This Row],[Date of Call]]),YEAR(calls[[#This Row],[Date of Call]])+1)</f>
        <v>2023</v>
      </c>
      <c r="I479" t="str">
        <f>TEXT(calls[[#This Row],[Date of Call]],"DDDD")</f>
        <v>Wednesday</v>
      </c>
      <c r="J479" t="str" cm="1">
        <f t="array" ref="J479">_xlfn.IFS(calls[[#This Row],[Duration]]&lt;=10,"UNDER 10 MINS",calls[[#This Row],[Duration]]&lt;=30,"10 TO 30 MINS",calls[[#This Row],[Duration]]&lt;=60,"30 TO 60 MINS",calls[[#This Row],[Duration]]&lt;=120,"1 TO 2 HRS",TRUE,"MORE THAN 2 HRS")</f>
        <v>1 TO 2 HRS</v>
      </c>
      <c r="K479">
        <f>ROUND(calls[[#This Row],[Satisfaction Rating]],0)</f>
        <v>5</v>
      </c>
    </row>
    <row r="480" spans="1:11" x14ac:dyDescent="0.3">
      <c r="A480" s="41" t="s">
        <v>1531</v>
      </c>
      <c r="B480" s="10" t="s">
        <v>1109</v>
      </c>
      <c r="C480" s="10">
        <v>139</v>
      </c>
      <c r="D480" s="39" t="s">
        <v>1048</v>
      </c>
      <c r="E480" s="40">
        <v>45063</v>
      </c>
      <c r="F480" s="10">
        <v>220</v>
      </c>
      <c r="G480" s="42">
        <v>3.2</v>
      </c>
      <c r="H480">
        <f>IF(MONTH(calls[[#This Row],[Date of Call]])&lt;=6,YEAR(calls[[#This Row],[Date of Call]]),YEAR(calls[[#This Row],[Date of Call]])+1)</f>
        <v>2023</v>
      </c>
      <c r="I480" t="str">
        <f>TEXT(calls[[#This Row],[Date of Call]],"DDDD")</f>
        <v>Wednesday</v>
      </c>
      <c r="J480" t="str" cm="1">
        <f t="array" ref="J480">_xlfn.IFS(calls[[#This Row],[Duration]]&lt;=10,"UNDER 10 MINS",calls[[#This Row],[Duration]]&lt;=30,"10 TO 30 MINS",calls[[#This Row],[Duration]]&lt;=60,"30 TO 60 MINS",calls[[#This Row],[Duration]]&lt;=120,"1 TO 2 HRS",TRUE,"MORE THAN 2 HRS")</f>
        <v>MORE THAN 2 HRS</v>
      </c>
      <c r="K480">
        <f>ROUND(calls[[#This Row],[Satisfaction Rating]],0)</f>
        <v>3</v>
      </c>
    </row>
    <row r="481" spans="1:11" x14ac:dyDescent="0.3">
      <c r="A481" s="41" t="s">
        <v>1532</v>
      </c>
      <c r="B481" s="10" t="s">
        <v>1062</v>
      </c>
      <c r="C481" s="10">
        <v>50</v>
      </c>
      <c r="D481" s="39" t="s">
        <v>1043</v>
      </c>
      <c r="E481" s="40">
        <v>45063</v>
      </c>
      <c r="F481" s="10">
        <v>26</v>
      </c>
      <c r="G481" s="42">
        <v>4.7</v>
      </c>
      <c r="H481">
        <f>IF(MONTH(calls[[#This Row],[Date of Call]])&lt;=6,YEAR(calls[[#This Row],[Date of Call]]),YEAR(calls[[#This Row],[Date of Call]])+1)</f>
        <v>2023</v>
      </c>
      <c r="I481" t="str">
        <f>TEXT(calls[[#This Row],[Date of Call]],"DDDD")</f>
        <v>Wednesday</v>
      </c>
      <c r="J481" t="str" cm="1">
        <f t="array" ref="J481">_xlfn.IFS(calls[[#This Row],[Duration]]&lt;=10,"UNDER 10 MINS",calls[[#This Row],[Duration]]&lt;=30,"10 TO 30 MINS",calls[[#This Row],[Duration]]&lt;=60,"30 TO 60 MINS",calls[[#This Row],[Duration]]&lt;=120,"1 TO 2 HRS",TRUE,"MORE THAN 2 HRS")</f>
        <v>30 TO 60 MINS</v>
      </c>
      <c r="K481">
        <f>ROUND(calls[[#This Row],[Satisfaction Rating]],0)</f>
        <v>5</v>
      </c>
    </row>
    <row r="482" spans="1:11" x14ac:dyDescent="0.3">
      <c r="A482" s="41" t="s">
        <v>1533</v>
      </c>
      <c r="B482" s="10" t="s">
        <v>1042</v>
      </c>
      <c r="C482" s="10">
        <v>88</v>
      </c>
      <c r="D482" s="39" t="s">
        <v>1053</v>
      </c>
      <c r="E482" s="40">
        <v>45063</v>
      </c>
      <c r="F482" s="10">
        <v>78</v>
      </c>
      <c r="G482" s="42">
        <v>4.3</v>
      </c>
      <c r="H482">
        <f>IF(MONTH(calls[[#This Row],[Date of Call]])&lt;=6,YEAR(calls[[#This Row],[Date of Call]]),YEAR(calls[[#This Row],[Date of Call]])+1)</f>
        <v>2023</v>
      </c>
      <c r="I482" t="str">
        <f>TEXT(calls[[#This Row],[Date of Call]],"DDDD")</f>
        <v>Wednesday</v>
      </c>
      <c r="J482" t="str" cm="1">
        <f t="array" ref="J482">_xlfn.IFS(calls[[#This Row],[Duration]]&lt;=10,"UNDER 10 MINS",calls[[#This Row],[Duration]]&lt;=30,"10 TO 30 MINS",calls[[#This Row],[Duration]]&lt;=60,"30 TO 60 MINS",calls[[#This Row],[Duration]]&lt;=120,"1 TO 2 HRS",TRUE,"MORE THAN 2 HRS")</f>
        <v>1 TO 2 HRS</v>
      </c>
      <c r="K482">
        <f>ROUND(calls[[#This Row],[Satisfaction Rating]],0)</f>
        <v>4</v>
      </c>
    </row>
    <row r="483" spans="1:11" x14ac:dyDescent="0.3">
      <c r="A483" s="41" t="s">
        <v>1534</v>
      </c>
      <c r="B483" s="10" t="s">
        <v>1056</v>
      </c>
      <c r="C483" s="10">
        <v>19</v>
      </c>
      <c r="D483" s="39" t="s">
        <v>1057</v>
      </c>
      <c r="E483" s="40">
        <v>45064</v>
      </c>
      <c r="F483" s="10">
        <v>132</v>
      </c>
      <c r="G483" s="42">
        <v>4.3</v>
      </c>
      <c r="H483">
        <f>IF(MONTH(calls[[#This Row],[Date of Call]])&lt;=6,YEAR(calls[[#This Row],[Date of Call]]),YEAR(calls[[#This Row],[Date of Call]])+1)</f>
        <v>2023</v>
      </c>
      <c r="I483" t="str">
        <f>TEXT(calls[[#This Row],[Date of Call]],"DDDD")</f>
        <v>Thursday</v>
      </c>
      <c r="J483" t="str" cm="1">
        <f t="array" ref="J483">_xlfn.IFS(calls[[#This Row],[Duration]]&lt;=10,"UNDER 10 MINS",calls[[#This Row],[Duration]]&lt;=30,"10 TO 30 MINS",calls[[#This Row],[Duration]]&lt;=60,"30 TO 60 MINS",calls[[#This Row],[Duration]]&lt;=120,"1 TO 2 HRS",TRUE,"MORE THAN 2 HRS")</f>
        <v>10 TO 30 MINS</v>
      </c>
      <c r="K483">
        <f>ROUND(calls[[#This Row],[Satisfaction Rating]],0)</f>
        <v>4</v>
      </c>
    </row>
    <row r="484" spans="1:11" x14ac:dyDescent="0.3">
      <c r="A484" s="41" t="s">
        <v>1535</v>
      </c>
      <c r="B484" s="10" t="s">
        <v>1068</v>
      </c>
      <c r="C484" s="10">
        <v>104</v>
      </c>
      <c r="D484" s="39" t="s">
        <v>1057</v>
      </c>
      <c r="E484" s="40">
        <v>45065</v>
      </c>
      <c r="F484" s="10">
        <v>68</v>
      </c>
      <c r="G484" s="42">
        <v>3.7</v>
      </c>
      <c r="H484">
        <f>IF(MONTH(calls[[#This Row],[Date of Call]])&lt;=6,YEAR(calls[[#This Row],[Date of Call]]),YEAR(calls[[#This Row],[Date of Call]])+1)</f>
        <v>2023</v>
      </c>
      <c r="I484" t="str">
        <f>TEXT(calls[[#This Row],[Date of Call]],"DDDD")</f>
        <v>Friday</v>
      </c>
      <c r="J484" t="str" cm="1">
        <f t="array" ref="J484">_xlfn.IFS(calls[[#This Row],[Duration]]&lt;=10,"UNDER 10 MINS",calls[[#This Row],[Duration]]&lt;=30,"10 TO 30 MINS",calls[[#This Row],[Duration]]&lt;=60,"30 TO 60 MINS",calls[[#This Row],[Duration]]&lt;=120,"1 TO 2 HRS",TRUE,"MORE THAN 2 HRS")</f>
        <v>1 TO 2 HRS</v>
      </c>
      <c r="K484">
        <f>ROUND(calls[[#This Row],[Satisfaction Rating]],0)</f>
        <v>4</v>
      </c>
    </row>
    <row r="485" spans="1:11" x14ac:dyDescent="0.3">
      <c r="A485" s="41" t="s">
        <v>1536</v>
      </c>
      <c r="B485" s="10" t="s">
        <v>1040</v>
      </c>
      <c r="C485" s="10">
        <v>67</v>
      </c>
      <c r="D485" s="39" t="s">
        <v>1048</v>
      </c>
      <c r="E485" s="40">
        <v>45067</v>
      </c>
      <c r="F485" s="10">
        <v>129</v>
      </c>
      <c r="G485" s="42">
        <v>4.7</v>
      </c>
      <c r="H485">
        <f>IF(MONTH(calls[[#This Row],[Date of Call]])&lt;=6,YEAR(calls[[#This Row],[Date of Call]]),YEAR(calls[[#This Row],[Date of Call]])+1)</f>
        <v>2023</v>
      </c>
      <c r="I485" t="str">
        <f>TEXT(calls[[#This Row],[Date of Call]],"DDDD")</f>
        <v>Sunday</v>
      </c>
      <c r="J485" t="str" cm="1">
        <f t="array" ref="J485">_xlfn.IFS(calls[[#This Row],[Duration]]&lt;=10,"UNDER 10 MINS",calls[[#This Row],[Duration]]&lt;=30,"10 TO 30 MINS",calls[[#This Row],[Duration]]&lt;=60,"30 TO 60 MINS",calls[[#This Row],[Duration]]&lt;=120,"1 TO 2 HRS",TRUE,"MORE THAN 2 HRS")</f>
        <v>1 TO 2 HRS</v>
      </c>
      <c r="K485">
        <f>ROUND(calls[[#This Row],[Satisfaction Rating]],0)</f>
        <v>5</v>
      </c>
    </row>
    <row r="486" spans="1:11" x14ac:dyDescent="0.3">
      <c r="A486" s="41" t="s">
        <v>1537</v>
      </c>
      <c r="B486" s="10" t="s">
        <v>1079</v>
      </c>
      <c r="C486" s="10">
        <v>107</v>
      </c>
      <c r="D486" s="39" t="s">
        <v>1057</v>
      </c>
      <c r="E486" s="40">
        <v>45067</v>
      </c>
      <c r="F486" s="10">
        <v>115</v>
      </c>
      <c r="G486" s="42">
        <v>4.9000000000000004</v>
      </c>
      <c r="H486">
        <f>IF(MONTH(calls[[#This Row],[Date of Call]])&lt;=6,YEAR(calls[[#This Row],[Date of Call]]),YEAR(calls[[#This Row],[Date of Call]])+1)</f>
        <v>2023</v>
      </c>
      <c r="I486" t="str">
        <f>TEXT(calls[[#This Row],[Date of Call]],"DDDD")</f>
        <v>Sunday</v>
      </c>
      <c r="J486" t="str" cm="1">
        <f t="array" ref="J486">_xlfn.IFS(calls[[#This Row],[Duration]]&lt;=10,"UNDER 10 MINS",calls[[#This Row],[Duration]]&lt;=30,"10 TO 30 MINS",calls[[#This Row],[Duration]]&lt;=60,"30 TO 60 MINS",calls[[#This Row],[Duration]]&lt;=120,"1 TO 2 HRS",TRUE,"MORE THAN 2 HRS")</f>
        <v>1 TO 2 HRS</v>
      </c>
      <c r="K486">
        <f>ROUND(calls[[#This Row],[Satisfaction Rating]],0)</f>
        <v>5</v>
      </c>
    </row>
    <row r="487" spans="1:11" x14ac:dyDescent="0.3">
      <c r="A487" s="41" t="s">
        <v>1538</v>
      </c>
      <c r="B487" s="10" t="s">
        <v>1079</v>
      </c>
      <c r="C487" s="10">
        <v>93</v>
      </c>
      <c r="D487" s="39" t="s">
        <v>1057</v>
      </c>
      <c r="E487" s="40">
        <v>45067</v>
      </c>
      <c r="F487" s="10">
        <v>128</v>
      </c>
      <c r="G487" s="42">
        <v>3.9</v>
      </c>
      <c r="H487">
        <f>IF(MONTH(calls[[#This Row],[Date of Call]])&lt;=6,YEAR(calls[[#This Row],[Date of Call]]),YEAR(calls[[#This Row],[Date of Call]])+1)</f>
        <v>2023</v>
      </c>
      <c r="I487" t="str">
        <f>TEXT(calls[[#This Row],[Date of Call]],"DDDD")</f>
        <v>Sunday</v>
      </c>
      <c r="J487" t="str" cm="1">
        <f t="array" ref="J487">_xlfn.IFS(calls[[#This Row],[Duration]]&lt;=10,"UNDER 10 MINS",calls[[#This Row],[Duration]]&lt;=30,"10 TO 30 MINS",calls[[#This Row],[Duration]]&lt;=60,"30 TO 60 MINS",calls[[#This Row],[Duration]]&lt;=120,"1 TO 2 HRS",TRUE,"MORE THAN 2 HRS")</f>
        <v>1 TO 2 HRS</v>
      </c>
      <c r="K487">
        <f>ROUND(calls[[#This Row],[Satisfaction Rating]],0)</f>
        <v>4</v>
      </c>
    </row>
    <row r="488" spans="1:11" x14ac:dyDescent="0.3">
      <c r="A488" s="41" t="s">
        <v>1539</v>
      </c>
      <c r="B488" s="10" t="s">
        <v>1079</v>
      </c>
      <c r="C488" s="10">
        <v>117</v>
      </c>
      <c r="D488" s="39" t="s">
        <v>1048</v>
      </c>
      <c r="E488" s="40">
        <v>45067</v>
      </c>
      <c r="F488" s="10">
        <v>90</v>
      </c>
      <c r="G488" s="42">
        <v>4.5</v>
      </c>
      <c r="H488">
        <f>IF(MONTH(calls[[#This Row],[Date of Call]])&lt;=6,YEAR(calls[[#This Row],[Date of Call]]),YEAR(calls[[#This Row],[Date of Call]])+1)</f>
        <v>2023</v>
      </c>
      <c r="I488" t="str">
        <f>TEXT(calls[[#This Row],[Date of Call]],"DDDD")</f>
        <v>Sunday</v>
      </c>
      <c r="J488" t="str" cm="1">
        <f t="array" ref="J488">_xlfn.IFS(calls[[#This Row],[Duration]]&lt;=10,"UNDER 10 MINS",calls[[#This Row],[Duration]]&lt;=30,"10 TO 30 MINS",calls[[#This Row],[Duration]]&lt;=60,"30 TO 60 MINS",calls[[#This Row],[Duration]]&lt;=120,"1 TO 2 HRS",TRUE,"MORE THAN 2 HRS")</f>
        <v>1 TO 2 HRS</v>
      </c>
      <c r="K488">
        <f>ROUND(calls[[#This Row],[Satisfaction Rating]],0)</f>
        <v>5</v>
      </c>
    </row>
    <row r="489" spans="1:11" x14ac:dyDescent="0.3">
      <c r="A489" s="41" t="s">
        <v>1540</v>
      </c>
      <c r="B489" s="10" t="s">
        <v>1062</v>
      </c>
      <c r="C489" s="10">
        <v>76</v>
      </c>
      <c r="D489" s="39" t="s">
        <v>1053</v>
      </c>
      <c r="E489" s="40">
        <v>45068</v>
      </c>
      <c r="F489" s="10">
        <v>39</v>
      </c>
      <c r="G489" s="42">
        <v>4.5999999999999996</v>
      </c>
      <c r="H489">
        <f>IF(MONTH(calls[[#This Row],[Date of Call]])&lt;=6,YEAR(calls[[#This Row],[Date of Call]]),YEAR(calls[[#This Row],[Date of Call]])+1)</f>
        <v>2023</v>
      </c>
      <c r="I489" t="str">
        <f>TEXT(calls[[#This Row],[Date of Call]],"DDDD")</f>
        <v>Monday</v>
      </c>
      <c r="J489" t="str" cm="1">
        <f t="array" ref="J489">_xlfn.IFS(calls[[#This Row],[Duration]]&lt;=10,"UNDER 10 MINS",calls[[#This Row],[Duration]]&lt;=30,"10 TO 30 MINS",calls[[#This Row],[Duration]]&lt;=60,"30 TO 60 MINS",calls[[#This Row],[Duration]]&lt;=120,"1 TO 2 HRS",TRUE,"MORE THAN 2 HRS")</f>
        <v>1 TO 2 HRS</v>
      </c>
      <c r="K489">
        <f>ROUND(calls[[#This Row],[Satisfaction Rating]],0)</f>
        <v>5</v>
      </c>
    </row>
    <row r="490" spans="1:11" x14ac:dyDescent="0.3">
      <c r="A490" s="41" t="s">
        <v>1541</v>
      </c>
      <c r="B490" s="10" t="s">
        <v>1056</v>
      </c>
      <c r="C490" s="10">
        <v>64</v>
      </c>
      <c r="D490" s="39" t="s">
        <v>1057</v>
      </c>
      <c r="E490" s="40">
        <v>45068</v>
      </c>
      <c r="F490" s="10">
        <v>132</v>
      </c>
      <c r="G490" s="42">
        <v>3.3</v>
      </c>
      <c r="H490">
        <f>IF(MONTH(calls[[#This Row],[Date of Call]])&lt;=6,YEAR(calls[[#This Row],[Date of Call]]),YEAR(calls[[#This Row],[Date of Call]])+1)</f>
        <v>2023</v>
      </c>
      <c r="I490" t="str">
        <f>TEXT(calls[[#This Row],[Date of Call]],"DDDD")</f>
        <v>Monday</v>
      </c>
      <c r="J490" t="str" cm="1">
        <f t="array" ref="J490">_xlfn.IFS(calls[[#This Row],[Duration]]&lt;=10,"UNDER 10 MINS",calls[[#This Row],[Duration]]&lt;=30,"10 TO 30 MINS",calls[[#This Row],[Duration]]&lt;=60,"30 TO 60 MINS",calls[[#This Row],[Duration]]&lt;=120,"1 TO 2 HRS",TRUE,"MORE THAN 2 HRS")</f>
        <v>1 TO 2 HRS</v>
      </c>
      <c r="K490">
        <f>ROUND(calls[[#This Row],[Satisfaction Rating]],0)</f>
        <v>3</v>
      </c>
    </row>
    <row r="491" spans="1:11" x14ac:dyDescent="0.3">
      <c r="A491" s="41" t="s">
        <v>1542</v>
      </c>
      <c r="B491" s="10" t="s">
        <v>1047</v>
      </c>
      <c r="C491" s="10">
        <v>33</v>
      </c>
      <c r="D491" s="39" t="s">
        <v>1057</v>
      </c>
      <c r="E491" s="40">
        <v>45068</v>
      </c>
      <c r="F491" s="10">
        <v>170</v>
      </c>
      <c r="G491" s="42">
        <v>3.8</v>
      </c>
      <c r="H491">
        <f>IF(MONTH(calls[[#This Row],[Date of Call]])&lt;=6,YEAR(calls[[#This Row],[Date of Call]]),YEAR(calls[[#This Row],[Date of Call]])+1)</f>
        <v>2023</v>
      </c>
      <c r="I491" t="str">
        <f>TEXT(calls[[#This Row],[Date of Call]],"DDDD")</f>
        <v>Monday</v>
      </c>
      <c r="J491" t="str" cm="1">
        <f t="array" ref="J491">_xlfn.IFS(calls[[#This Row],[Duration]]&lt;=10,"UNDER 10 MINS",calls[[#This Row],[Duration]]&lt;=30,"10 TO 30 MINS",calls[[#This Row],[Duration]]&lt;=60,"30 TO 60 MINS",calls[[#This Row],[Duration]]&lt;=120,"1 TO 2 HRS",TRUE,"MORE THAN 2 HRS")</f>
        <v>30 TO 60 MINS</v>
      </c>
      <c r="K491">
        <f>ROUND(calls[[#This Row],[Satisfaction Rating]],0)</f>
        <v>4</v>
      </c>
    </row>
    <row r="492" spans="1:11" x14ac:dyDescent="0.3">
      <c r="A492" s="41" t="s">
        <v>1543</v>
      </c>
      <c r="B492" s="10" t="s">
        <v>1079</v>
      </c>
      <c r="C492" s="10">
        <v>115</v>
      </c>
      <c r="D492" s="39" t="s">
        <v>1048</v>
      </c>
      <c r="E492" s="40">
        <v>45068</v>
      </c>
      <c r="F492" s="10">
        <v>42</v>
      </c>
      <c r="G492" s="42">
        <v>4.7</v>
      </c>
      <c r="H492">
        <f>IF(MONTH(calls[[#This Row],[Date of Call]])&lt;=6,YEAR(calls[[#This Row],[Date of Call]]),YEAR(calls[[#This Row],[Date of Call]])+1)</f>
        <v>2023</v>
      </c>
      <c r="I492" t="str">
        <f>TEXT(calls[[#This Row],[Date of Call]],"DDDD")</f>
        <v>Monday</v>
      </c>
      <c r="J492" t="str" cm="1">
        <f t="array" ref="J492">_xlfn.IFS(calls[[#This Row],[Duration]]&lt;=10,"UNDER 10 MINS",calls[[#This Row],[Duration]]&lt;=30,"10 TO 30 MINS",calls[[#This Row],[Duration]]&lt;=60,"30 TO 60 MINS",calls[[#This Row],[Duration]]&lt;=120,"1 TO 2 HRS",TRUE,"MORE THAN 2 HRS")</f>
        <v>1 TO 2 HRS</v>
      </c>
      <c r="K492">
        <f>ROUND(calls[[#This Row],[Satisfaction Rating]],0)</f>
        <v>5</v>
      </c>
    </row>
    <row r="493" spans="1:11" x14ac:dyDescent="0.3">
      <c r="A493" s="41" t="s">
        <v>1544</v>
      </c>
      <c r="B493" s="10" t="s">
        <v>1045</v>
      </c>
      <c r="C493" s="10">
        <v>155</v>
      </c>
      <c r="D493" s="39" t="s">
        <v>1053</v>
      </c>
      <c r="E493" s="40">
        <v>45069</v>
      </c>
      <c r="F493" s="10">
        <v>37</v>
      </c>
      <c r="G493" s="42">
        <v>4</v>
      </c>
      <c r="H493">
        <f>IF(MONTH(calls[[#This Row],[Date of Call]])&lt;=6,YEAR(calls[[#This Row],[Date of Call]]),YEAR(calls[[#This Row],[Date of Call]])+1)</f>
        <v>2023</v>
      </c>
      <c r="I493" t="str">
        <f>TEXT(calls[[#This Row],[Date of Call]],"DDDD")</f>
        <v>Tuesday</v>
      </c>
      <c r="J493" t="str" cm="1">
        <f t="array" ref="J493">_xlfn.IFS(calls[[#This Row],[Duration]]&lt;=10,"UNDER 10 MINS",calls[[#This Row],[Duration]]&lt;=30,"10 TO 30 MINS",calls[[#This Row],[Duration]]&lt;=60,"30 TO 60 MINS",calls[[#This Row],[Duration]]&lt;=120,"1 TO 2 HRS",TRUE,"MORE THAN 2 HRS")</f>
        <v>MORE THAN 2 HRS</v>
      </c>
      <c r="K493">
        <f>ROUND(calls[[#This Row],[Satisfaction Rating]],0)</f>
        <v>4</v>
      </c>
    </row>
    <row r="494" spans="1:11" x14ac:dyDescent="0.3">
      <c r="A494" s="41" t="s">
        <v>1545</v>
      </c>
      <c r="B494" s="10" t="s">
        <v>1040</v>
      </c>
      <c r="C494" s="10">
        <v>117</v>
      </c>
      <c r="D494" s="39" t="s">
        <v>1053</v>
      </c>
      <c r="E494" s="40">
        <v>45069</v>
      </c>
      <c r="F494" s="10">
        <v>88</v>
      </c>
      <c r="G494" s="42">
        <v>4.7</v>
      </c>
      <c r="H494">
        <f>IF(MONTH(calls[[#This Row],[Date of Call]])&lt;=6,YEAR(calls[[#This Row],[Date of Call]]),YEAR(calls[[#This Row],[Date of Call]])+1)</f>
        <v>2023</v>
      </c>
      <c r="I494" t="str">
        <f>TEXT(calls[[#This Row],[Date of Call]],"DDDD")</f>
        <v>Tuesday</v>
      </c>
      <c r="J494" t="str" cm="1">
        <f t="array" ref="J494">_xlfn.IFS(calls[[#This Row],[Duration]]&lt;=10,"UNDER 10 MINS",calls[[#This Row],[Duration]]&lt;=30,"10 TO 30 MINS",calls[[#This Row],[Duration]]&lt;=60,"30 TO 60 MINS",calls[[#This Row],[Duration]]&lt;=120,"1 TO 2 HRS",TRUE,"MORE THAN 2 HRS")</f>
        <v>1 TO 2 HRS</v>
      </c>
      <c r="K494">
        <f>ROUND(calls[[#This Row],[Satisfaction Rating]],0)</f>
        <v>5</v>
      </c>
    </row>
    <row r="495" spans="1:11" x14ac:dyDescent="0.3">
      <c r="A495" s="41" t="s">
        <v>1546</v>
      </c>
      <c r="B495" s="10" t="s">
        <v>1109</v>
      </c>
      <c r="C495" s="10">
        <v>63</v>
      </c>
      <c r="D495" s="39" t="s">
        <v>1053</v>
      </c>
      <c r="E495" s="40">
        <v>45069</v>
      </c>
      <c r="F495" s="10">
        <v>80</v>
      </c>
      <c r="G495" s="42">
        <v>2.5</v>
      </c>
      <c r="H495">
        <f>IF(MONTH(calls[[#This Row],[Date of Call]])&lt;=6,YEAR(calls[[#This Row],[Date of Call]]),YEAR(calls[[#This Row],[Date of Call]])+1)</f>
        <v>2023</v>
      </c>
      <c r="I495" t="str">
        <f>TEXT(calls[[#This Row],[Date of Call]],"DDDD")</f>
        <v>Tuesday</v>
      </c>
      <c r="J495" t="str" cm="1">
        <f t="array" ref="J495">_xlfn.IFS(calls[[#This Row],[Duration]]&lt;=10,"UNDER 10 MINS",calls[[#This Row],[Duration]]&lt;=30,"10 TO 30 MINS",calls[[#This Row],[Duration]]&lt;=60,"30 TO 60 MINS",calls[[#This Row],[Duration]]&lt;=120,"1 TO 2 HRS",TRUE,"MORE THAN 2 HRS")</f>
        <v>1 TO 2 HRS</v>
      </c>
      <c r="K495">
        <f>ROUND(calls[[#This Row],[Satisfaction Rating]],0)</f>
        <v>3</v>
      </c>
    </row>
    <row r="496" spans="1:11" x14ac:dyDescent="0.3">
      <c r="A496" s="41" t="s">
        <v>1547</v>
      </c>
      <c r="B496" s="10" t="s">
        <v>1056</v>
      </c>
      <c r="C496" s="10">
        <v>59</v>
      </c>
      <c r="D496" s="39" t="s">
        <v>1038</v>
      </c>
      <c r="E496" s="40">
        <v>45070</v>
      </c>
      <c r="F496" s="10">
        <v>123</v>
      </c>
      <c r="G496" s="42">
        <v>3.6</v>
      </c>
      <c r="H496">
        <f>IF(MONTH(calls[[#This Row],[Date of Call]])&lt;=6,YEAR(calls[[#This Row],[Date of Call]]),YEAR(calls[[#This Row],[Date of Call]])+1)</f>
        <v>2023</v>
      </c>
      <c r="I496" t="str">
        <f>TEXT(calls[[#This Row],[Date of Call]],"DDDD")</f>
        <v>Wednesday</v>
      </c>
      <c r="J496" t="str" cm="1">
        <f t="array" ref="J496">_xlfn.IFS(calls[[#This Row],[Duration]]&lt;=10,"UNDER 10 MINS",calls[[#This Row],[Duration]]&lt;=30,"10 TO 30 MINS",calls[[#This Row],[Duration]]&lt;=60,"30 TO 60 MINS",calls[[#This Row],[Duration]]&lt;=120,"1 TO 2 HRS",TRUE,"MORE THAN 2 HRS")</f>
        <v>30 TO 60 MINS</v>
      </c>
      <c r="K496">
        <f>ROUND(calls[[#This Row],[Satisfaction Rating]],0)</f>
        <v>4</v>
      </c>
    </row>
    <row r="497" spans="1:11" x14ac:dyDescent="0.3">
      <c r="A497" s="41" t="s">
        <v>1548</v>
      </c>
      <c r="B497" s="10" t="s">
        <v>1071</v>
      </c>
      <c r="C497" s="10">
        <v>133</v>
      </c>
      <c r="D497" s="39" t="s">
        <v>1057</v>
      </c>
      <c r="E497" s="40">
        <v>45070</v>
      </c>
      <c r="F497" s="10">
        <v>31</v>
      </c>
      <c r="G497" s="42">
        <v>3.7</v>
      </c>
      <c r="H497">
        <f>IF(MONTH(calls[[#This Row],[Date of Call]])&lt;=6,YEAR(calls[[#This Row],[Date of Call]]),YEAR(calls[[#This Row],[Date of Call]])+1)</f>
        <v>2023</v>
      </c>
      <c r="I497" t="str">
        <f>TEXT(calls[[#This Row],[Date of Call]],"DDDD")</f>
        <v>Wednesday</v>
      </c>
      <c r="J497" t="str" cm="1">
        <f t="array" ref="J497">_xlfn.IFS(calls[[#This Row],[Duration]]&lt;=10,"UNDER 10 MINS",calls[[#This Row],[Duration]]&lt;=30,"10 TO 30 MINS",calls[[#This Row],[Duration]]&lt;=60,"30 TO 60 MINS",calls[[#This Row],[Duration]]&lt;=120,"1 TO 2 HRS",TRUE,"MORE THAN 2 HRS")</f>
        <v>MORE THAN 2 HRS</v>
      </c>
      <c r="K497">
        <f>ROUND(calls[[#This Row],[Satisfaction Rating]],0)</f>
        <v>4</v>
      </c>
    </row>
    <row r="498" spans="1:11" x14ac:dyDescent="0.3">
      <c r="A498" s="41" t="s">
        <v>1549</v>
      </c>
      <c r="B498" s="10" t="s">
        <v>1089</v>
      </c>
      <c r="C498" s="10">
        <v>101</v>
      </c>
      <c r="D498" s="39" t="s">
        <v>1043</v>
      </c>
      <c r="E498" s="40">
        <v>45070</v>
      </c>
      <c r="F498" s="10">
        <v>205</v>
      </c>
      <c r="G498" s="42">
        <v>3.9</v>
      </c>
      <c r="H498">
        <f>IF(MONTH(calls[[#This Row],[Date of Call]])&lt;=6,YEAR(calls[[#This Row],[Date of Call]]),YEAR(calls[[#This Row],[Date of Call]])+1)</f>
        <v>2023</v>
      </c>
      <c r="I498" t="str">
        <f>TEXT(calls[[#This Row],[Date of Call]],"DDDD")</f>
        <v>Wednesday</v>
      </c>
      <c r="J498" t="str" cm="1">
        <f t="array" ref="J498">_xlfn.IFS(calls[[#This Row],[Duration]]&lt;=10,"UNDER 10 MINS",calls[[#This Row],[Duration]]&lt;=30,"10 TO 30 MINS",calls[[#This Row],[Duration]]&lt;=60,"30 TO 60 MINS",calls[[#This Row],[Duration]]&lt;=120,"1 TO 2 HRS",TRUE,"MORE THAN 2 HRS")</f>
        <v>1 TO 2 HRS</v>
      </c>
      <c r="K498">
        <f>ROUND(calls[[#This Row],[Satisfaction Rating]],0)</f>
        <v>4</v>
      </c>
    </row>
    <row r="499" spans="1:11" x14ac:dyDescent="0.3">
      <c r="A499" s="41" t="s">
        <v>1550</v>
      </c>
      <c r="B499" s="10" t="s">
        <v>1060</v>
      </c>
      <c r="C499" s="10">
        <v>151</v>
      </c>
      <c r="D499" s="39" t="s">
        <v>1053</v>
      </c>
      <c r="E499" s="40">
        <v>45071</v>
      </c>
      <c r="F499" s="10">
        <v>123</v>
      </c>
      <c r="G499" s="42">
        <v>3.7</v>
      </c>
      <c r="H499">
        <f>IF(MONTH(calls[[#This Row],[Date of Call]])&lt;=6,YEAR(calls[[#This Row],[Date of Call]]),YEAR(calls[[#This Row],[Date of Call]])+1)</f>
        <v>2023</v>
      </c>
      <c r="I499" t="str">
        <f>TEXT(calls[[#This Row],[Date of Call]],"DDDD")</f>
        <v>Thursday</v>
      </c>
      <c r="J499" t="str" cm="1">
        <f t="array" ref="J499">_xlfn.IFS(calls[[#This Row],[Duration]]&lt;=10,"UNDER 10 MINS",calls[[#This Row],[Duration]]&lt;=30,"10 TO 30 MINS",calls[[#This Row],[Duration]]&lt;=60,"30 TO 60 MINS",calls[[#This Row],[Duration]]&lt;=120,"1 TO 2 HRS",TRUE,"MORE THAN 2 HRS")</f>
        <v>MORE THAN 2 HRS</v>
      </c>
      <c r="K499">
        <f>ROUND(calls[[#This Row],[Satisfaction Rating]],0)</f>
        <v>4</v>
      </c>
    </row>
    <row r="500" spans="1:11" x14ac:dyDescent="0.3">
      <c r="A500" s="41" t="s">
        <v>1551</v>
      </c>
      <c r="B500" s="10" t="s">
        <v>1047</v>
      </c>
      <c r="C500" s="10">
        <v>146</v>
      </c>
      <c r="D500" s="39" t="s">
        <v>1057</v>
      </c>
      <c r="E500" s="40">
        <v>45071</v>
      </c>
      <c r="F500" s="10">
        <v>123</v>
      </c>
      <c r="G500" s="42">
        <v>4.3</v>
      </c>
      <c r="H500">
        <f>IF(MONTH(calls[[#This Row],[Date of Call]])&lt;=6,YEAR(calls[[#This Row],[Date of Call]]),YEAR(calls[[#This Row],[Date of Call]])+1)</f>
        <v>2023</v>
      </c>
      <c r="I500" t="str">
        <f>TEXT(calls[[#This Row],[Date of Call]],"DDDD")</f>
        <v>Thursday</v>
      </c>
      <c r="J500" t="str" cm="1">
        <f t="array" ref="J500">_xlfn.IFS(calls[[#This Row],[Duration]]&lt;=10,"UNDER 10 MINS",calls[[#This Row],[Duration]]&lt;=30,"10 TO 30 MINS",calls[[#This Row],[Duration]]&lt;=60,"30 TO 60 MINS",calls[[#This Row],[Duration]]&lt;=120,"1 TO 2 HRS",TRUE,"MORE THAN 2 HRS")</f>
        <v>MORE THAN 2 HRS</v>
      </c>
      <c r="K500">
        <f>ROUND(calls[[#This Row],[Satisfaction Rating]],0)</f>
        <v>4</v>
      </c>
    </row>
    <row r="501" spans="1:11" x14ac:dyDescent="0.3">
      <c r="A501" s="41" t="s">
        <v>1552</v>
      </c>
      <c r="B501" s="10" t="s">
        <v>1109</v>
      </c>
      <c r="C501" s="10">
        <v>148</v>
      </c>
      <c r="D501" s="39" t="s">
        <v>1057</v>
      </c>
      <c r="E501" s="40">
        <v>45071</v>
      </c>
      <c r="F501" s="10">
        <v>36</v>
      </c>
      <c r="G501" s="42">
        <v>2.9</v>
      </c>
      <c r="H501">
        <f>IF(MONTH(calls[[#This Row],[Date of Call]])&lt;=6,YEAR(calls[[#This Row],[Date of Call]]),YEAR(calls[[#This Row],[Date of Call]])+1)</f>
        <v>2023</v>
      </c>
      <c r="I501" t="str">
        <f>TEXT(calls[[#This Row],[Date of Call]],"DDDD")</f>
        <v>Thursday</v>
      </c>
      <c r="J501" t="str" cm="1">
        <f t="array" ref="J501">_xlfn.IFS(calls[[#This Row],[Duration]]&lt;=10,"UNDER 10 MINS",calls[[#This Row],[Duration]]&lt;=30,"10 TO 30 MINS",calls[[#This Row],[Duration]]&lt;=60,"30 TO 60 MINS",calls[[#This Row],[Duration]]&lt;=120,"1 TO 2 HRS",TRUE,"MORE THAN 2 HRS")</f>
        <v>MORE THAN 2 HRS</v>
      </c>
      <c r="K501">
        <f>ROUND(calls[[#This Row],[Satisfaction Rating]],0)</f>
        <v>3</v>
      </c>
    </row>
    <row r="502" spans="1:11" x14ac:dyDescent="0.3">
      <c r="A502" s="41" t="s">
        <v>1553</v>
      </c>
      <c r="B502" s="10" t="s">
        <v>1060</v>
      </c>
      <c r="C502" s="10">
        <v>81</v>
      </c>
      <c r="D502" s="39" t="s">
        <v>1057</v>
      </c>
      <c r="E502" s="40">
        <v>45071</v>
      </c>
      <c r="F502" s="10">
        <v>116</v>
      </c>
      <c r="G502" s="42">
        <v>4.3</v>
      </c>
      <c r="H502">
        <f>IF(MONTH(calls[[#This Row],[Date of Call]])&lt;=6,YEAR(calls[[#This Row],[Date of Call]]),YEAR(calls[[#This Row],[Date of Call]])+1)</f>
        <v>2023</v>
      </c>
      <c r="I502" t="str">
        <f>TEXT(calls[[#This Row],[Date of Call]],"DDDD")</f>
        <v>Thursday</v>
      </c>
      <c r="J502" t="str" cm="1">
        <f t="array" ref="J502">_xlfn.IFS(calls[[#This Row],[Duration]]&lt;=10,"UNDER 10 MINS",calls[[#This Row],[Duration]]&lt;=30,"10 TO 30 MINS",calls[[#This Row],[Duration]]&lt;=60,"30 TO 60 MINS",calls[[#This Row],[Duration]]&lt;=120,"1 TO 2 HRS",TRUE,"MORE THAN 2 HRS")</f>
        <v>1 TO 2 HRS</v>
      </c>
      <c r="K502">
        <f>ROUND(calls[[#This Row],[Satisfaction Rating]],0)</f>
        <v>4</v>
      </c>
    </row>
    <row r="503" spans="1:11" x14ac:dyDescent="0.3">
      <c r="A503" s="41" t="s">
        <v>1554</v>
      </c>
      <c r="B503" s="10" t="s">
        <v>1068</v>
      </c>
      <c r="C503" s="10">
        <v>115</v>
      </c>
      <c r="D503" s="39" t="s">
        <v>1057</v>
      </c>
      <c r="E503" s="40">
        <v>45071</v>
      </c>
      <c r="F503" s="10">
        <v>40</v>
      </c>
      <c r="G503" s="42">
        <v>4.9000000000000004</v>
      </c>
      <c r="H503">
        <f>IF(MONTH(calls[[#This Row],[Date of Call]])&lt;=6,YEAR(calls[[#This Row],[Date of Call]]),YEAR(calls[[#This Row],[Date of Call]])+1)</f>
        <v>2023</v>
      </c>
      <c r="I503" t="str">
        <f>TEXT(calls[[#This Row],[Date of Call]],"DDDD")</f>
        <v>Thursday</v>
      </c>
      <c r="J503" t="str" cm="1">
        <f t="array" ref="J503">_xlfn.IFS(calls[[#This Row],[Duration]]&lt;=10,"UNDER 10 MINS",calls[[#This Row],[Duration]]&lt;=30,"10 TO 30 MINS",calls[[#This Row],[Duration]]&lt;=60,"30 TO 60 MINS",calls[[#This Row],[Duration]]&lt;=120,"1 TO 2 HRS",TRUE,"MORE THAN 2 HRS")</f>
        <v>1 TO 2 HRS</v>
      </c>
      <c r="K503">
        <f>ROUND(calls[[#This Row],[Satisfaction Rating]],0)</f>
        <v>5</v>
      </c>
    </row>
    <row r="504" spans="1:11" x14ac:dyDescent="0.3">
      <c r="A504" s="41" t="s">
        <v>1555</v>
      </c>
      <c r="B504" s="10" t="s">
        <v>1068</v>
      </c>
      <c r="C504" s="10">
        <v>117</v>
      </c>
      <c r="D504" s="39" t="s">
        <v>1053</v>
      </c>
      <c r="E504" s="40">
        <v>45071</v>
      </c>
      <c r="F504" s="10">
        <v>40</v>
      </c>
      <c r="G504" s="42">
        <v>4</v>
      </c>
      <c r="H504">
        <f>IF(MONTH(calls[[#This Row],[Date of Call]])&lt;=6,YEAR(calls[[#This Row],[Date of Call]]),YEAR(calls[[#This Row],[Date of Call]])+1)</f>
        <v>2023</v>
      </c>
      <c r="I504" t="str">
        <f>TEXT(calls[[#This Row],[Date of Call]],"DDDD")</f>
        <v>Thursday</v>
      </c>
      <c r="J504" t="str" cm="1">
        <f t="array" ref="J504">_xlfn.IFS(calls[[#This Row],[Duration]]&lt;=10,"UNDER 10 MINS",calls[[#This Row],[Duration]]&lt;=30,"10 TO 30 MINS",calls[[#This Row],[Duration]]&lt;=60,"30 TO 60 MINS",calls[[#This Row],[Duration]]&lt;=120,"1 TO 2 HRS",TRUE,"MORE THAN 2 HRS")</f>
        <v>1 TO 2 HRS</v>
      </c>
      <c r="K504">
        <f>ROUND(calls[[#This Row],[Satisfaction Rating]],0)</f>
        <v>4</v>
      </c>
    </row>
    <row r="505" spans="1:11" x14ac:dyDescent="0.3">
      <c r="A505" s="41" t="s">
        <v>1556</v>
      </c>
      <c r="B505" s="10" t="s">
        <v>1089</v>
      </c>
      <c r="C505" s="10">
        <v>110</v>
      </c>
      <c r="D505" s="39" t="s">
        <v>1048</v>
      </c>
      <c r="E505" s="40">
        <v>45072</v>
      </c>
      <c r="F505" s="10">
        <v>82</v>
      </c>
      <c r="G505" s="42">
        <v>4</v>
      </c>
      <c r="H505">
        <f>IF(MONTH(calls[[#This Row],[Date of Call]])&lt;=6,YEAR(calls[[#This Row],[Date of Call]]),YEAR(calls[[#This Row],[Date of Call]])+1)</f>
        <v>2023</v>
      </c>
      <c r="I505" t="str">
        <f>TEXT(calls[[#This Row],[Date of Call]],"DDDD")</f>
        <v>Friday</v>
      </c>
      <c r="J505" t="str" cm="1">
        <f t="array" ref="J505">_xlfn.IFS(calls[[#This Row],[Duration]]&lt;=10,"UNDER 10 MINS",calls[[#This Row],[Duration]]&lt;=30,"10 TO 30 MINS",calls[[#This Row],[Duration]]&lt;=60,"30 TO 60 MINS",calls[[#This Row],[Duration]]&lt;=120,"1 TO 2 HRS",TRUE,"MORE THAN 2 HRS")</f>
        <v>1 TO 2 HRS</v>
      </c>
      <c r="K505">
        <f>ROUND(calls[[#This Row],[Satisfaction Rating]],0)</f>
        <v>4</v>
      </c>
    </row>
    <row r="506" spans="1:11" x14ac:dyDescent="0.3">
      <c r="A506" s="41" t="s">
        <v>1557</v>
      </c>
      <c r="B506" s="10" t="s">
        <v>1062</v>
      </c>
      <c r="C506" s="10">
        <v>103</v>
      </c>
      <c r="D506" s="39" t="s">
        <v>1038</v>
      </c>
      <c r="E506" s="40">
        <v>45072</v>
      </c>
      <c r="F506" s="10">
        <v>62</v>
      </c>
      <c r="G506" s="42">
        <v>3.4</v>
      </c>
      <c r="H506">
        <f>IF(MONTH(calls[[#This Row],[Date of Call]])&lt;=6,YEAR(calls[[#This Row],[Date of Call]]),YEAR(calls[[#This Row],[Date of Call]])+1)</f>
        <v>2023</v>
      </c>
      <c r="I506" t="str">
        <f>TEXT(calls[[#This Row],[Date of Call]],"DDDD")</f>
        <v>Friday</v>
      </c>
      <c r="J506" t="str" cm="1">
        <f t="array" ref="J506">_xlfn.IFS(calls[[#This Row],[Duration]]&lt;=10,"UNDER 10 MINS",calls[[#This Row],[Duration]]&lt;=30,"10 TO 30 MINS",calls[[#This Row],[Duration]]&lt;=60,"30 TO 60 MINS",calls[[#This Row],[Duration]]&lt;=120,"1 TO 2 HRS",TRUE,"MORE THAN 2 HRS")</f>
        <v>1 TO 2 HRS</v>
      </c>
      <c r="K506">
        <f>ROUND(calls[[#This Row],[Satisfaction Rating]],0)</f>
        <v>3</v>
      </c>
    </row>
    <row r="507" spans="1:11" x14ac:dyDescent="0.3">
      <c r="A507" s="41" t="s">
        <v>1558</v>
      </c>
      <c r="B507" s="10" t="s">
        <v>1045</v>
      </c>
      <c r="C507" s="10">
        <v>45</v>
      </c>
      <c r="D507" s="39" t="s">
        <v>1038</v>
      </c>
      <c r="E507" s="40">
        <v>45072</v>
      </c>
      <c r="F507" s="10">
        <v>135</v>
      </c>
      <c r="G507" s="42">
        <v>3.9</v>
      </c>
      <c r="H507">
        <f>IF(MONTH(calls[[#This Row],[Date of Call]])&lt;=6,YEAR(calls[[#This Row],[Date of Call]]),YEAR(calls[[#This Row],[Date of Call]])+1)</f>
        <v>2023</v>
      </c>
      <c r="I507" t="str">
        <f>TEXT(calls[[#This Row],[Date of Call]],"DDDD")</f>
        <v>Friday</v>
      </c>
      <c r="J507" t="str" cm="1">
        <f t="array" ref="J507">_xlfn.IFS(calls[[#This Row],[Duration]]&lt;=10,"UNDER 10 MINS",calls[[#This Row],[Duration]]&lt;=30,"10 TO 30 MINS",calls[[#This Row],[Duration]]&lt;=60,"30 TO 60 MINS",calls[[#This Row],[Duration]]&lt;=120,"1 TO 2 HRS",TRUE,"MORE THAN 2 HRS")</f>
        <v>30 TO 60 MINS</v>
      </c>
      <c r="K507">
        <f>ROUND(calls[[#This Row],[Satisfaction Rating]],0)</f>
        <v>4</v>
      </c>
    </row>
    <row r="508" spans="1:11" x14ac:dyDescent="0.3">
      <c r="A508" s="41" t="s">
        <v>1559</v>
      </c>
      <c r="B508" s="10" t="s">
        <v>1089</v>
      </c>
      <c r="C508" s="10">
        <v>110</v>
      </c>
      <c r="D508" s="39" t="s">
        <v>1043</v>
      </c>
      <c r="E508" s="40">
        <v>45072</v>
      </c>
      <c r="F508" s="10">
        <v>155</v>
      </c>
      <c r="G508" s="42">
        <v>2.1</v>
      </c>
      <c r="H508">
        <f>IF(MONTH(calls[[#This Row],[Date of Call]])&lt;=6,YEAR(calls[[#This Row],[Date of Call]]),YEAR(calls[[#This Row],[Date of Call]])+1)</f>
        <v>2023</v>
      </c>
      <c r="I508" t="str">
        <f>TEXT(calls[[#This Row],[Date of Call]],"DDDD")</f>
        <v>Friday</v>
      </c>
      <c r="J508" t="str" cm="1">
        <f t="array" ref="J508">_xlfn.IFS(calls[[#This Row],[Duration]]&lt;=10,"UNDER 10 MINS",calls[[#This Row],[Duration]]&lt;=30,"10 TO 30 MINS",calls[[#This Row],[Duration]]&lt;=60,"30 TO 60 MINS",calls[[#This Row],[Duration]]&lt;=120,"1 TO 2 HRS",TRUE,"MORE THAN 2 HRS")</f>
        <v>1 TO 2 HRS</v>
      </c>
      <c r="K508">
        <f>ROUND(calls[[#This Row],[Satisfaction Rating]],0)</f>
        <v>2</v>
      </c>
    </row>
    <row r="509" spans="1:11" x14ac:dyDescent="0.3">
      <c r="A509" s="41" t="s">
        <v>1560</v>
      </c>
      <c r="B509" s="10" t="s">
        <v>1056</v>
      </c>
      <c r="C509" s="10">
        <v>43</v>
      </c>
      <c r="D509" s="39" t="s">
        <v>1048</v>
      </c>
      <c r="E509" s="40">
        <v>45072</v>
      </c>
      <c r="F509" s="10">
        <v>37</v>
      </c>
      <c r="G509" s="42">
        <v>4.9000000000000004</v>
      </c>
      <c r="H509">
        <f>IF(MONTH(calls[[#This Row],[Date of Call]])&lt;=6,YEAR(calls[[#This Row],[Date of Call]]),YEAR(calls[[#This Row],[Date of Call]])+1)</f>
        <v>2023</v>
      </c>
      <c r="I509" t="str">
        <f>TEXT(calls[[#This Row],[Date of Call]],"DDDD")</f>
        <v>Friday</v>
      </c>
      <c r="J509" t="str" cm="1">
        <f t="array" ref="J509">_xlfn.IFS(calls[[#This Row],[Duration]]&lt;=10,"UNDER 10 MINS",calls[[#This Row],[Duration]]&lt;=30,"10 TO 30 MINS",calls[[#This Row],[Duration]]&lt;=60,"30 TO 60 MINS",calls[[#This Row],[Duration]]&lt;=120,"1 TO 2 HRS",TRUE,"MORE THAN 2 HRS")</f>
        <v>30 TO 60 MINS</v>
      </c>
      <c r="K509">
        <f>ROUND(calls[[#This Row],[Satisfaction Rating]],0)</f>
        <v>5</v>
      </c>
    </row>
    <row r="510" spans="1:11" x14ac:dyDescent="0.3">
      <c r="A510" s="41" t="s">
        <v>1561</v>
      </c>
      <c r="B510" s="10" t="s">
        <v>1089</v>
      </c>
      <c r="C510" s="10">
        <v>104</v>
      </c>
      <c r="D510" s="39" t="s">
        <v>1053</v>
      </c>
      <c r="E510" s="40">
        <v>45073</v>
      </c>
      <c r="F510" s="10">
        <v>56</v>
      </c>
      <c r="G510" s="42">
        <v>3.4</v>
      </c>
      <c r="H510">
        <f>IF(MONTH(calls[[#This Row],[Date of Call]])&lt;=6,YEAR(calls[[#This Row],[Date of Call]]),YEAR(calls[[#This Row],[Date of Call]])+1)</f>
        <v>2023</v>
      </c>
      <c r="I510" t="str">
        <f>TEXT(calls[[#This Row],[Date of Call]],"DDDD")</f>
        <v>Saturday</v>
      </c>
      <c r="J510" t="str" cm="1">
        <f t="array" ref="J510">_xlfn.IFS(calls[[#This Row],[Duration]]&lt;=10,"UNDER 10 MINS",calls[[#This Row],[Duration]]&lt;=30,"10 TO 30 MINS",calls[[#This Row],[Duration]]&lt;=60,"30 TO 60 MINS",calls[[#This Row],[Duration]]&lt;=120,"1 TO 2 HRS",TRUE,"MORE THAN 2 HRS")</f>
        <v>1 TO 2 HRS</v>
      </c>
      <c r="K510">
        <f>ROUND(calls[[#This Row],[Satisfaction Rating]],0)</f>
        <v>3</v>
      </c>
    </row>
    <row r="511" spans="1:11" x14ac:dyDescent="0.3">
      <c r="A511" s="41" t="s">
        <v>1562</v>
      </c>
      <c r="B511" s="10" t="s">
        <v>1089</v>
      </c>
      <c r="C511" s="10">
        <v>101</v>
      </c>
      <c r="D511" s="39" t="s">
        <v>1053</v>
      </c>
      <c r="E511" s="40">
        <v>45073</v>
      </c>
      <c r="F511" s="10">
        <v>185</v>
      </c>
      <c r="G511" s="42">
        <v>5</v>
      </c>
      <c r="H511">
        <f>IF(MONTH(calls[[#This Row],[Date of Call]])&lt;=6,YEAR(calls[[#This Row],[Date of Call]]),YEAR(calls[[#This Row],[Date of Call]])+1)</f>
        <v>2023</v>
      </c>
      <c r="I511" t="str">
        <f>TEXT(calls[[#This Row],[Date of Call]],"DDDD")</f>
        <v>Saturday</v>
      </c>
      <c r="J511" t="str" cm="1">
        <f t="array" ref="J511">_xlfn.IFS(calls[[#This Row],[Duration]]&lt;=10,"UNDER 10 MINS",calls[[#This Row],[Duration]]&lt;=30,"10 TO 30 MINS",calls[[#This Row],[Duration]]&lt;=60,"30 TO 60 MINS",calls[[#This Row],[Duration]]&lt;=120,"1 TO 2 HRS",TRUE,"MORE THAN 2 HRS")</f>
        <v>1 TO 2 HRS</v>
      </c>
      <c r="K511">
        <f>ROUND(calls[[#This Row],[Satisfaction Rating]],0)</f>
        <v>5</v>
      </c>
    </row>
    <row r="512" spans="1:11" x14ac:dyDescent="0.3">
      <c r="A512" s="41" t="s">
        <v>1563</v>
      </c>
      <c r="B512" s="10" t="s">
        <v>1037</v>
      </c>
      <c r="C512" s="10">
        <v>55</v>
      </c>
      <c r="D512" s="39" t="s">
        <v>1048</v>
      </c>
      <c r="E512" s="40">
        <v>45074</v>
      </c>
      <c r="F512" s="10">
        <v>145</v>
      </c>
      <c r="G512" s="42">
        <v>4.5</v>
      </c>
      <c r="H512">
        <f>IF(MONTH(calls[[#This Row],[Date of Call]])&lt;=6,YEAR(calls[[#This Row],[Date of Call]]),YEAR(calls[[#This Row],[Date of Call]])+1)</f>
        <v>2023</v>
      </c>
      <c r="I512" t="str">
        <f>TEXT(calls[[#This Row],[Date of Call]],"DDDD")</f>
        <v>Sunday</v>
      </c>
      <c r="J512" t="str" cm="1">
        <f t="array" ref="J512">_xlfn.IFS(calls[[#This Row],[Duration]]&lt;=10,"UNDER 10 MINS",calls[[#This Row],[Duration]]&lt;=30,"10 TO 30 MINS",calls[[#This Row],[Duration]]&lt;=60,"30 TO 60 MINS",calls[[#This Row],[Duration]]&lt;=120,"1 TO 2 HRS",TRUE,"MORE THAN 2 HRS")</f>
        <v>30 TO 60 MINS</v>
      </c>
      <c r="K512">
        <f>ROUND(calls[[#This Row],[Satisfaction Rating]],0)</f>
        <v>5</v>
      </c>
    </row>
    <row r="513" spans="1:11" x14ac:dyDescent="0.3">
      <c r="A513" s="41" t="s">
        <v>1564</v>
      </c>
      <c r="B513" s="10" t="s">
        <v>1060</v>
      </c>
      <c r="C513" s="10">
        <v>40</v>
      </c>
      <c r="D513" s="39" t="s">
        <v>1038</v>
      </c>
      <c r="E513" s="40">
        <v>45074</v>
      </c>
      <c r="F513" s="10">
        <v>116</v>
      </c>
      <c r="G513" s="42">
        <v>2.6</v>
      </c>
      <c r="H513">
        <f>IF(MONTH(calls[[#This Row],[Date of Call]])&lt;=6,YEAR(calls[[#This Row],[Date of Call]]),YEAR(calls[[#This Row],[Date of Call]])+1)</f>
        <v>2023</v>
      </c>
      <c r="I513" t="str">
        <f>TEXT(calls[[#This Row],[Date of Call]],"DDDD")</f>
        <v>Sunday</v>
      </c>
      <c r="J513" t="str" cm="1">
        <f t="array" ref="J513">_xlfn.IFS(calls[[#This Row],[Duration]]&lt;=10,"UNDER 10 MINS",calls[[#This Row],[Duration]]&lt;=30,"10 TO 30 MINS",calls[[#This Row],[Duration]]&lt;=60,"30 TO 60 MINS",calls[[#This Row],[Duration]]&lt;=120,"1 TO 2 HRS",TRUE,"MORE THAN 2 HRS")</f>
        <v>30 TO 60 MINS</v>
      </c>
      <c r="K513">
        <f>ROUND(calls[[#This Row],[Satisfaction Rating]],0)</f>
        <v>3</v>
      </c>
    </row>
    <row r="514" spans="1:11" x14ac:dyDescent="0.3">
      <c r="A514" s="41" t="s">
        <v>1565</v>
      </c>
      <c r="B514" s="10" t="s">
        <v>1056</v>
      </c>
      <c r="C514" s="10">
        <v>122</v>
      </c>
      <c r="D514" s="39" t="s">
        <v>1057</v>
      </c>
      <c r="E514" s="40">
        <v>45074</v>
      </c>
      <c r="F514" s="10">
        <v>45</v>
      </c>
      <c r="G514" s="42">
        <v>4.2</v>
      </c>
      <c r="H514">
        <f>IF(MONTH(calls[[#This Row],[Date of Call]])&lt;=6,YEAR(calls[[#This Row],[Date of Call]]),YEAR(calls[[#This Row],[Date of Call]])+1)</f>
        <v>2023</v>
      </c>
      <c r="I514" t="str">
        <f>TEXT(calls[[#This Row],[Date of Call]],"DDDD")</f>
        <v>Sunday</v>
      </c>
      <c r="J514" t="str" cm="1">
        <f t="array" ref="J514">_xlfn.IFS(calls[[#This Row],[Duration]]&lt;=10,"UNDER 10 MINS",calls[[#This Row],[Duration]]&lt;=30,"10 TO 30 MINS",calls[[#This Row],[Duration]]&lt;=60,"30 TO 60 MINS",calls[[#This Row],[Duration]]&lt;=120,"1 TO 2 HRS",TRUE,"MORE THAN 2 HRS")</f>
        <v>MORE THAN 2 HRS</v>
      </c>
      <c r="K514">
        <f>ROUND(calls[[#This Row],[Satisfaction Rating]],0)</f>
        <v>4</v>
      </c>
    </row>
    <row r="515" spans="1:11" x14ac:dyDescent="0.3">
      <c r="A515" s="41" t="s">
        <v>1566</v>
      </c>
      <c r="B515" s="10" t="s">
        <v>1047</v>
      </c>
      <c r="C515" s="10">
        <v>98</v>
      </c>
      <c r="D515" s="39" t="s">
        <v>1053</v>
      </c>
      <c r="E515" s="40">
        <v>45075</v>
      </c>
      <c r="F515" s="10">
        <v>35</v>
      </c>
      <c r="G515" s="42">
        <v>4.5</v>
      </c>
      <c r="H515">
        <f>IF(MONTH(calls[[#This Row],[Date of Call]])&lt;=6,YEAR(calls[[#This Row],[Date of Call]]),YEAR(calls[[#This Row],[Date of Call]])+1)</f>
        <v>2023</v>
      </c>
      <c r="I515" t="str">
        <f>TEXT(calls[[#This Row],[Date of Call]],"DDDD")</f>
        <v>Monday</v>
      </c>
      <c r="J515" t="str" cm="1">
        <f t="array" ref="J515">_xlfn.IFS(calls[[#This Row],[Duration]]&lt;=10,"UNDER 10 MINS",calls[[#This Row],[Duration]]&lt;=30,"10 TO 30 MINS",calls[[#This Row],[Duration]]&lt;=60,"30 TO 60 MINS",calls[[#This Row],[Duration]]&lt;=120,"1 TO 2 HRS",TRUE,"MORE THAN 2 HRS")</f>
        <v>1 TO 2 HRS</v>
      </c>
      <c r="K515">
        <f>ROUND(calls[[#This Row],[Satisfaction Rating]],0)</f>
        <v>5</v>
      </c>
    </row>
    <row r="516" spans="1:11" x14ac:dyDescent="0.3">
      <c r="A516" s="41" t="s">
        <v>1567</v>
      </c>
      <c r="B516" s="10" t="s">
        <v>1068</v>
      </c>
      <c r="C516" s="10">
        <v>110</v>
      </c>
      <c r="D516" s="39" t="s">
        <v>1038</v>
      </c>
      <c r="E516" s="40">
        <v>45075</v>
      </c>
      <c r="F516" s="10">
        <v>100</v>
      </c>
      <c r="G516" s="42">
        <v>4.4000000000000004</v>
      </c>
      <c r="H516">
        <f>IF(MONTH(calls[[#This Row],[Date of Call]])&lt;=6,YEAR(calls[[#This Row],[Date of Call]]),YEAR(calls[[#This Row],[Date of Call]])+1)</f>
        <v>2023</v>
      </c>
      <c r="I516" t="str">
        <f>TEXT(calls[[#This Row],[Date of Call]],"DDDD")</f>
        <v>Monday</v>
      </c>
      <c r="J516" t="str" cm="1">
        <f t="array" ref="J516">_xlfn.IFS(calls[[#This Row],[Duration]]&lt;=10,"UNDER 10 MINS",calls[[#This Row],[Duration]]&lt;=30,"10 TO 30 MINS",calls[[#This Row],[Duration]]&lt;=60,"30 TO 60 MINS",calls[[#This Row],[Duration]]&lt;=120,"1 TO 2 HRS",TRUE,"MORE THAN 2 HRS")</f>
        <v>1 TO 2 HRS</v>
      </c>
      <c r="K516">
        <f>ROUND(calls[[#This Row],[Satisfaction Rating]],0)</f>
        <v>4</v>
      </c>
    </row>
    <row r="517" spans="1:11" x14ac:dyDescent="0.3">
      <c r="A517" s="41" t="s">
        <v>1568</v>
      </c>
      <c r="B517" s="10" t="s">
        <v>1068</v>
      </c>
      <c r="C517" s="10">
        <v>62</v>
      </c>
      <c r="D517" s="39" t="s">
        <v>1048</v>
      </c>
      <c r="E517" s="40">
        <v>45076</v>
      </c>
      <c r="F517" s="10">
        <v>125</v>
      </c>
      <c r="G517" s="42">
        <v>3.5</v>
      </c>
      <c r="H517">
        <f>IF(MONTH(calls[[#This Row],[Date of Call]])&lt;=6,YEAR(calls[[#This Row],[Date of Call]]),YEAR(calls[[#This Row],[Date of Call]])+1)</f>
        <v>2023</v>
      </c>
      <c r="I517" t="str">
        <f>TEXT(calls[[#This Row],[Date of Call]],"DDDD")</f>
        <v>Tuesday</v>
      </c>
      <c r="J517" t="str" cm="1">
        <f t="array" ref="J517">_xlfn.IFS(calls[[#This Row],[Duration]]&lt;=10,"UNDER 10 MINS",calls[[#This Row],[Duration]]&lt;=30,"10 TO 30 MINS",calls[[#This Row],[Duration]]&lt;=60,"30 TO 60 MINS",calls[[#This Row],[Duration]]&lt;=120,"1 TO 2 HRS",TRUE,"MORE THAN 2 HRS")</f>
        <v>1 TO 2 HRS</v>
      </c>
      <c r="K517">
        <f>ROUND(calls[[#This Row],[Satisfaction Rating]],0)</f>
        <v>4</v>
      </c>
    </row>
    <row r="518" spans="1:11" x14ac:dyDescent="0.3">
      <c r="A518" s="41" t="s">
        <v>1569</v>
      </c>
      <c r="B518" s="10" t="s">
        <v>1056</v>
      </c>
      <c r="C518" s="10">
        <v>134</v>
      </c>
      <c r="D518" s="39" t="s">
        <v>1057</v>
      </c>
      <c r="E518" s="40">
        <v>45076</v>
      </c>
      <c r="F518" s="10">
        <v>120</v>
      </c>
      <c r="G518" s="42">
        <v>3</v>
      </c>
      <c r="H518">
        <f>IF(MONTH(calls[[#This Row],[Date of Call]])&lt;=6,YEAR(calls[[#This Row],[Date of Call]]),YEAR(calls[[#This Row],[Date of Call]])+1)</f>
        <v>2023</v>
      </c>
      <c r="I518" t="str">
        <f>TEXT(calls[[#This Row],[Date of Call]],"DDDD")</f>
        <v>Tuesday</v>
      </c>
      <c r="J518" t="str" cm="1">
        <f t="array" ref="J518">_xlfn.IFS(calls[[#This Row],[Duration]]&lt;=10,"UNDER 10 MINS",calls[[#This Row],[Duration]]&lt;=30,"10 TO 30 MINS",calls[[#This Row],[Duration]]&lt;=60,"30 TO 60 MINS",calls[[#This Row],[Duration]]&lt;=120,"1 TO 2 HRS",TRUE,"MORE THAN 2 HRS")</f>
        <v>MORE THAN 2 HRS</v>
      </c>
      <c r="K518">
        <f>ROUND(calls[[#This Row],[Satisfaction Rating]],0)</f>
        <v>3</v>
      </c>
    </row>
    <row r="519" spans="1:11" x14ac:dyDescent="0.3">
      <c r="A519" s="41" t="s">
        <v>1570</v>
      </c>
      <c r="B519" s="10" t="s">
        <v>1076</v>
      </c>
      <c r="C519" s="10">
        <v>94</v>
      </c>
      <c r="D519" s="39" t="s">
        <v>1043</v>
      </c>
      <c r="E519" s="40">
        <v>45076</v>
      </c>
      <c r="F519" s="10">
        <v>180</v>
      </c>
      <c r="G519" s="42">
        <v>4.7</v>
      </c>
      <c r="H519">
        <f>IF(MONTH(calls[[#This Row],[Date of Call]])&lt;=6,YEAR(calls[[#This Row],[Date of Call]]),YEAR(calls[[#This Row],[Date of Call]])+1)</f>
        <v>2023</v>
      </c>
      <c r="I519" t="str">
        <f>TEXT(calls[[#This Row],[Date of Call]],"DDDD")</f>
        <v>Tuesday</v>
      </c>
      <c r="J519" t="str" cm="1">
        <f t="array" ref="J519">_xlfn.IFS(calls[[#This Row],[Duration]]&lt;=10,"UNDER 10 MINS",calls[[#This Row],[Duration]]&lt;=30,"10 TO 30 MINS",calls[[#This Row],[Duration]]&lt;=60,"30 TO 60 MINS",calls[[#This Row],[Duration]]&lt;=120,"1 TO 2 HRS",TRUE,"MORE THAN 2 HRS")</f>
        <v>1 TO 2 HRS</v>
      </c>
      <c r="K519">
        <f>ROUND(calls[[#This Row],[Satisfaction Rating]],0)</f>
        <v>5</v>
      </c>
    </row>
    <row r="520" spans="1:11" x14ac:dyDescent="0.3">
      <c r="A520" s="41" t="s">
        <v>1571</v>
      </c>
      <c r="B520" s="10" t="s">
        <v>1051</v>
      </c>
      <c r="C520" s="10">
        <v>63</v>
      </c>
      <c r="D520" s="39" t="s">
        <v>1038</v>
      </c>
      <c r="E520" s="40">
        <v>45076</v>
      </c>
      <c r="F520" s="10">
        <v>44</v>
      </c>
      <c r="G520" s="42">
        <v>3</v>
      </c>
      <c r="H520">
        <f>IF(MONTH(calls[[#This Row],[Date of Call]])&lt;=6,YEAR(calls[[#This Row],[Date of Call]]),YEAR(calls[[#This Row],[Date of Call]])+1)</f>
        <v>2023</v>
      </c>
      <c r="I520" t="str">
        <f>TEXT(calls[[#This Row],[Date of Call]],"DDDD")</f>
        <v>Tuesday</v>
      </c>
      <c r="J520" t="str" cm="1">
        <f t="array" ref="J520">_xlfn.IFS(calls[[#This Row],[Duration]]&lt;=10,"UNDER 10 MINS",calls[[#This Row],[Duration]]&lt;=30,"10 TO 30 MINS",calls[[#This Row],[Duration]]&lt;=60,"30 TO 60 MINS",calls[[#This Row],[Duration]]&lt;=120,"1 TO 2 HRS",TRUE,"MORE THAN 2 HRS")</f>
        <v>1 TO 2 HRS</v>
      </c>
      <c r="K520">
        <f>ROUND(calls[[#This Row],[Satisfaction Rating]],0)</f>
        <v>3</v>
      </c>
    </row>
    <row r="521" spans="1:11" x14ac:dyDescent="0.3">
      <c r="A521" s="41" t="s">
        <v>1572</v>
      </c>
      <c r="B521" s="10" t="s">
        <v>1071</v>
      </c>
      <c r="C521" s="10">
        <v>95</v>
      </c>
      <c r="D521" s="39" t="s">
        <v>1057</v>
      </c>
      <c r="E521" s="40">
        <v>45076</v>
      </c>
      <c r="F521" s="10">
        <v>86</v>
      </c>
      <c r="G521" s="42">
        <v>3.6</v>
      </c>
      <c r="H521">
        <f>IF(MONTH(calls[[#This Row],[Date of Call]])&lt;=6,YEAR(calls[[#This Row],[Date of Call]]),YEAR(calls[[#This Row],[Date of Call]])+1)</f>
        <v>2023</v>
      </c>
      <c r="I521" t="str">
        <f>TEXT(calls[[#This Row],[Date of Call]],"DDDD")</f>
        <v>Tuesday</v>
      </c>
      <c r="J521" t="str" cm="1">
        <f t="array" ref="J521">_xlfn.IFS(calls[[#This Row],[Duration]]&lt;=10,"UNDER 10 MINS",calls[[#This Row],[Duration]]&lt;=30,"10 TO 30 MINS",calls[[#This Row],[Duration]]&lt;=60,"30 TO 60 MINS",calls[[#This Row],[Duration]]&lt;=120,"1 TO 2 HRS",TRUE,"MORE THAN 2 HRS")</f>
        <v>1 TO 2 HRS</v>
      </c>
      <c r="K521">
        <f>ROUND(calls[[#This Row],[Satisfaction Rating]],0)</f>
        <v>4</v>
      </c>
    </row>
    <row r="522" spans="1:11" x14ac:dyDescent="0.3">
      <c r="A522" s="41" t="s">
        <v>1573</v>
      </c>
      <c r="B522" s="10" t="s">
        <v>1056</v>
      </c>
      <c r="C522" s="10">
        <v>106</v>
      </c>
      <c r="D522" s="39" t="s">
        <v>1057</v>
      </c>
      <c r="E522" s="40">
        <v>45077</v>
      </c>
      <c r="F522" s="10">
        <v>120</v>
      </c>
      <c r="G522" s="42">
        <v>4.0999999999999996</v>
      </c>
      <c r="H522">
        <f>IF(MONTH(calls[[#This Row],[Date of Call]])&lt;=6,YEAR(calls[[#This Row],[Date of Call]]),YEAR(calls[[#This Row],[Date of Call]])+1)</f>
        <v>2023</v>
      </c>
      <c r="I522" t="str">
        <f>TEXT(calls[[#This Row],[Date of Call]],"DDDD")</f>
        <v>Wednesday</v>
      </c>
      <c r="J522" t="str" cm="1">
        <f t="array" ref="J522">_xlfn.IFS(calls[[#This Row],[Duration]]&lt;=10,"UNDER 10 MINS",calls[[#This Row],[Duration]]&lt;=30,"10 TO 30 MINS",calls[[#This Row],[Duration]]&lt;=60,"30 TO 60 MINS",calls[[#This Row],[Duration]]&lt;=120,"1 TO 2 HRS",TRUE,"MORE THAN 2 HRS")</f>
        <v>1 TO 2 HRS</v>
      </c>
      <c r="K522">
        <f>ROUND(calls[[#This Row],[Satisfaction Rating]],0)</f>
        <v>4</v>
      </c>
    </row>
    <row r="523" spans="1:11" x14ac:dyDescent="0.3">
      <c r="A523" s="41" t="s">
        <v>1574</v>
      </c>
      <c r="B523" s="10" t="s">
        <v>1045</v>
      </c>
      <c r="C523" s="10">
        <v>94</v>
      </c>
      <c r="D523" s="39" t="s">
        <v>1043</v>
      </c>
      <c r="E523" s="40">
        <v>45077</v>
      </c>
      <c r="F523" s="10">
        <v>100</v>
      </c>
      <c r="G523" s="42">
        <v>3.7</v>
      </c>
      <c r="H523">
        <f>IF(MONTH(calls[[#This Row],[Date of Call]])&lt;=6,YEAR(calls[[#This Row],[Date of Call]]),YEAR(calls[[#This Row],[Date of Call]])+1)</f>
        <v>2023</v>
      </c>
      <c r="I523" t="str">
        <f>TEXT(calls[[#This Row],[Date of Call]],"DDDD")</f>
        <v>Wednesday</v>
      </c>
      <c r="J523" t="str" cm="1">
        <f t="array" ref="J523">_xlfn.IFS(calls[[#This Row],[Duration]]&lt;=10,"UNDER 10 MINS",calls[[#This Row],[Duration]]&lt;=30,"10 TO 30 MINS",calls[[#This Row],[Duration]]&lt;=60,"30 TO 60 MINS",calls[[#This Row],[Duration]]&lt;=120,"1 TO 2 HRS",TRUE,"MORE THAN 2 HRS")</f>
        <v>1 TO 2 HRS</v>
      </c>
      <c r="K523">
        <f>ROUND(calls[[#This Row],[Satisfaction Rating]],0)</f>
        <v>4</v>
      </c>
    </row>
    <row r="524" spans="1:11" x14ac:dyDescent="0.3">
      <c r="A524" s="41" t="s">
        <v>1575</v>
      </c>
      <c r="B524" s="10" t="s">
        <v>1045</v>
      </c>
      <c r="C524" s="10">
        <v>51</v>
      </c>
      <c r="D524" s="39" t="s">
        <v>1043</v>
      </c>
      <c r="E524" s="40">
        <v>45078</v>
      </c>
      <c r="F524" s="10">
        <v>108</v>
      </c>
      <c r="G524" s="42">
        <v>4.5</v>
      </c>
      <c r="H524">
        <f>IF(MONTH(calls[[#This Row],[Date of Call]])&lt;=6,YEAR(calls[[#This Row],[Date of Call]]),YEAR(calls[[#This Row],[Date of Call]])+1)</f>
        <v>2023</v>
      </c>
      <c r="I524" t="str">
        <f>TEXT(calls[[#This Row],[Date of Call]],"DDDD")</f>
        <v>Thursday</v>
      </c>
      <c r="J524" t="str" cm="1">
        <f t="array" ref="J524">_xlfn.IFS(calls[[#This Row],[Duration]]&lt;=10,"UNDER 10 MINS",calls[[#This Row],[Duration]]&lt;=30,"10 TO 30 MINS",calls[[#This Row],[Duration]]&lt;=60,"30 TO 60 MINS",calls[[#This Row],[Duration]]&lt;=120,"1 TO 2 HRS",TRUE,"MORE THAN 2 HRS")</f>
        <v>30 TO 60 MINS</v>
      </c>
      <c r="K524">
        <f>ROUND(calls[[#This Row],[Satisfaction Rating]],0)</f>
        <v>5</v>
      </c>
    </row>
    <row r="525" spans="1:11" x14ac:dyDescent="0.3">
      <c r="A525" s="41" t="s">
        <v>1576</v>
      </c>
      <c r="B525" s="10" t="s">
        <v>1109</v>
      </c>
      <c r="C525" s="10">
        <v>39</v>
      </c>
      <c r="D525" s="39" t="s">
        <v>1043</v>
      </c>
      <c r="E525" s="40">
        <v>45078</v>
      </c>
      <c r="F525" s="10">
        <v>46</v>
      </c>
      <c r="G525" s="42">
        <v>4.5999999999999996</v>
      </c>
      <c r="H525">
        <f>IF(MONTH(calls[[#This Row],[Date of Call]])&lt;=6,YEAR(calls[[#This Row],[Date of Call]]),YEAR(calls[[#This Row],[Date of Call]])+1)</f>
        <v>2023</v>
      </c>
      <c r="I525" t="str">
        <f>TEXT(calls[[#This Row],[Date of Call]],"DDDD")</f>
        <v>Thursday</v>
      </c>
      <c r="J525" t="str" cm="1">
        <f t="array" ref="J525">_xlfn.IFS(calls[[#This Row],[Duration]]&lt;=10,"UNDER 10 MINS",calls[[#This Row],[Duration]]&lt;=30,"10 TO 30 MINS",calls[[#This Row],[Duration]]&lt;=60,"30 TO 60 MINS",calls[[#This Row],[Duration]]&lt;=120,"1 TO 2 HRS",TRUE,"MORE THAN 2 HRS")</f>
        <v>30 TO 60 MINS</v>
      </c>
      <c r="K525">
        <f>ROUND(calls[[#This Row],[Satisfaction Rating]],0)</f>
        <v>5</v>
      </c>
    </row>
    <row r="526" spans="1:11" x14ac:dyDescent="0.3">
      <c r="A526" s="41" t="s">
        <v>1577</v>
      </c>
      <c r="B526" s="10" t="s">
        <v>1060</v>
      </c>
      <c r="C526" s="10">
        <v>111</v>
      </c>
      <c r="D526" s="39" t="s">
        <v>1057</v>
      </c>
      <c r="E526" s="40">
        <v>45078</v>
      </c>
      <c r="F526" s="10">
        <v>210</v>
      </c>
      <c r="G526" s="42">
        <v>4.3</v>
      </c>
      <c r="H526">
        <f>IF(MONTH(calls[[#This Row],[Date of Call]])&lt;=6,YEAR(calls[[#This Row],[Date of Call]]),YEAR(calls[[#This Row],[Date of Call]])+1)</f>
        <v>2023</v>
      </c>
      <c r="I526" t="str">
        <f>TEXT(calls[[#This Row],[Date of Call]],"DDDD")</f>
        <v>Thursday</v>
      </c>
      <c r="J526" t="str" cm="1">
        <f t="array" ref="J526">_xlfn.IFS(calls[[#This Row],[Duration]]&lt;=10,"UNDER 10 MINS",calls[[#This Row],[Duration]]&lt;=30,"10 TO 30 MINS",calls[[#This Row],[Duration]]&lt;=60,"30 TO 60 MINS",calls[[#This Row],[Duration]]&lt;=120,"1 TO 2 HRS",TRUE,"MORE THAN 2 HRS")</f>
        <v>1 TO 2 HRS</v>
      </c>
      <c r="K526">
        <f>ROUND(calls[[#This Row],[Satisfaction Rating]],0)</f>
        <v>4</v>
      </c>
    </row>
    <row r="527" spans="1:11" x14ac:dyDescent="0.3">
      <c r="A527" s="41" t="s">
        <v>1578</v>
      </c>
      <c r="B527" s="10" t="s">
        <v>1079</v>
      </c>
      <c r="C527" s="10">
        <v>141</v>
      </c>
      <c r="D527" s="39" t="s">
        <v>1048</v>
      </c>
      <c r="E527" s="40">
        <v>45080</v>
      </c>
      <c r="F527" s="10">
        <v>54</v>
      </c>
      <c r="G527" s="42">
        <v>4.8</v>
      </c>
      <c r="H527">
        <f>IF(MONTH(calls[[#This Row],[Date of Call]])&lt;=6,YEAR(calls[[#This Row],[Date of Call]]),YEAR(calls[[#This Row],[Date of Call]])+1)</f>
        <v>2023</v>
      </c>
      <c r="I527" t="str">
        <f>TEXT(calls[[#This Row],[Date of Call]],"DDDD")</f>
        <v>Saturday</v>
      </c>
      <c r="J527" t="str" cm="1">
        <f t="array" ref="J527">_xlfn.IFS(calls[[#This Row],[Duration]]&lt;=10,"UNDER 10 MINS",calls[[#This Row],[Duration]]&lt;=30,"10 TO 30 MINS",calls[[#This Row],[Duration]]&lt;=60,"30 TO 60 MINS",calls[[#This Row],[Duration]]&lt;=120,"1 TO 2 HRS",TRUE,"MORE THAN 2 HRS")</f>
        <v>MORE THAN 2 HRS</v>
      </c>
      <c r="K527">
        <f>ROUND(calls[[#This Row],[Satisfaction Rating]],0)</f>
        <v>5</v>
      </c>
    </row>
    <row r="528" spans="1:11" x14ac:dyDescent="0.3">
      <c r="A528" s="41" t="s">
        <v>1579</v>
      </c>
      <c r="B528" s="10" t="s">
        <v>1051</v>
      </c>
      <c r="C528" s="10">
        <v>147</v>
      </c>
      <c r="D528" s="39" t="s">
        <v>1057</v>
      </c>
      <c r="E528" s="40">
        <v>45080</v>
      </c>
      <c r="F528" s="10">
        <v>115</v>
      </c>
      <c r="G528" s="42">
        <v>4.7</v>
      </c>
      <c r="H528">
        <f>IF(MONTH(calls[[#This Row],[Date of Call]])&lt;=6,YEAR(calls[[#This Row],[Date of Call]]),YEAR(calls[[#This Row],[Date of Call]])+1)</f>
        <v>2023</v>
      </c>
      <c r="I528" t="str">
        <f>TEXT(calls[[#This Row],[Date of Call]],"DDDD")</f>
        <v>Saturday</v>
      </c>
      <c r="J528" t="str" cm="1">
        <f t="array" ref="J528">_xlfn.IFS(calls[[#This Row],[Duration]]&lt;=10,"UNDER 10 MINS",calls[[#This Row],[Duration]]&lt;=30,"10 TO 30 MINS",calls[[#This Row],[Duration]]&lt;=60,"30 TO 60 MINS",calls[[#This Row],[Duration]]&lt;=120,"1 TO 2 HRS",TRUE,"MORE THAN 2 HRS")</f>
        <v>MORE THAN 2 HRS</v>
      </c>
      <c r="K528">
        <f>ROUND(calls[[#This Row],[Satisfaction Rating]],0)</f>
        <v>5</v>
      </c>
    </row>
    <row r="529" spans="1:11" x14ac:dyDescent="0.3">
      <c r="A529" s="41" t="s">
        <v>1580</v>
      </c>
      <c r="B529" s="10" t="s">
        <v>1076</v>
      </c>
      <c r="C529" s="10">
        <v>49</v>
      </c>
      <c r="D529" s="39" t="s">
        <v>1043</v>
      </c>
      <c r="E529" s="40">
        <v>45081</v>
      </c>
      <c r="F529" s="10">
        <v>100</v>
      </c>
      <c r="G529" s="42">
        <v>2.2000000000000002</v>
      </c>
      <c r="H529">
        <f>IF(MONTH(calls[[#This Row],[Date of Call]])&lt;=6,YEAR(calls[[#This Row],[Date of Call]]),YEAR(calls[[#This Row],[Date of Call]])+1)</f>
        <v>2023</v>
      </c>
      <c r="I529" t="str">
        <f>TEXT(calls[[#This Row],[Date of Call]],"DDDD")</f>
        <v>Sunday</v>
      </c>
      <c r="J529" t="str" cm="1">
        <f t="array" ref="J529">_xlfn.IFS(calls[[#This Row],[Duration]]&lt;=10,"UNDER 10 MINS",calls[[#This Row],[Duration]]&lt;=30,"10 TO 30 MINS",calls[[#This Row],[Duration]]&lt;=60,"30 TO 60 MINS",calls[[#This Row],[Duration]]&lt;=120,"1 TO 2 HRS",TRUE,"MORE THAN 2 HRS")</f>
        <v>30 TO 60 MINS</v>
      </c>
      <c r="K529">
        <f>ROUND(calls[[#This Row],[Satisfaction Rating]],0)</f>
        <v>2</v>
      </c>
    </row>
    <row r="530" spans="1:11" x14ac:dyDescent="0.3">
      <c r="A530" s="41" t="s">
        <v>1581</v>
      </c>
      <c r="B530" s="10" t="s">
        <v>1042</v>
      </c>
      <c r="C530" s="10">
        <v>75</v>
      </c>
      <c r="D530" s="39" t="s">
        <v>1057</v>
      </c>
      <c r="E530" s="40">
        <v>45081</v>
      </c>
      <c r="F530" s="10">
        <v>38</v>
      </c>
      <c r="G530" s="42">
        <v>4.4000000000000004</v>
      </c>
      <c r="H530">
        <f>IF(MONTH(calls[[#This Row],[Date of Call]])&lt;=6,YEAR(calls[[#This Row],[Date of Call]]),YEAR(calls[[#This Row],[Date of Call]])+1)</f>
        <v>2023</v>
      </c>
      <c r="I530" t="str">
        <f>TEXT(calls[[#This Row],[Date of Call]],"DDDD")</f>
        <v>Sunday</v>
      </c>
      <c r="J530" t="str" cm="1">
        <f t="array" ref="J530">_xlfn.IFS(calls[[#This Row],[Duration]]&lt;=10,"UNDER 10 MINS",calls[[#This Row],[Duration]]&lt;=30,"10 TO 30 MINS",calls[[#This Row],[Duration]]&lt;=60,"30 TO 60 MINS",calls[[#This Row],[Duration]]&lt;=120,"1 TO 2 HRS",TRUE,"MORE THAN 2 HRS")</f>
        <v>1 TO 2 HRS</v>
      </c>
      <c r="K530">
        <f>ROUND(calls[[#This Row],[Satisfaction Rating]],0)</f>
        <v>4</v>
      </c>
    </row>
    <row r="531" spans="1:11" x14ac:dyDescent="0.3">
      <c r="A531" s="41" t="s">
        <v>1582</v>
      </c>
      <c r="B531" s="10" t="s">
        <v>1079</v>
      </c>
      <c r="C531" s="10">
        <v>48</v>
      </c>
      <c r="D531" s="39" t="s">
        <v>1048</v>
      </c>
      <c r="E531" s="40">
        <v>45082</v>
      </c>
      <c r="F531" s="10">
        <v>120</v>
      </c>
      <c r="G531" s="42">
        <v>4.0999999999999996</v>
      </c>
      <c r="H531">
        <f>IF(MONTH(calls[[#This Row],[Date of Call]])&lt;=6,YEAR(calls[[#This Row],[Date of Call]]),YEAR(calls[[#This Row],[Date of Call]])+1)</f>
        <v>2023</v>
      </c>
      <c r="I531" t="str">
        <f>TEXT(calls[[#This Row],[Date of Call]],"DDDD")</f>
        <v>Monday</v>
      </c>
      <c r="J531" t="str" cm="1">
        <f t="array" ref="J531">_xlfn.IFS(calls[[#This Row],[Duration]]&lt;=10,"UNDER 10 MINS",calls[[#This Row],[Duration]]&lt;=30,"10 TO 30 MINS",calls[[#This Row],[Duration]]&lt;=60,"30 TO 60 MINS",calls[[#This Row],[Duration]]&lt;=120,"1 TO 2 HRS",TRUE,"MORE THAN 2 HRS")</f>
        <v>30 TO 60 MINS</v>
      </c>
      <c r="K531">
        <f>ROUND(calls[[#This Row],[Satisfaction Rating]],0)</f>
        <v>4</v>
      </c>
    </row>
    <row r="532" spans="1:11" x14ac:dyDescent="0.3">
      <c r="A532" s="41" t="s">
        <v>1583</v>
      </c>
      <c r="B532" s="10" t="s">
        <v>1068</v>
      </c>
      <c r="C532" s="10">
        <v>48</v>
      </c>
      <c r="D532" s="39" t="s">
        <v>1048</v>
      </c>
      <c r="E532" s="40">
        <v>45082</v>
      </c>
      <c r="F532" s="10">
        <v>120</v>
      </c>
      <c r="G532" s="42">
        <v>4.0999999999999996</v>
      </c>
      <c r="H532">
        <f>IF(MONTH(calls[[#This Row],[Date of Call]])&lt;=6,YEAR(calls[[#This Row],[Date of Call]]),YEAR(calls[[#This Row],[Date of Call]])+1)</f>
        <v>2023</v>
      </c>
      <c r="I532" t="str">
        <f>TEXT(calls[[#This Row],[Date of Call]],"DDDD")</f>
        <v>Monday</v>
      </c>
      <c r="J532" t="str" cm="1">
        <f t="array" ref="J532">_xlfn.IFS(calls[[#This Row],[Duration]]&lt;=10,"UNDER 10 MINS",calls[[#This Row],[Duration]]&lt;=30,"10 TO 30 MINS",calls[[#This Row],[Duration]]&lt;=60,"30 TO 60 MINS",calls[[#This Row],[Duration]]&lt;=120,"1 TO 2 HRS",TRUE,"MORE THAN 2 HRS")</f>
        <v>30 TO 60 MINS</v>
      </c>
      <c r="K532">
        <f>ROUND(calls[[#This Row],[Satisfaction Rating]],0)</f>
        <v>4</v>
      </c>
    </row>
    <row r="533" spans="1:11" x14ac:dyDescent="0.3">
      <c r="A533" s="41" t="s">
        <v>1584</v>
      </c>
      <c r="B533" s="10" t="s">
        <v>1040</v>
      </c>
      <c r="C533" s="10">
        <v>138</v>
      </c>
      <c r="D533" s="39" t="s">
        <v>1043</v>
      </c>
      <c r="E533" s="40">
        <v>45082</v>
      </c>
      <c r="F533" s="10">
        <v>29</v>
      </c>
      <c r="G533" s="42">
        <v>4.4000000000000004</v>
      </c>
      <c r="H533">
        <f>IF(MONTH(calls[[#This Row],[Date of Call]])&lt;=6,YEAR(calls[[#This Row],[Date of Call]]),YEAR(calls[[#This Row],[Date of Call]])+1)</f>
        <v>2023</v>
      </c>
      <c r="I533" t="str">
        <f>TEXT(calls[[#This Row],[Date of Call]],"DDDD")</f>
        <v>Monday</v>
      </c>
      <c r="J533" t="str" cm="1">
        <f t="array" ref="J533">_xlfn.IFS(calls[[#This Row],[Duration]]&lt;=10,"UNDER 10 MINS",calls[[#This Row],[Duration]]&lt;=30,"10 TO 30 MINS",calls[[#This Row],[Duration]]&lt;=60,"30 TO 60 MINS",calls[[#This Row],[Duration]]&lt;=120,"1 TO 2 HRS",TRUE,"MORE THAN 2 HRS")</f>
        <v>MORE THAN 2 HRS</v>
      </c>
      <c r="K533">
        <f>ROUND(calls[[#This Row],[Satisfaction Rating]],0)</f>
        <v>4</v>
      </c>
    </row>
    <row r="534" spans="1:11" x14ac:dyDescent="0.3">
      <c r="A534" s="41" t="s">
        <v>1585</v>
      </c>
      <c r="B534" s="10" t="s">
        <v>1071</v>
      </c>
      <c r="C534" s="10">
        <v>144</v>
      </c>
      <c r="D534" s="39" t="s">
        <v>1043</v>
      </c>
      <c r="E534" s="40">
        <v>45083</v>
      </c>
      <c r="F534" s="10">
        <v>25</v>
      </c>
      <c r="G534" s="42">
        <v>3.7</v>
      </c>
      <c r="H534">
        <f>IF(MONTH(calls[[#This Row],[Date of Call]])&lt;=6,YEAR(calls[[#This Row],[Date of Call]]),YEAR(calls[[#This Row],[Date of Call]])+1)</f>
        <v>2023</v>
      </c>
      <c r="I534" t="str">
        <f>TEXT(calls[[#This Row],[Date of Call]],"DDDD")</f>
        <v>Tuesday</v>
      </c>
      <c r="J534" t="str" cm="1">
        <f t="array" ref="J534">_xlfn.IFS(calls[[#This Row],[Duration]]&lt;=10,"UNDER 10 MINS",calls[[#This Row],[Duration]]&lt;=30,"10 TO 30 MINS",calls[[#This Row],[Duration]]&lt;=60,"30 TO 60 MINS",calls[[#This Row],[Duration]]&lt;=120,"1 TO 2 HRS",TRUE,"MORE THAN 2 HRS")</f>
        <v>MORE THAN 2 HRS</v>
      </c>
      <c r="K534">
        <f>ROUND(calls[[#This Row],[Satisfaction Rating]],0)</f>
        <v>4</v>
      </c>
    </row>
    <row r="535" spans="1:11" x14ac:dyDescent="0.3">
      <c r="A535" s="41" t="s">
        <v>1586</v>
      </c>
      <c r="B535" s="10" t="s">
        <v>1089</v>
      </c>
      <c r="C535" s="10">
        <v>119</v>
      </c>
      <c r="D535" s="39" t="s">
        <v>1057</v>
      </c>
      <c r="E535" s="40">
        <v>45084</v>
      </c>
      <c r="F535" s="10">
        <v>116</v>
      </c>
      <c r="G535" s="42">
        <v>3.8</v>
      </c>
      <c r="H535">
        <f>IF(MONTH(calls[[#This Row],[Date of Call]])&lt;=6,YEAR(calls[[#This Row],[Date of Call]]),YEAR(calls[[#This Row],[Date of Call]])+1)</f>
        <v>2023</v>
      </c>
      <c r="I535" t="str">
        <f>TEXT(calls[[#This Row],[Date of Call]],"DDDD")</f>
        <v>Wednesday</v>
      </c>
      <c r="J535" t="str" cm="1">
        <f t="array" ref="J535">_xlfn.IFS(calls[[#This Row],[Duration]]&lt;=10,"UNDER 10 MINS",calls[[#This Row],[Duration]]&lt;=30,"10 TO 30 MINS",calls[[#This Row],[Duration]]&lt;=60,"30 TO 60 MINS",calls[[#This Row],[Duration]]&lt;=120,"1 TO 2 HRS",TRUE,"MORE THAN 2 HRS")</f>
        <v>1 TO 2 HRS</v>
      </c>
      <c r="K535">
        <f>ROUND(calls[[#This Row],[Satisfaction Rating]],0)</f>
        <v>4</v>
      </c>
    </row>
    <row r="536" spans="1:11" x14ac:dyDescent="0.3">
      <c r="A536" s="41" t="s">
        <v>1587</v>
      </c>
      <c r="B536" s="10" t="s">
        <v>1040</v>
      </c>
      <c r="C536" s="10">
        <v>101</v>
      </c>
      <c r="D536" s="39" t="s">
        <v>1048</v>
      </c>
      <c r="E536" s="40">
        <v>45085</v>
      </c>
      <c r="F536" s="10">
        <v>132</v>
      </c>
      <c r="G536" s="42">
        <v>4.3</v>
      </c>
      <c r="H536">
        <f>IF(MONTH(calls[[#This Row],[Date of Call]])&lt;=6,YEAR(calls[[#This Row],[Date of Call]]),YEAR(calls[[#This Row],[Date of Call]])+1)</f>
        <v>2023</v>
      </c>
      <c r="I536" t="str">
        <f>TEXT(calls[[#This Row],[Date of Call]],"DDDD")</f>
        <v>Thursday</v>
      </c>
      <c r="J536" t="str" cm="1">
        <f t="array" ref="J536">_xlfn.IFS(calls[[#This Row],[Duration]]&lt;=10,"UNDER 10 MINS",calls[[#This Row],[Duration]]&lt;=30,"10 TO 30 MINS",calls[[#This Row],[Duration]]&lt;=60,"30 TO 60 MINS",calls[[#This Row],[Duration]]&lt;=120,"1 TO 2 HRS",TRUE,"MORE THAN 2 HRS")</f>
        <v>1 TO 2 HRS</v>
      </c>
      <c r="K536">
        <f>ROUND(calls[[#This Row],[Satisfaction Rating]],0)</f>
        <v>4</v>
      </c>
    </row>
    <row r="537" spans="1:11" x14ac:dyDescent="0.3">
      <c r="A537" s="41" t="s">
        <v>1588</v>
      </c>
      <c r="B537" s="10" t="s">
        <v>1071</v>
      </c>
      <c r="C537" s="10">
        <v>59</v>
      </c>
      <c r="D537" s="39" t="s">
        <v>1057</v>
      </c>
      <c r="E537" s="40">
        <v>45086</v>
      </c>
      <c r="F537" s="10">
        <v>90</v>
      </c>
      <c r="G537" s="42">
        <v>3.5</v>
      </c>
      <c r="H537">
        <f>IF(MONTH(calls[[#This Row],[Date of Call]])&lt;=6,YEAR(calls[[#This Row],[Date of Call]]),YEAR(calls[[#This Row],[Date of Call]])+1)</f>
        <v>2023</v>
      </c>
      <c r="I537" t="str">
        <f>TEXT(calls[[#This Row],[Date of Call]],"DDDD")</f>
        <v>Friday</v>
      </c>
      <c r="J537" t="str" cm="1">
        <f t="array" ref="J537">_xlfn.IFS(calls[[#This Row],[Duration]]&lt;=10,"UNDER 10 MINS",calls[[#This Row],[Duration]]&lt;=30,"10 TO 30 MINS",calls[[#This Row],[Duration]]&lt;=60,"30 TO 60 MINS",calls[[#This Row],[Duration]]&lt;=120,"1 TO 2 HRS",TRUE,"MORE THAN 2 HRS")</f>
        <v>30 TO 60 MINS</v>
      </c>
      <c r="K537">
        <f>ROUND(calls[[#This Row],[Satisfaction Rating]],0)</f>
        <v>4</v>
      </c>
    </row>
    <row r="538" spans="1:11" x14ac:dyDescent="0.3">
      <c r="A538" s="41" t="s">
        <v>1589</v>
      </c>
      <c r="B538" s="10" t="s">
        <v>1060</v>
      </c>
      <c r="C538" s="10">
        <v>125</v>
      </c>
      <c r="D538" s="39" t="s">
        <v>1038</v>
      </c>
      <c r="E538" s="40">
        <v>45086</v>
      </c>
      <c r="F538" s="10">
        <v>87</v>
      </c>
      <c r="G538" s="42">
        <v>4.0999999999999996</v>
      </c>
      <c r="H538">
        <f>IF(MONTH(calls[[#This Row],[Date of Call]])&lt;=6,YEAR(calls[[#This Row],[Date of Call]]),YEAR(calls[[#This Row],[Date of Call]])+1)</f>
        <v>2023</v>
      </c>
      <c r="I538" t="str">
        <f>TEXT(calls[[#This Row],[Date of Call]],"DDDD")</f>
        <v>Friday</v>
      </c>
      <c r="J538" t="str" cm="1">
        <f t="array" ref="J538">_xlfn.IFS(calls[[#This Row],[Duration]]&lt;=10,"UNDER 10 MINS",calls[[#This Row],[Duration]]&lt;=30,"10 TO 30 MINS",calls[[#This Row],[Duration]]&lt;=60,"30 TO 60 MINS",calls[[#This Row],[Duration]]&lt;=120,"1 TO 2 HRS",TRUE,"MORE THAN 2 HRS")</f>
        <v>MORE THAN 2 HRS</v>
      </c>
      <c r="K538">
        <f>ROUND(calls[[#This Row],[Satisfaction Rating]],0)</f>
        <v>4</v>
      </c>
    </row>
    <row r="539" spans="1:11" x14ac:dyDescent="0.3">
      <c r="A539" s="41" t="s">
        <v>1590</v>
      </c>
      <c r="B539" s="10" t="s">
        <v>1056</v>
      </c>
      <c r="C539" s="10">
        <v>147</v>
      </c>
      <c r="D539" s="39" t="s">
        <v>1057</v>
      </c>
      <c r="E539" s="40">
        <v>45086</v>
      </c>
      <c r="F539" s="10">
        <v>140</v>
      </c>
      <c r="G539" s="42">
        <v>4.2</v>
      </c>
      <c r="H539">
        <f>IF(MONTH(calls[[#This Row],[Date of Call]])&lt;=6,YEAR(calls[[#This Row],[Date of Call]]),YEAR(calls[[#This Row],[Date of Call]])+1)</f>
        <v>2023</v>
      </c>
      <c r="I539" t="str">
        <f>TEXT(calls[[#This Row],[Date of Call]],"DDDD")</f>
        <v>Friday</v>
      </c>
      <c r="J539" t="str" cm="1">
        <f t="array" ref="J539">_xlfn.IFS(calls[[#This Row],[Duration]]&lt;=10,"UNDER 10 MINS",calls[[#This Row],[Duration]]&lt;=30,"10 TO 30 MINS",calls[[#This Row],[Duration]]&lt;=60,"30 TO 60 MINS",calls[[#This Row],[Duration]]&lt;=120,"1 TO 2 HRS",TRUE,"MORE THAN 2 HRS")</f>
        <v>MORE THAN 2 HRS</v>
      </c>
      <c r="K539">
        <f>ROUND(calls[[#This Row],[Satisfaction Rating]],0)</f>
        <v>4</v>
      </c>
    </row>
    <row r="540" spans="1:11" x14ac:dyDescent="0.3">
      <c r="A540" s="41" t="s">
        <v>1591</v>
      </c>
      <c r="B540" s="10" t="s">
        <v>1062</v>
      </c>
      <c r="C540" s="10">
        <v>76</v>
      </c>
      <c r="D540" s="39" t="s">
        <v>1057</v>
      </c>
      <c r="E540" s="40">
        <v>45086</v>
      </c>
      <c r="F540" s="10">
        <v>164</v>
      </c>
      <c r="G540" s="42">
        <v>4.5</v>
      </c>
      <c r="H540">
        <f>IF(MONTH(calls[[#This Row],[Date of Call]])&lt;=6,YEAR(calls[[#This Row],[Date of Call]]),YEAR(calls[[#This Row],[Date of Call]])+1)</f>
        <v>2023</v>
      </c>
      <c r="I540" t="str">
        <f>TEXT(calls[[#This Row],[Date of Call]],"DDDD")</f>
        <v>Friday</v>
      </c>
      <c r="J540" t="str" cm="1">
        <f t="array" ref="J540">_xlfn.IFS(calls[[#This Row],[Duration]]&lt;=10,"UNDER 10 MINS",calls[[#This Row],[Duration]]&lt;=30,"10 TO 30 MINS",calls[[#This Row],[Duration]]&lt;=60,"30 TO 60 MINS",calls[[#This Row],[Duration]]&lt;=120,"1 TO 2 HRS",TRUE,"MORE THAN 2 HRS")</f>
        <v>1 TO 2 HRS</v>
      </c>
      <c r="K540">
        <f>ROUND(calls[[#This Row],[Satisfaction Rating]],0)</f>
        <v>5</v>
      </c>
    </row>
    <row r="541" spans="1:11" x14ac:dyDescent="0.3">
      <c r="A541" s="41" t="s">
        <v>1592</v>
      </c>
      <c r="B541" s="10" t="s">
        <v>1051</v>
      </c>
      <c r="C541" s="10">
        <v>99</v>
      </c>
      <c r="D541" s="39" t="s">
        <v>1048</v>
      </c>
      <c r="E541" s="40">
        <v>45087</v>
      </c>
      <c r="F541" s="10">
        <v>180</v>
      </c>
      <c r="G541" s="42">
        <v>3.8</v>
      </c>
      <c r="H541">
        <f>IF(MONTH(calls[[#This Row],[Date of Call]])&lt;=6,YEAR(calls[[#This Row],[Date of Call]]),YEAR(calls[[#This Row],[Date of Call]])+1)</f>
        <v>2023</v>
      </c>
      <c r="I541" t="str">
        <f>TEXT(calls[[#This Row],[Date of Call]],"DDDD")</f>
        <v>Saturday</v>
      </c>
      <c r="J541" t="str" cm="1">
        <f t="array" ref="J541">_xlfn.IFS(calls[[#This Row],[Duration]]&lt;=10,"UNDER 10 MINS",calls[[#This Row],[Duration]]&lt;=30,"10 TO 30 MINS",calls[[#This Row],[Duration]]&lt;=60,"30 TO 60 MINS",calls[[#This Row],[Duration]]&lt;=120,"1 TO 2 HRS",TRUE,"MORE THAN 2 HRS")</f>
        <v>1 TO 2 HRS</v>
      </c>
      <c r="K541">
        <f>ROUND(calls[[#This Row],[Satisfaction Rating]],0)</f>
        <v>4</v>
      </c>
    </row>
    <row r="542" spans="1:11" x14ac:dyDescent="0.3">
      <c r="A542" s="41" t="s">
        <v>1593</v>
      </c>
      <c r="B542" s="10" t="s">
        <v>1109</v>
      </c>
      <c r="C542" s="10">
        <v>111</v>
      </c>
      <c r="D542" s="39" t="s">
        <v>1053</v>
      </c>
      <c r="E542" s="40">
        <v>45088</v>
      </c>
      <c r="F542" s="10">
        <v>22</v>
      </c>
      <c r="G542" s="42">
        <v>4.0999999999999996</v>
      </c>
      <c r="H542">
        <f>IF(MONTH(calls[[#This Row],[Date of Call]])&lt;=6,YEAR(calls[[#This Row],[Date of Call]]),YEAR(calls[[#This Row],[Date of Call]])+1)</f>
        <v>2023</v>
      </c>
      <c r="I542" t="str">
        <f>TEXT(calls[[#This Row],[Date of Call]],"DDDD")</f>
        <v>Sunday</v>
      </c>
      <c r="J542" t="str" cm="1">
        <f t="array" ref="J542">_xlfn.IFS(calls[[#This Row],[Duration]]&lt;=10,"UNDER 10 MINS",calls[[#This Row],[Duration]]&lt;=30,"10 TO 30 MINS",calls[[#This Row],[Duration]]&lt;=60,"30 TO 60 MINS",calls[[#This Row],[Duration]]&lt;=120,"1 TO 2 HRS",TRUE,"MORE THAN 2 HRS")</f>
        <v>1 TO 2 HRS</v>
      </c>
      <c r="K542">
        <f>ROUND(calls[[#This Row],[Satisfaction Rating]],0)</f>
        <v>4</v>
      </c>
    </row>
    <row r="543" spans="1:11" x14ac:dyDescent="0.3">
      <c r="A543" s="41" t="s">
        <v>1594</v>
      </c>
      <c r="B543" s="10" t="s">
        <v>1047</v>
      </c>
      <c r="C543" s="10">
        <v>147</v>
      </c>
      <c r="D543" s="39" t="s">
        <v>1038</v>
      </c>
      <c r="E543" s="40">
        <v>45088</v>
      </c>
      <c r="F543" s="10">
        <v>82</v>
      </c>
      <c r="G543" s="42">
        <v>4.4000000000000004</v>
      </c>
      <c r="H543">
        <f>IF(MONTH(calls[[#This Row],[Date of Call]])&lt;=6,YEAR(calls[[#This Row],[Date of Call]]),YEAR(calls[[#This Row],[Date of Call]])+1)</f>
        <v>2023</v>
      </c>
      <c r="I543" t="str">
        <f>TEXT(calls[[#This Row],[Date of Call]],"DDDD")</f>
        <v>Sunday</v>
      </c>
      <c r="J543" t="str" cm="1">
        <f t="array" ref="J543">_xlfn.IFS(calls[[#This Row],[Duration]]&lt;=10,"UNDER 10 MINS",calls[[#This Row],[Duration]]&lt;=30,"10 TO 30 MINS",calls[[#This Row],[Duration]]&lt;=60,"30 TO 60 MINS",calls[[#This Row],[Duration]]&lt;=120,"1 TO 2 HRS",TRUE,"MORE THAN 2 HRS")</f>
        <v>MORE THAN 2 HRS</v>
      </c>
      <c r="K543">
        <f>ROUND(calls[[#This Row],[Satisfaction Rating]],0)</f>
        <v>4</v>
      </c>
    </row>
    <row r="544" spans="1:11" x14ac:dyDescent="0.3">
      <c r="A544" s="41" t="s">
        <v>1595</v>
      </c>
      <c r="B544" s="10" t="s">
        <v>1037</v>
      </c>
      <c r="C544" s="10">
        <v>141</v>
      </c>
      <c r="D544" s="39" t="s">
        <v>1048</v>
      </c>
      <c r="E544" s="40">
        <v>45088</v>
      </c>
      <c r="F544" s="10">
        <v>100</v>
      </c>
      <c r="G544" s="42">
        <v>4.5999999999999996</v>
      </c>
      <c r="H544">
        <f>IF(MONTH(calls[[#This Row],[Date of Call]])&lt;=6,YEAR(calls[[#This Row],[Date of Call]]),YEAR(calls[[#This Row],[Date of Call]])+1)</f>
        <v>2023</v>
      </c>
      <c r="I544" t="str">
        <f>TEXT(calls[[#This Row],[Date of Call]],"DDDD")</f>
        <v>Sunday</v>
      </c>
      <c r="J544" t="str" cm="1">
        <f t="array" ref="J544">_xlfn.IFS(calls[[#This Row],[Duration]]&lt;=10,"UNDER 10 MINS",calls[[#This Row],[Duration]]&lt;=30,"10 TO 30 MINS",calls[[#This Row],[Duration]]&lt;=60,"30 TO 60 MINS",calls[[#This Row],[Duration]]&lt;=120,"1 TO 2 HRS",TRUE,"MORE THAN 2 HRS")</f>
        <v>MORE THAN 2 HRS</v>
      </c>
      <c r="K544">
        <f>ROUND(calls[[#This Row],[Satisfaction Rating]],0)</f>
        <v>5</v>
      </c>
    </row>
    <row r="545" spans="1:11" x14ac:dyDescent="0.3">
      <c r="A545" s="41" t="s">
        <v>1596</v>
      </c>
      <c r="B545" s="10" t="s">
        <v>1062</v>
      </c>
      <c r="C545" s="10">
        <v>71</v>
      </c>
      <c r="D545" s="39" t="s">
        <v>1057</v>
      </c>
      <c r="E545" s="40">
        <v>45089</v>
      </c>
      <c r="F545" s="10">
        <v>52</v>
      </c>
      <c r="G545" s="42">
        <v>3.4</v>
      </c>
      <c r="H545">
        <f>IF(MONTH(calls[[#This Row],[Date of Call]])&lt;=6,YEAR(calls[[#This Row],[Date of Call]]),YEAR(calls[[#This Row],[Date of Call]])+1)</f>
        <v>2023</v>
      </c>
      <c r="I545" t="str">
        <f>TEXT(calls[[#This Row],[Date of Call]],"DDDD")</f>
        <v>Monday</v>
      </c>
      <c r="J545" t="str" cm="1">
        <f t="array" ref="J545">_xlfn.IFS(calls[[#This Row],[Duration]]&lt;=10,"UNDER 10 MINS",calls[[#This Row],[Duration]]&lt;=30,"10 TO 30 MINS",calls[[#This Row],[Duration]]&lt;=60,"30 TO 60 MINS",calls[[#This Row],[Duration]]&lt;=120,"1 TO 2 HRS",TRUE,"MORE THAN 2 HRS")</f>
        <v>1 TO 2 HRS</v>
      </c>
      <c r="K545">
        <f>ROUND(calls[[#This Row],[Satisfaction Rating]],0)</f>
        <v>3</v>
      </c>
    </row>
    <row r="546" spans="1:11" x14ac:dyDescent="0.3">
      <c r="A546" s="41" t="s">
        <v>1597</v>
      </c>
      <c r="B546" s="10" t="s">
        <v>1062</v>
      </c>
      <c r="C546" s="10">
        <v>121</v>
      </c>
      <c r="D546" s="39" t="s">
        <v>1038</v>
      </c>
      <c r="E546" s="40">
        <v>45090</v>
      </c>
      <c r="F546" s="10">
        <v>84</v>
      </c>
      <c r="G546" s="42">
        <v>4.5999999999999996</v>
      </c>
      <c r="H546">
        <f>IF(MONTH(calls[[#This Row],[Date of Call]])&lt;=6,YEAR(calls[[#This Row],[Date of Call]]),YEAR(calls[[#This Row],[Date of Call]])+1)</f>
        <v>2023</v>
      </c>
      <c r="I546" t="str">
        <f>TEXT(calls[[#This Row],[Date of Call]],"DDDD")</f>
        <v>Tuesday</v>
      </c>
      <c r="J546" t="str" cm="1">
        <f t="array" ref="J546">_xlfn.IFS(calls[[#This Row],[Duration]]&lt;=10,"UNDER 10 MINS",calls[[#This Row],[Duration]]&lt;=30,"10 TO 30 MINS",calls[[#This Row],[Duration]]&lt;=60,"30 TO 60 MINS",calls[[#This Row],[Duration]]&lt;=120,"1 TO 2 HRS",TRUE,"MORE THAN 2 HRS")</f>
        <v>MORE THAN 2 HRS</v>
      </c>
      <c r="K546">
        <f>ROUND(calls[[#This Row],[Satisfaction Rating]],0)</f>
        <v>5</v>
      </c>
    </row>
    <row r="547" spans="1:11" x14ac:dyDescent="0.3">
      <c r="A547" s="41" t="s">
        <v>1598</v>
      </c>
      <c r="B547" s="10" t="s">
        <v>1062</v>
      </c>
      <c r="C547" s="10">
        <v>60</v>
      </c>
      <c r="D547" s="39" t="s">
        <v>1038</v>
      </c>
      <c r="E547" s="40">
        <v>45090</v>
      </c>
      <c r="F547" s="10">
        <v>37</v>
      </c>
      <c r="G547" s="42">
        <v>3.9</v>
      </c>
      <c r="H547">
        <f>IF(MONTH(calls[[#This Row],[Date of Call]])&lt;=6,YEAR(calls[[#This Row],[Date of Call]]),YEAR(calls[[#This Row],[Date of Call]])+1)</f>
        <v>2023</v>
      </c>
      <c r="I547" t="str">
        <f>TEXT(calls[[#This Row],[Date of Call]],"DDDD")</f>
        <v>Tuesday</v>
      </c>
      <c r="J547" t="str" cm="1">
        <f t="array" ref="J547">_xlfn.IFS(calls[[#This Row],[Duration]]&lt;=10,"UNDER 10 MINS",calls[[#This Row],[Duration]]&lt;=30,"10 TO 30 MINS",calls[[#This Row],[Duration]]&lt;=60,"30 TO 60 MINS",calls[[#This Row],[Duration]]&lt;=120,"1 TO 2 HRS",TRUE,"MORE THAN 2 HRS")</f>
        <v>30 TO 60 MINS</v>
      </c>
      <c r="K547">
        <f>ROUND(calls[[#This Row],[Satisfaction Rating]],0)</f>
        <v>4</v>
      </c>
    </row>
    <row r="548" spans="1:11" x14ac:dyDescent="0.3">
      <c r="A548" s="41" t="s">
        <v>1599</v>
      </c>
      <c r="B548" s="10" t="s">
        <v>1076</v>
      </c>
      <c r="C548" s="10">
        <v>158</v>
      </c>
      <c r="D548" s="39" t="s">
        <v>1048</v>
      </c>
      <c r="E548" s="40">
        <v>45091</v>
      </c>
      <c r="F548" s="10">
        <v>190</v>
      </c>
      <c r="G548" s="42">
        <v>4</v>
      </c>
      <c r="H548">
        <f>IF(MONTH(calls[[#This Row],[Date of Call]])&lt;=6,YEAR(calls[[#This Row],[Date of Call]]),YEAR(calls[[#This Row],[Date of Call]])+1)</f>
        <v>2023</v>
      </c>
      <c r="I548" t="str">
        <f>TEXT(calls[[#This Row],[Date of Call]],"DDDD")</f>
        <v>Wednesday</v>
      </c>
      <c r="J548" t="str" cm="1">
        <f t="array" ref="J548">_xlfn.IFS(calls[[#This Row],[Duration]]&lt;=10,"UNDER 10 MINS",calls[[#This Row],[Duration]]&lt;=30,"10 TO 30 MINS",calls[[#This Row],[Duration]]&lt;=60,"30 TO 60 MINS",calls[[#This Row],[Duration]]&lt;=120,"1 TO 2 HRS",TRUE,"MORE THAN 2 HRS")</f>
        <v>MORE THAN 2 HRS</v>
      </c>
      <c r="K548">
        <f>ROUND(calls[[#This Row],[Satisfaction Rating]],0)</f>
        <v>4</v>
      </c>
    </row>
    <row r="549" spans="1:11" x14ac:dyDescent="0.3">
      <c r="A549" s="41" t="s">
        <v>1600</v>
      </c>
      <c r="B549" s="10" t="s">
        <v>1056</v>
      </c>
      <c r="C549" s="10">
        <v>159</v>
      </c>
      <c r="D549" s="39" t="s">
        <v>1043</v>
      </c>
      <c r="E549" s="40">
        <v>45091</v>
      </c>
      <c r="F549" s="10">
        <v>66</v>
      </c>
      <c r="G549" s="42">
        <v>3.4</v>
      </c>
      <c r="H549">
        <f>IF(MONTH(calls[[#This Row],[Date of Call]])&lt;=6,YEAR(calls[[#This Row],[Date of Call]]),YEAR(calls[[#This Row],[Date of Call]])+1)</f>
        <v>2023</v>
      </c>
      <c r="I549" t="str">
        <f>TEXT(calls[[#This Row],[Date of Call]],"DDDD")</f>
        <v>Wednesday</v>
      </c>
      <c r="J549" t="str" cm="1">
        <f t="array" ref="J549">_xlfn.IFS(calls[[#This Row],[Duration]]&lt;=10,"UNDER 10 MINS",calls[[#This Row],[Duration]]&lt;=30,"10 TO 30 MINS",calls[[#This Row],[Duration]]&lt;=60,"30 TO 60 MINS",calls[[#This Row],[Duration]]&lt;=120,"1 TO 2 HRS",TRUE,"MORE THAN 2 HRS")</f>
        <v>MORE THAN 2 HRS</v>
      </c>
      <c r="K549">
        <f>ROUND(calls[[#This Row],[Satisfaction Rating]],0)</f>
        <v>3</v>
      </c>
    </row>
    <row r="550" spans="1:11" x14ac:dyDescent="0.3">
      <c r="A550" s="41" t="s">
        <v>1601</v>
      </c>
      <c r="B550" s="10" t="s">
        <v>1040</v>
      </c>
      <c r="C550" s="10">
        <v>70</v>
      </c>
      <c r="D550" s="39" t="s">
        <v>1057</v>
      </c>
      <c r="E550" s="40">
        <v>45092</v>
      </c>
      <c r="F550" s="10">
        <v>116</v>
      </c>
      <c r="G550" s="42">
        <v>3.2</v>
      </c>
      <c r="H550">
        <f>IF(MONTH(calls[[#This Row],[Date of Call]])&lt;=6,YEAR(calls[[#This Row],[Date of Call]]),YEAR(calls[[#This Row],[Date of Call]])+1)</f>
        <v>2023</v>
      </c>
      <c r="I550" t="str">
        <f>TEXT(calls[[#This Row],[Date of Call]],"DDDD")</f>
        <v>Thursday</v>
      </c>
      <c r="J550" t="str" cm="1">
        <f t="array" ref="J550">_xlfn.IFS(calls[[#This Row],[Duration]]&lt;=10,"UNDER 10 MINS",calls[[#This Row],[Duration]]&lt;=30,"10 TO 30 MINS",calls[[#This Row],[Duration]]&lt;=60,"30 TO 60 MINS",calls[[#This Row],[Duration]]&lt;=120,"1 TO 2 HRS",TRUE,"MORE THAN 2 HRS")</f>
        <v>1 TO 2 HRS</v>
      </c>
      <c r="K550">
        <f>ROUND(calls[[#This Row],[Satisfaction Rating]],0)</f>
        <v>3</v>
      </c>
    </row>
    <row r="551" spans="1:11" x14ac:dyDescent="0.3">
      <c r="A551" s="41" t="s">
        <v>1602</v>
      </c>
      <c r="B551" s="10" t="s">
        <v>1079</v>
      </c>
      <c r="C551" s="10">
        <v>78</v>
      </c>
      <c r="D551" s="39" t="s">
        <v>1053</v>
      </c>
      <c r="E551" s="40">
        <v>45092</v>
      </c>
      <c r="F551" s="10">
        <v>28</v>
      </c>
      <c r="G551" s="42">
        <v>3.9</v>
      </c>
      <c r="H551">
        <f>IF(MONTH(calls[[#This Row],[Date of Call]])&lt;=6,YEAR(calls[[#This Row],[Date of Call]]),YEAR(calls[[#This Row],[Date of Call]])+1)</f>
        <v>2023</v>
      </c>
      <c r="I551" t="str">
        <f>TEXT(calls[[#This Row],[Date of Call]],"DDDD")</f>
        <v>Thursday</v>
      </c>
      <c r="J551" t="str" cm="1">
        <f t="array" ref="J551">_xlfn.IFS(calls[[#This Row],[Duration]]&lt;=10,"UNDER 10 MINS",calls[[#This Row],[Duration]]&lt;=30,"10 TO 30 MINS",calls[[#This Row],[Duration]]&lt;=60,"30 TO 60 MINS",calls[[#This Row],[Duration]]&lt;=120,"1 TO 2 HRS",TRUE,"MORE THAN 2 HRS")</f>
        <v>1 TO 2 HRS</v>
      </c>
      <c r="K551">
        <f>ROUND(calls[[#This Row],[Satisfaction Rating]],0)</f>
        <v>4</v>
      </c>
    </row>
    <row r="552" spans="1:11" x14ac:dyDescent="0.3">
      <c r="A552" s="41" t="s">
        <v>1603</v>
      </c>
      <c r="B552" s="10" t="s">
        <v>1047</v>
      </c>
      <c r="C552" s="10">
        <v>103</v>
      </c>
      <c r="D552" s="39" t="s">
        <v>1057</v>
      </c>
      <c r="E552" s="40">
        <v>45092</v>
      </c>
      <c r="F552" s="10">
        <v>120</v>
      </c>
      <c r="G552" s="42">
        <v>5</v>
      </c>
      <c r="H552">
        <f>IF(MONTH(calls[[#This Row],[Date of Call]])&lt;=6,YEAR(calls[[#This Row],[Date of Call]]),YEAR(calls[[#This Row],[Date of Call]])+1)</f>
        <v>2023</v>
      </c>
      <c r="I552" t="str">
        <f>TEXT(calls[[#This Row],[Date of Call]],"DDDD")</f>
        <v>Thursday</v>
      </c>
      <c r="J552" t="str" cm="1">
        <f t="array" ref="J552">_xlfn.IFS(calls[[#This Row],[Duration]]&lt;=10,"UNDER 10 MINS",calls[[#This Row],[Duration]]&lt;=30,"10 TO 30 MINS",calls[[#This Row],[Duration]]&lt;=60,"30 TO 60 MINS",calls[[#This Row],[Duration]]&lt;=120,"1 TO 2 HRS",TRUE,"MORE THAN 2 HRS")</f>
        <v>1 TO 2 HRS</v>
      </c>
      <c r="K552">
        <f>ROUND(calls[[#This Row],[Satisfaction Rating]],0)</f>
        <v>5</v>
      </c>
    </row>
    <row r="553" spans="1:11" x14ac:dyDescent="0.3">
      <c r="A553" s="41" t="s">
        <v>1604</v>
      </c>
      <c r="B553" s="10" t="s">
        <v>1042</v>
      </c>
      <c r="C553" s="10">
        <v>108</v>
      </c>
      <c r="D553" s="39" t="s">
        <v>1048</v>
      </c>
      <c r="E553" s="40">
        <v>45092</v>
      </c>
      <c r="F553" s="10">
        <v>56</v>
      </c>
      <c r="G553" s="42">
        <v>3.5</v>
      </c>
      <c r="H553">
        <f>IF(MONTH(calls[[#This Row],[Date of Call]])&lt;=6,YEAR(calls[[#This Row],[Date of Call]]),YEAR(calls[[#This Row],[Date of Call]])+1)</f>
        <v>2023</v>
      </c>
      <c r="I553" t="str">
        <f>TEXT(calls[[#This Row],[Date of Call]],"DDDD")</f>
        <v>Thursday</v>
      </c>
      <c r="J553" t="str" cm="1">
        <f t="array" ref="J553">_xlfn.IFS(calls[[#This Row],[Duration]]&lt;=10,"UNDER 10 MINS",calls[[#This Row],[Duration]]&lt;=30,"10 TO 30 MINS",calls[[#This Row],[Duration]]&lt;=60,"30 TO 60 MINS",calls[[#This Row],[Duration]]&lt;=120,"1 TO 2 HRS",TRUE,"MORE THAN 2 HRS")</f>
        <v>1 TO 2 HRS</v>
      </c>
      <c r="K553">
        <f>ROUND(calls[[#This Row],[Satisfaction Rating]],0)</f>
        <v>4</v>
      </c>
    </row>
    <row r="554" spans="1:11" x14ac:dyDescent="0.3">
      <c r="A554" s="41" t="s">
        <v>1605</v>
      </c>
      <c r="B554" s="10" t="s">
        <v>1042</v>
      </c>
      <c r="C554" s="10">
        <v>44</v>
      </c>
      <c r="D554" s="39" t="s">
        <v>1038</v>
      </c>
      <c r="E554" s="40">
        <v>45092</v>
      </c>
      <c r="F554" s="10">
        <v>170</v>
      </c>
      <c r="G554" s="42">
        <v>3.8</v>
      </c>
      <c r="H554">
        <f>IF(MONTH(calls[[#This Row],[Date of Call]])&lt;=6,YEAR(calls[[#This Row],[Date of Call]]),YEAR(calls[[#This Row],[Date of Call]])+1)</f>
        <v>2023</v>
      </c>
      <c r="I554" t="str">
        <f>TEXT(calls[[#This Row],[Date of Call]],"DDDD")</f>
        <v>Thursday</v>
      </c>
      <c r="J554" t="str" cm="1">
        <f t="array" ref="J554">_xlfn.IFS(calls[[#This Row],[Duration]]&lt;=10,"UNDER 10 MINS",calls[[#This Row],[Duration]]&lt;=30,"10 TO 30 MINS",calls[[#This Row],[Duration]]&lt;=60,"30 TO 60 MINS",calls[[#This Row],[Duration]]&lt;=120,"1 TO 2 HRS",TRUE,"MORE THAN 2 HRS")</f>
        <v>30 TO 60 MINS</v>
      </c>
      <c r="K554">
        <f>ROUND(calls[[#This Row],[Satisfaction Rating]],0)</f>
        <v>4</v>
      </c>
    </row>
    <row r="555" spans="1:11" x14ac:dyDescent="0.3">
      <c r="A555" s="41" t="s">
        <v>1606</v>
      </c>
      <c r="B555" s="10" t="s">
        <v>1079</v>
      </c>
      <c r="C555" s="10">
        <v>127</v>
      </c>
      <c r="D555" s="39" t="s">
        <v>1048</v>
      </c>
      <c r="E555" s="40">
        <v>45093</v>
      </c>
      <c r="F555" s="10">
        <v>200</v>
      </c>
      <c r="G555" s="42">
        <v>4.8</v>
      </c>
      <c r="H555">
        <f>IF(MONTH(calls[[#This Row],[Date of Call]])&lt;=6,YEAR(calls[[#This Row],[Date of Call]]),YEAR(calls[[#This Row],[Date of Call]])+1)</f>
        <v>2023</v>
      </c>
      <c r="I555" t="str">
        <f>TEXT(calls[[#This Row],[Date of Call]],"DDDD")</f>
        <v>Friday</v>
      </c>
      <c r="J555" t="str" cm="1">
        <f t="array" ref="J555">_xlfn.IFS(calls[[#This Row],[Duration]]&lt;=10,"UNDER 10 MINS",calls[[#This Row],[Duration]]&lt;=30,"10 TO 30 MINS",calls[[#This Row],[Duration]]&lt;=60,"30 TO 60 MINS",calls[[#This Row],[Duration]]&lt;=120,"1 TO 2 HRS",TRUE,"MORE THAN 2 HRS")</f>
        <v>MORE THAN 2 HRS</v>
      </c>
      <c r="K555">
        <f>ROUND(calls[[#This Row],[Satisfaction Rating]],0)</f>
        <v>5</v>
      </c>
    </row>
    <row r="556" spans="1:11" x14ac:dyDescent="0.3">
      <c r="A556" s="41" t="s">
        <v>1607</v>
      </c>
      <c r="B556" s="10" t="s">
        <v>1047</v>
      </c>
      <c r="C556" s="10">
        <v>132</v>
      </c>
      <c r="D556" s="39" t="s">
        <v>1057</v>
      </c>
      <c r="E556" s="40">
        <v>45094</v>
      </c>
      <c r="F556" s="10">
        <v>50</v>
      </c>
      <c r="G556" s="42">
        <v>4.2</v>
      </c>
      <c r="H556">
        <f>IF(MONTH(calls[[#This Row],[Date of Call]])&lt;=6,YEAR(calls[[#This Row],[Date of Call]]),YEAR(calls[[#This Row],[Date of Call]])+1)</f>
        <v>2023</v>
      </c>
      <c r="I556" t="str">
        <f>TEXT(calls[[#This Row],[Date of Call]],"DDDD")</f>
        <v>Saturday</v>
      </c>
      <c r="J556" t="str" cm="1">
        <f t="array" ref="J556">_xlfn.IFS(calls[[#This Row],[Duration]]&lt;=10,"UNDER 10 MINS",calls[[#This Row],[Duration]]&lt;=30,"10 TO 30 MINS",calls[[#This Row],[Duration]]&lt;=60,"30 TO 60 MINS",calls[[#This Row],[Duration]]&lt;=120,"1 TO 2 HRS",TRUE,"MORE THAN 2 HRS")</f>
        <v>MORE THAN 2 HRS</v>
      </c>
      <c r="K556">
        <f>ROUND(calls[[#This Row],[Satisfaction Rating]],0)</f>
        <v>4</v>
      </c>
    </row>
    <row r="557" spans="1:11" x14ac:dyDescent="0.3">
      <c r="A557" s="41" t="s">
        <v>1608</v>
      </c>
      <c r="B557" s="10" t="s">
        <v>1037</v>
      </c>
      <c r="C557" s="10">
        <v>106</v>
      </c>
      <c r="D557" s="39" t="s">
        <v>1053</v>
      </c>
      <c r="E557" s="40">
        <v>45094</v>
      </c>
      <c r="F557" s="10">
        <v>112</v>
      </c>
      <c r="G557" s="42">
        <v>3.7</v>
      </c>
      <c r="H557">
        <f>IF(MONTH(calls[[#This Row],[Date of Call]])&lt;=6,YEAR(calls[[#This Row],[Date of Call]]),YEAR(calls[[#This Row],[Date of Call]])+1)</f>
        <v>2023</v>
      </c>
      <c r="I557" t="str">
        <f>TEXT(calls[[#This Row],[Date of Call]],"DDDD")</f>
        <v>Saturday</v>
      </c>
      <c r="J557" t="str" cm="1">
        <f t="array" ref="J557">_xlfn.IFS(calls[[#This Row],[Duration]]&lt;=10,"UNDER 10 MINS",calls[[#This Row],[Duration]]&lt;=30,"10 TO 30 MINS",calls[[#This Row],[Duration]]&lt;=60,"30 TO 60 MINS",calls[[#This Row],[Duration]]&lt;=120,"1 TO 2 HRS",TRUE,"MORE THAN 2 HRS")</f>
        <v>1 TO 2 HRS</v>
      </c>
      <c r="K557">
        <f>ROUND(calls[[#This Row],[Satisfaction Rating]],0)</f>
        <v>4</v>
      </c>
    </row>
    <row r="558" spans="1:11" x14ac:dyDescent="0.3">
      <c r="A558" s="41" t="s">
        <v>1609</v>
      </c>
      <c r="B558" s="10" t="s">
        <v>1109</v>
      </c>
      <c r="C558" s="10">
        <v>107</v>
      </c>
      <c r="D558" s="39" t="s">
        <v>1057</v>
      </c>
      <c r="E558" s="40">
        <v>45095</v>
      </c>
      <c r="F558" s="10">
        <v>39</v>
      </c>
      <c r="G558" s="42">
        <v>4.8</v>
      </c>
      <c r="H558">
        <f>IF(MONTH(calls[[#This Row],[Date of Call]])&lt;=6,YEAR(calls[[#This Row],[Date of Call]]),YEAR(calls[[#This Row],[Date of Call]])+1)</f>
        <v>2023</v>
      </c>
      <c r="I558" t="str">
        <f>TEXT(calls[[#This Row],[Date of Call]],"DDDD")</f>
        <v>Sunday</v>
      </c>
      <c r="J558" t="str" cm="1">
        <f t="array" ref="J558">_xlfn.IFS(calls[[#This Row],[Duration]]&lt;=10,"UNDER 10 MINS",calls[[#This Row],[Duration]]&lt;=30,"10 TO 30 MINS",calls[[#This Row],[Duration]]&lt;=60,"30 TO 60 MINS",calls[[#This Row],[Duration]]&lt;=120,"1 TO 2 HRS",TRUE,"MORE THAN 2 HRS")</f>
        <v>1 TO 2 HRS</v>
      </c>
      <c r="K558">
        <f>ROUND(calls[[#This Row],[Satisfaction Rating]],0)</f>
        <v>5</v>
      </c>
    </row>
    <row r="559" spans="1:11" x14ac:dyDescent="0.3">
      <c r="A559" s="41" t="s">
        <v>1610</v>
      </c>
      <c r="B559" s="10" t="s">
        <v>1056</v>
      </c>
      <c r="C559" s="10">
        <v>85</v>
      </c>
      <c r="D559" s="39" t="s">
        <v>1053</v>
      </c>
      <c r="E559" s="40">
        <v>45095</v>
      </c>
      <c r="F559" s="10">
        <v>38</v>
      </c>
      <c r="G559" s="42">
        <v>4.8</v>
      </c>
      <c r="H559">
        <f>IF(MONTH(calls[[#This Row],[Date of Call]])&lt;=6,YEAR(calls[[#This Row],[Date of Call]]),YEAR(calls[[#This Row],[Date of Call]])+1)</f>
        <v>2023</v>
      </c>
      <c r="I559" t="str">
        <f>TEXT(calls[[#This Row],[Date of Call]],"DDDD")</f>
        <v>Sunday</v>
      </c>
      <c r="J559" t="str" cm="1">
        <f t="array" ref="J559">_xlfn.IFS(calls[[#This Row],[Duration]]&lt;=10,"UNDER 10 MINS",calls[[#This Row],[Duration]]&lt;=30,"10 TO 30 MINS",calls[[#This Row],[Duration]]&lt;=60,"30 TO 60 MINS",calls[[#This Row],[Duration]]&lt;=120,"1 TO 2 HRS",TRUE,"MORE THAN 2 HRS")</f>
        <v>1 TO 2 HRS</v>
      </c>
      <c r="K559">
        <f>ROUND(calls[[#This Row],[Satisfaction Rating]],0)</f>
        <v>5</v>
      </c>
    </row>
    <row r="560" spans="1:11" x14ac:dyDescent="0.3">
      <c r="A560" s="41" t="s">
        <v>1611</v>
      </c>
      <c r="B560" s="10" t="s">
        <v>1051</v>
      </c>
      <c r="C560" s="10">
        <v>49</v>
      </c>
      <c r="D560" s="39" t="s">
        <v>1057</v>
      </c>
      <c r="E560" s="40">
        <v>45096</v>
      </c>
      <c r="F560" s="10">
        <v>84</v>
      </c>
      <c r="G560" s="42">
        <v>2.9</v>
      </c>
      <c r="H560">
        <f>IF(MONTH(calls[[#This Row],[Date of Call]])&lt;=6,YEAR(calls[[#This Row],[Date of Call]]),YEAR(calls[[#This Row],[Date of Call]])+1)</f>
        <v>2023</v>
      </c>
      <c r="I560" t="str">
        <f>TEXT(calls[[#This Row],[Date of Call]],"DDDD")</f>
        <v>Monday</v>
      </c>
      <c r="J560" t="str" cm="1">
        <f t="array" ref="J560">_xlfn.IFS(calls[[#This Row],[Duration]]&lt;=10,"UNDER 10 MINS",calls[[#This Row],[Duration]]&lt;=30,"10 TO 30 MINS",calls[[#This Row],[Duration]]&lt;=60,"30 TO 60 MINS",calls[[#This Row],[Duration]]&lt;=120,"1 TO 2 HRS",TRUE,"MORE THAN 2 HRS")</f>
        <v>30 TO 60 MINS</v>
      </c>
      <c r="K560">
        <f>ROUND(calls[[#This Row],[Satisfaction Rating]],0)</f>
        <v>3</v>
      </c>
    </row>
    <row r="561" spans="1:11" x14ac:dyDescent="0.3">
      <c r="A561" s="41" t="s">
        <v>1612</v>
      </c>
      <c r="B561" s="10" t="s">
        <v>1062</v>
      </c>
      <c r="C561" s="10">
        <v>117</v>
      </c>
      <c r="D561" s="39" t="s">
        <v>1048</v>
      </c>
      <c r="E561" s="40">
        <v>45097</v>
      </c>
      <c r="F561" s="10">
        <v>82</v>
      </c>
      <c r="G561" s="42">
        <v>3.5</v>
      </c>
      <c r="H561">
        <f>IF(MONTH(calls[[#This Row],[Date of Call]])&lt;=6,YEAR(calls[[#This Row],[Date of Call]]),YEAR(calls[[#This Row],[Date of Call]])+1)</f>
        <v>2023</v>
      </c>
      <c r="I561" t="str">
        <f>TEXT(calls[[#This Row],[Date of Call]],"DDDD")</f>
        <v>Tuesday</v>
      </c>
      <c r="J561" t="str" cm="1">
        <f t="array" ref="J561">_xlfn.IFS(calls[[#This Row],[Duration]]&lt;=10,"UNDER 10 MINS",calls[[#This Row],[Duration]]&lt;=30,"10 TO 30 MINS",calls[[#This Row],[Duration]]&lt;=60,"30 TO 60 MINS",calls[[#This Row],[Duration]]&lt;=120,"1 TO 2 HRS",TRUE,"MORE THAN 2 HRS")</f>
        <v>1 TO 2 HRS</v>
      </c>
      <c r="K561">
        <f>ROUND(calls[[#This Row],[Satisfaction Rating]],0)</f>
        <v>4</v>
      </c>
    </row>
    <row r="562" spans="1:11" x14ac:dyDescent="0.3">
      <c r="A562" s="41" t="s">
        <v>1613</v>
      </c>
      <c r="B562" s="10" t="s">
        <v>1109</v>
      </c>
      <c r="C562" s="10">
        <v>136</v>
      </c>
      <c r="D562" s="39" t="s">
        <v>1053</v>
      </c>
      <c r="E562" s="40">
        <v>45097</v>
      </c>
      <c r="F562" s="10">
        <v>37</v>
      </c>
      <c r="G562" s="42">
        <v>0.9</v>
      </c>
      <c r="H562">
        <f>IF(MONTH(calls[[#This Row],[Date of Call]])&lt;=6,YEAR(calls[[#This Row],[Date of Call]]),YEAR(calls[[#This Row],[Date of Call]])+1)</f>
        <v>2023</v>
      </c>
      <c r="I562" t="str">
        <f>TEXT(calls[[#This Row],[Date of Call]],"DDDD")</f>
        <v>Tuesday</v>
      </c>
      <c r="J562" t="str" cm="1">
        <f t="array" ref="J562">_xlfn.IFS(calls[[#This Row],[Duration]]&lt;=10,"UNDER 10 MINS",calls[[#This Row],[Duration]]&lt;=30,"10 TO 30 MINS",calls[[#This Row],[Duration]]&lt;=60,"30 TO 60 MINS",calls[[#This Row],[Duration]]&lt;=120,"1 TO 2 HRS",TRUE,"MORE THAN 2 HRS")</f>
        <v>MORE THAN 2 HRS</v>
      </c>
      <c r="K562">
        <f>ROUND(calls[[#This Row],[Satisfaction Rating]],0)</f>
        <v>1</v>
      </c>
    </row>
    <row r="563" spans="1:11" x14ac:dyDescent="0.3">
      <c r="A563" s="41" t="s">
        <v>1614</v>
      </c>
      <c r="B563" s="10" t="s">
        <v>1042</v>
      </c>
      <c r="C563" s="10">
        <v>130</v>
      </c>
      <c r="D563" s="39" t="s">
        <v>1043</v>
      </c>
      <c r="E563" s="40">
        <v>45098</v>
      </c>
      <c r="F563" s="10">
        <v>87</v>
      </c>
      <c r="G563" s="42">
        <v>3.4</v>
      </c>
      <c r="H563">
        <f>IF(MONTH(calls[[#This Row],[Date of Call]])&lt;=6,YEAR(calls[[#This Row],[Date of Call]]),YEAR(calls[[#This Row],[Date of Call]])+1)</f>
        <v>2023</v>
      </c>
      <c r="I563" t="str">
        <f>TEXT(calls[[#This Row],[Date of Call]],"DDDD")</f>
        <v>Wednesday</v>
      </c>
      <c r="J563" t="str" cm="1">
        <f t="array" ref="J563">_xlfn.IFS(calls[[#This Row],[Duration]]&lt;=10,"UNDER 10 MINS",calls[[#This Row],[Duration]]&lt;=30,"10 TO 30 MINS",calls[[#This Row],[Duration]]&lt;=60,"30 TO 60 MINS",calls[[#This Row],[Duration]]&lt;=120,"1 TO 2 HRS",TRUE,"MORE THAN 2 HRS")</f>
        <v>MORE THAN 2 HRS</v>
      </c>
      <c r="K563">
        <f>ROUND(calls[[#This Row],[Satisfaction Rating]],0)</f>
        <v>3</v>
      </c>
    </row>
    <row r="564" spans="1:11" x14ac:dyDescent="0.3">
      <c r="A564" s="41" t="s">
        <v>1615</v>
      </c>
      <c r="B564" s="10" t="s">
        <v>1042</v>
      </c>
      <c r="C564" s="10">
        <v>73</v>
      </c>
      <c r="D564" s="39" t="s">
        <v>1043</v>
      </c>
      <c r="E564" s="40">
        <v>45098</v>
      </c>
      <c r="F564" s="10">
        <v>75</v>
      </c>
      <c r="G564" s="42">
        <v>2.7</v>
      </c>
      <c r="H564">
        <f>IF(MONTH(calls[[#This Row],[Date of Call]])&lt;=6,YEAR(calls[[#This Row],[Date of Call]]),YEAR(calls[[#This Row],[Date of Call]])+1)</f>
        <v>2023</v>
      </c>
      <c r="I564" t="str">
        <f>TEXT(calls[[#This Row],[Date of Call]],"DDDD")</f>
        <v>Wednesday</v>
      </c>
      <c r="J564" t="str" cm="1">
        <f t="array" ref="J564">_xlfn.IFS(calls[[#This Row],[Duration]]&lt;=10,"UNDER 10 MINS",calls[[#This Row],[Duration]]&lt;=30,"10 TO 30 MINS",calls[[#This Row],[Duration]]&lt;=60,"30 TO 60 MINS",calls[[#This Row],[Duration]]&lt;=120,"1 TO 2 HRS",TRUE,"MORE THAN 2 HRS")</f>
        <v>1 TO 2 HRS</v>
      </c>
      <c r="K564">
        <f>ROUND(calls[[#This Row],[Satisfaction Rating]],0)</f>
        <v>3</v>
      </c>
    </row>
    <row r="565" spans="1:11" x14ac:dyDescent="0.3">
      <c r="A565" s="41" t="s">
        <v>1616</v>
      </c>
      <c r="B565" s="10" t="s">
        <v>1051</v>
      </c>
      <c r="C565" s="10">
        <v>80</v>
      </c>
      <c r="D565" s="39" t="s">
        <v>1057</v>
      </c>
      <c r="E565" s="40">
        <v>45098</v>
      </c>
      <c r="F565" s="10">
        <v>32</v>
      </c>
      <c r="G565" s="42">
        <v>4.7</v>
      </c>
      <c r="H565">
        <f>IF(MONTH(calls[[#This Row],[Date of Call]])&lt;=6,YEAR(calls[[#This Row],[Date of Call]]),YEAR(calls[[#This Row],[Date of Call]])+1)</f>
        <v>2023</v>
      </c>
      <c r="I565" t="str">
        <f>TEXT(calls[[#This Row],[Date of Call]],"DDDD")</f>
        <v>Wednesday</v>
      </c>
      <c r="J565" t="str" cm="1">
        <f t="array" ref="J565">_xlfn.IFS(calls[[#This Row],[Duration]]&lt;=10,"UNDER 10 MINS",calls[[#This Row],[Duration]]&lt;=30,"10 TO 30 MINS",calls[[#This Row],[Duration]]&lt;=60,"30 TO 60 MINS",calls[[#This Row],[Duration]]&lt;=120,"1 TO 2 HRS",TRUE,"MORE THAN 2 HRS")</f>
        <v>1 TO 2 HRS</v>
      </c>
      <c r="K565">
        <f>ROUND(calls[[#This Row],[Satisfaction Rating]],0)</f>
        <v>5</v>
      </c>
    </row>
    <row r="566" spans="1:11" x14ac:dyDescent="0.3">
      <c r="A566" s="41" t="s">
        <v>1617</v>
      </c>
      <c r="B566" s="10" t="s">
        <v>1089</v>
      </c>
      <c r="C566" s="10">
        <v>44</v>
      </c>
      <c r="D566" s="39" t="s">
        <v>1048</v>
      </c>
      <c r="E566" s="40">
        <v>45098</v>
      </c>
      <c r="F566" s="10">
        <v>33</v>
      </c>
      <c r="G566" s="42">
        <v>3</v>
      </c>
      <c r="H566">
        <f>IF(MONTH(calls[[#This Row],[Date of Call]])&lt;=6,YEAR(calls[[#This Row],[Date of Call]]),YEAR(calls[[#This Row],[Date of Call]])+1)</f>
        <v>2023</v>
      </c>
      <c r="I566" t="str">
        <f>TEXT(calls[[#This Row],[Date of Call]],"DDDD")</f>
        <v>Wednesday</v>
      </c>
      <c r="J566" t="str" cm="1">
        <f t="array" ref="J566">_xlfn.IFS(calls[[#This Row],[Duration]]&lt;=10,"UNDER 10 MINS",calls[[#This Row],[Duration]]&lt;=30,"10 TO 30 MINS",calls[[#This Row],[Duration]]&lt;=60,"30 TO 60 MINS",calls[[#This Row],[Duration]]&lt;=120,"1 TO 2 HRS",TRUE,"MORE THAN 2 HRS")</f>
        <v>30 TO 60 MINS</v>
      </c>
      <c r="K566">
        <f>ROUND(calls[[#This Row],[Satisfaction Rating]],0)</f>
        <v>3</v>
      </c>
    </row>
    <row r="567" spans="1:11" x14ac:dyDescent="0.3">
      <c r="A567" s="41" t="s">
        <v>1618</v>
      </c>
      <c r="B567" s="10" t="s">
        <v>1089</v>
      </c>
      <c r="C567" s="10">
        <v>102</v>
      </c>
      <c r="D567" s="39" t="s">
        <v>1038</v>
      </c>
      <c r="E567" s="40">
        <v>45098</v>
      </c>
      <c r="F567" s="10">
        <v>76</v>
      </c>
      <c r="G567" s="42">
        <v>4.2</v>
      </c>
      <c r="H567">
        <f>IF(MONTH(calls[[#This Row],[Date of Call]])&lt;=6,YEAR(calls[[#This Row],[Date of Call]]),YEAR(calls[[#This Row],[Date of Call]])+1)</f>
        <v>2023</v>
      </c>
      <c r="I567" t="str">
        <f>TEXT(calls[[#This Row],[Date of Call]],"DDDD")</f>
        <v>Wednesday</v>
      </c>
      <c r="J567" t="str" cm="1">
        <f t="array" ref="J567">_xlfn.IFS(calls[[#This Row],[Duration]]&lt;=10,"UNDER 10 MINS",calls[[#This Row],[Duration]]&lt;=30,"10 TO 30 MINS",calls[[#This Row],[Duration]]&lt;=60,"30 TO 60 MINS",calls[[#This Row],[Duration]]&lt;=120,"1 TO 2 HRS",TRUE,"MORE THAN 2 HRS")</f>
        <v>1 TO 2 HRS</v>
      </c>
      <c r="K567">
        <f>ROUND(calls[[#This Row],[Satisfaction Rating]],0)</f>
        <v>4</v>
      </c>
    </row>
    <row r="568" spans="1:11" x14ac:dyDescent="0.3">
      <c r="A568" s="41" t="s">
        <v>1619</v>
      </c>
      <c r="B568" s="10" t="s">
        <v>1076</v>
      </c>
      <c r="C568" s="10">
        <v>74</v>
      </c>
      <c r="D568" s="39" t="s">
        <v>1038</v>
      </c>
      <c r="E568" s="40">
        <v>45098</v>
      </c>
      <c r="F568" s="10">
        <v>117</v>
      </c>
      <c r="G568" s="42">
        <v>4.8</v>
      </c>
      <c r="H568">
        <f>IF(MONTH(calls[[#This Row],[Date of Call]])&lt;=6,YEAR(calls[[#This Row],[Date of Call]]),YEAR(calls[[#This Row],[Date of Call]])+1)</f>
        <v>2023</v>
      </c>
      <c r="I568" t="str">
        <f>TEXT(calls[[#This Row],[Date of Call]],"DDDD")</f>
        <v>Wednesday</v>
      </c>
      <c r="J568" t="str" cm="1">
        <f t="array" ref="J568">_xlfn.IFS(calls[[#This Row],[Duration]]&lt;=10,"UNDER 10 MINS",calls[[#This Row],[Duration]]&lt;=30,"10 TO 30 MINS",calls[[#This Row],[Duration]]&lt;=60,"30 TO 60 MINS",calls[[#This Row],[Duration]]&lt;=120,"1 TO 2 HRS",TRUE,"MORE THAN 2 HRS")</f>
        <v>1 TO 2 HRS</v>
      </c>
      <c r="K568">
        <f>ROUND(calls[[#This Row],[Satisfaction Rating]],0)</f>
        <v>5</v>
      </c>
    </row>
    <row r="569" spans="1:11" x14ac:dyDescent="0.3">
      <c r="A569" s="41" t="s">
        <v>1620</v>
      </c>
      <c r="B569" s="10" t="s">
        <v>1051</v>
      </c>
      <c r="C569" s="10">
        <v>52</v>
      </c>
      <c r="D569" s="39" t="s">
        <v>1048</v>
      </c>
      <c r="E569" s="40">
        <v>45100</v>
      </c>
      <c r="F569" s="10">
        <v>70</v>
      </c>
      <c r="G569" s="42">
        <v>4.0999999999999996</v>
      </c>
      <c r="H569">
        <f>IF(MONTH(calls[[#This Row],[Date of Call]])&lt;=6,YEAR(calls[[#This Row],[Date of Call]]),YEAR(calls[[#This Row],[Date of Call]])+1)</f>
        <v>2023</v>
      </c>
      <c r="I569" t="str">
        <f>TEXT(calls[[#This Row],[Date of Call]],"DDDD")</f>
        <v>Friday</v>
      </c>
      <c r="J569" t="str" cm="1">
        <f t="array" ref="J569">_xlfn.IFS(calls[[#This Row],[Duration]]&lt;=10,"UNDER 10 MINS",calls[[#This Row],[Duration]]&lt;=30,"10 TO 30 MINS",calls[[#This Row],[Duration]]&lt;=60,"30 TO 60 MINS",calls[[#This Row],[Duration]]&lt;=120,"1 TO 2 HRS",TRUE,"MORE THAN 2 HRS")</f>
        <v>30 TO 60 MINS</v>
      </c>
      <c r="K569">
        <f>ROUND(calls[[#This Row],[Satisfaction Rating]],0)</f>
        <v>4</v>
      </c>
    </row>
    <row r="570" spans="1:11" x14ac:dyDescent="0.3">
      <c r="A570" s="41" t="s">
        <v>1621</v>
      </c>
      <c r="B570" s="10" t="s">
        <v>1051</v>
      </c>
      <c r="C570" s="10">
        <v>74</v>
      </c>
      <c r="D570" s="39" t="s">
        <v>1043</v>
      </c>
      <c r="E570" s="40">
        <v>45100</v>
      </c>
      <c r="F570" s="10">
        <v>37</v>
      </c>
      <c r="G570" s="42">
        <v>2.7</v>
      </c>
      <c r="H570">
        <f>IF(MONTH(calls[[#This Row],[Date of Call]])&lt;=6,YEAR(calls[[#This Row],[Date of Call]]),YEAR(calls[[#This Row],[Date of Call]])+1)</f>
        <v>2023</v>
      </c>
      <c r="I570" t="str">
        <f>TEXT(calls[[#This Row],[Date of Call]],"DDDD")</f>
        <v>Friday</v>
      </c>
      <c r="J570" t="str" cm="1">
        <f t="array" ref="J570">_xlfn.IFS(calls[[#This Row],[Duration]]&lt;=10,"UNDER 10 MINS",calls[[#This Row],[Duration]]&lt;=30,"10 TO 30 MINS",calls[[#This Row],[Duration]]&lt;=60,"30 TO 60 MINS",calls[[#This Row],[Duration]]&lt;=120,"1 TO 2 HRS",TRUE,"MORE THAN 2 HRS")</f>
        <v>1 TO 2 HRS</v>
      </c>
      <c r="K570">
        <f>ROUND(calls[[#This Row],[Satisfaction Rating]],0)</f>
        <v>3</v>
      </c>
    </row>
    <row r="571" spans="1:11" x14ac:dyDescent="0.3">
      <c r="A571" s="41" t="s">
        <v>1622</v>
      </c>
      <c r="B571" s="10" t="s">
        <v>1042</v>
      </c>
      <c r="C571" s="10">
        <v>96</v>
      </c>
      <c r="D571" s="39" t="s">
        <v>1038</v>
      </c>
      <c r="E571" s="40">
        <v>45100</v>
      </c>
      <c r="F571" s="10">
        <v>46</v>
      </c>
      <c r="G571" s="42">
        <v>2.9</v>
      </c>
      <c r="H571">
        <f>IF(MONTH(calls[[#This Row],[Date of Call]])&lt;=6,YEAR(calls[[#This Row],[Date of Call]]),YEAR(calls[[#This Row],[Date of Call]])+1)</f>
        <v>2023</v>
      </c>
      <c r="I571" t="str">
        <f>TEXT(calls[[#This Row],[Date of Call]],"DDDD")</f>
        <v>Friday</v>
      </c>
      <c r="J571" t="str" cm="1">
        <f t="array" ref="J571">_xlfn.IFS(calls[[#This Row],[Duration]]&lt;=10,"UNDER 10 MINS",calls[[#This Row],[Duration]]&lt;=30,"10 TO 30 MINS",calls[[#This Row],[Duration]]&lt;=60,"30 TO 60 MINS",calls[[#This Row],[Duration]]&lt;=120,"1 TO 2 HRS",TRUE,"MORE THAN 2 HRS")</f>
        <v>1 TO 2 HRS</v>
      </c>
      <c r="K571">
        <f>ROUND(calls[[#This Row],[Satisfaction Rating]],0)</f>
        <v>3</v>
      </c>
    </row>
    <row r="572" spans="1:11" x14ac:dyDescent="0.3">
      <c r="A572" s="41" t="s">
        <v>1623</v>
      </c>
      <c r="B572" s="10" t="s">
        <v>1060</v>
      </c>
      <c r="C572" s="10">
        <v>104</v>
      </c>
      <c r="D572" s="39" t="s">
        <v>1057</v>
      </c>
      <c r="E572" s="40">
        <v>45100</v>
      </c>
      <c r="F572" s="10">
        <v>136</v>
      </c>
      <c r="G572" s="42">
        <v>5</v>
      </c>
      <c r="H572">
        <f>IF(MONTH(calls[[#This Row],[Date of Call]])&lt;=6,YEAR(calls[[#This Row],[Date of Call]]),YEAR(calls[[#This Row],[Date of Call]])+1)</f>
        <v>2023</v>
      </c>
      <c r="I572" t="str">
        <f>TEXT(calls[[#This Row],[Date of Call]],"DDDD")</f>
        <v>Friday</v>
      </c>
      <c r="J572" t="str" cm="1">
        <f t="array" ref="J572">_xlfn.IFS(calls[[#This Row],[Duration]]&lt;=10,"UNDER 10 MINS",calls[[#This Row],[Duration]]&lt;=30,"10 TO 30 MINS",calls[[#This Row],[Duration]]&lt;=60,"30 TO 60 MINS",calls[[#This Row],[Duration]]&lt;=120,"1 TO 2 HRS",TRUE,"MORE THAN 2 HRS")</f>
        <v>1 TO 2 HRS</v>
      </c>
      <c r="K572">
        <f>ROUND(calls[[#This Row],[Satisfaction Rating]],0)</f>
        <v>5</v>
      </c>
    </row>
    <row r="573" spans="1:11" x14ac:dyDescent="0.3">
      <c r="A573" s="41" t="s">
        <v>1624</v>
      </c>
      <c r="B573" s="10" t="s">
        <v>1042</v>
      </c>
      <c r="C573" s="10">
        <v>123</v>
      </c>
      <c r="D573" s="39" t="s">
        <v>1038</v>
      </c>
      <c r="E573" s="40">
        <v>45101</v>
      </c>
      <c r="F573" s="10">
        <v>44</v>
      </c>
      <c r="G573" s="42">
        <v>4.5999999999999996</v>
      </c>
      <c r="H573">
        <f>IF(MONTH(calls[[#This Row],[Date of Call]])&lt;=6,YEAR(calls[[#This Row],[Date of Call]]),YEAR(calls[[#This Row],[Date of Call]])+1)</f>
        <v>2023</v>
      </c>
      <c r="I573" t="str">
        <f>TEXT(calls[[#This Row],[Date of Call]],"DDDD")</f>
        <v>Saturday</v>
      </c>
      <c r="J573" t="str" cm="1">
        <f t="array" ref="J573">_xlfn.IFS(calls[[#This Row],[Duration]]&lt;=10,"UNDER 10 MINS",calls[[#This Row],[Duration]]&lt;=30,"10 TO 30 MINS",calls[[#This Row],[Duration]]&lt;=60,"30 TO 60 MINS",calls[[#This Row],[Duration]]&lt;=120,"1 TO 2 HRS",TRUE,"MORE THAN 2 HRS")</f>
        <v>MORE THAN 2 HRS</v>
      </c>
      <c r="K573">
        <f>ROUND(calls[[#This Row],[Satisfaction Rating]],0)</f>
        <v>5</v>
      </c>
    </row>
    <row r="574" spans="1:11" x14ac:dyDescent="0.3">
      <c r="A574" s="41" t="s">
        <v>1625</v>
      </c>
      <c r="B574" s="10" t="s">
        <v>1068</v>
      </c>
      <c r="C574" s="10">
        <v>100</v>
      </c>
      <c r="D574" s="39" t="s">
        <v>1053</v>
      </c>
      <c r="E574" s="40">
        <v>45101</v>
      </c>
      <c r="F574" s="10">
        <v>69</v>
      </c>
      <c r="G574" s="42">
        <v>3</v>
      </c>
      <c r="H574">
        <f>IF(MONTH(calls[[#This Row],[Date of Call]])&lt;=6,YEAR(calls[[#This Row],[Date of Call]]),YEAR(calls[[#This Row],[Date of Call]])+1)</f>
        <v>2023</v>
      </c>
      <c r="I574" t="str">
        <f>TEXT(calls[[#This Row],[Date of Call]],"DDDD")</f>
        <v>Saturday</v>
      </c>
      <c r="J574" t="str" cm="1">
        <f t="array" ref="J574">_xlfn.IFS(calls[[#This Row],[Duration]]&lt;=10,"UNDER 10 MINS",calls[[#This Row],[Duration]]&lt;=30,"10 TO 30 MINS",calls[[#This Row],[Duration]]&lt;=60,"30 TO 60 MINS",calls[[#This Row],[Duration]]&lt;=120,"1 TO 2 HRS",TRUE,"MORE THAN 2 HRS")</f>
        <v>1 TO 2 HRS</v>
      </c>
      <c r="K574">
        <f>ROUND(calls[[#This Row],[Satisfaction Rating]],0)</f>
        <v>3</v>
      </c>
    </row>
    <row r="575" spans="1:11" x14ac:dyDescent="0.3">
      <c r="A575" s="41" t="s">
        <v>1626</v>
      </c>
      <c r="B575" s="10" t="s">
        <v>1060</v>
      </c>
      <c r="C575" s="10">
        <v>35</v>
      </c>
      <c r="D575" s="39" t="s">
        <v>1048</v>
      </c>
      <c r="E575" s="40">
        <v>45102</v>
      </c>
      <c r="F575" s="10">
        <v>86</v>
      </c>
      <c r="G575" s="42">
        <v>4.5999999999999996</v>
      </c>
      <c r="H575">
        <f>IF(MONTH(calls[[#This Row],[Date of Call]])&lt;=6,YEAR(calls[[#This Row],[Date of Call]]),YEAR(calls[[#This Row],[Date of Call]])+1)</f>
        <v>2023</v>
      </c>
      <c r="I575" t="str">
        <f>TEXT(calls[[#This Row],[Date of Call]],"DDDD")</f>
        <v>Sunday</v>
      </c>
      <c r="J575" t="str" cm="1">
        <f t="array" ref="J575">_xlfn.IFS(calls[[#This Row],[Duration]]&lt;=10,"UNDER 10 MINS",calls[[#This Row],[Duration]]&lt;=30,"10 TO 30 MINS",calls[[#This Row],[Duration]]&lt;=60,"30 TO 60 MINS",calls[[#This Row],[Duration]]&lt;=120,"1 TO 2 HRS",TRUE,"MORE THAN 2 HRS")</f>
        <v>30 TO 60 MINS</v>
      </c>
      <c r="K575">
        <f>ROUND(calls[[#This Row],[Satisfaction Rating]],0)</f>
        <v>5</v>
      </c>
    </row>
    <row r="576" spans="1:11" x14ac:dyDescent="0.3">
      <c r="A576" s="41" t="s">
        <v>1627</v>
      </c>
      <c r="B576" s="10" t="s">
        <v>1051</v>
      </c>
      <c r="C576" s="10">
        <v>123</v>
      </c>
      <c r="D576" s="39" t="s">
        <v>1057</v>
      </c>
      <c r="E576" s="40">
        <v>45102</v>
      </c>
      <c r="F576" s="10">
        <v>68</v>
      </c>
      <c r="G576" s="42">
        <v>4.5</v>
      </c>
      <c r="H576">
        <f>IF(MONTH(calls[[#This Row],[Date of Call]])&lt;=6,YEAR(calls[[#This Row],[Date of Call]]),YEAR(calls[[#This Row],[Date of Call]])+1)</f>
        <v>2023</v>
      </c>
      <c r="I576" t="str">
        <f>TEXT(calls[[#This Row],[Date of Call]],"DDDD")</f>
        <v>Sunday</v>
      </c>
      <c r="J576" t="str" cm="1">
        <f t="array" ref="J576">_xlfn.IFS(calls[[#This Row],[Duration]]&lt;=10,"UNDER 10 MINS",calls[[#This Row],[Duration]]&lt;=30,"10 TO 30 MINS",calls[[#This Row],[Duration]]&lt;=60,"30 TO 60 MINS",calls[[#This Row],[Duration]]&lt;=120,"1 TO 2 HRS",TRUE,"MORE THAN 2 HRS")</f>
        <v>MORE THAN 2 HRS</v>
      </c>
      <c r="K576">
        <f>ROUND(calls[[#This Row],[Satisfaction Rating]],0)</f>
        <v>5</v>
      </c>
    </row>
    <row r="577" spans="1:11" x14ac:dyDescent="0.3">
      <c r="A577" s="41" t="s">
        <v>1628</v>
      </c>
      <c r="B577" s="10" t="s">
        <v>1062</v>
      </c>
      <c r="C577" s="10">
        <v>133</v>
      </c>
      <c r="D577" s="39" t="s">
        <v>1048</v>
      </c>
      <c r="E577" s="40">
        <v>45103</v>
      </c>
      <c r="F577" s="10">
        <v>21</v>
      </c>
      <c r="G577" s="42">
        <v>3.7</v>
      </c>
      <c r="H577">
        <f>IF(MONTH(calls[[#This Row],[Date of Call]])&lt;=6,YEAR(calls[[#This Row],[Date of Call]]),YEAR(calls[[#This Row],[Date of Call]])+1)</f>
        <v>2023</v>
      </c>
      <c r="I577" t="str">
        <f>TEXT(calls[[#This Row],[Date of Call]],"DDDD")</f>
        <v>Monday</v>
      </c>
      <c r="J577" t="str" cm="1">
        <f t="array" ref="J577">_xlfn.IFS(calls[[#This Row],[Duration]]&lt;=10,"UNDER 10 MINS",calls[[#This Row],[Duration]]&lt;=30,"10 TO 30 MINS",calls[[#This Row],[Duration]]&lt;=60,"30 TO 60 MINS",calls[[#This Row],[Duration]]&lt;=120,"1 TO 2 HRS",TRUE,"MORE THAN 2 HRS")</f>
        <v>MORE THAN 2 HRS</v>
      </c>
      <c r="K577">
        <f>ROUND(calls[[#This Row],[Satisfaction Rating]],0)</f>
        <v>4</v>
      </c>
    </row>
    <row r="578" spans="1:11" x14ac:dyDescent="0.3">
      <c r="A578" s="41" t="s">
        <v>1629</v>
      </c>
      <c r="B578" s="10" t="s">
        <v>1042</v>
      </c>
      <c r="C578" s="10">
        <v>126</v>
      </c>
      <c r="D578" s="39" t="s">
        <v>1043</v>
      </c>
      <c r="E578" s="40">
        <v>45103</v>
      </c>
      <c r="F578" s="10">
        <v>190</v>
      </c>
      <c r="G578" s="42">
        <v>2.4</v>
      </c>
      <c r="H578">
        <f>IF(MONTH(calls[[#This Row],[Date of Call]])&lt;=6,YEAR(calls[[#This Row],[Date of Call]]),YEAR(calls[[#This Row],[Date of Call]])+1)</f>
        <v>2023</v>
      </c>
      <c r="I578" t="str">
        <f>TEXT(calls[[#This Row],[Date of Call]],"DDDD")</f>
        <v>Monday</v>
      </c>
      <c r="J578" t="str" cm="1">
        <f t="array" ref="J578">_xlfn.IFS(calls[[#This Row],[Duration]]&lt;=10,"UNDER 10 MINS",calls[[#This Row],[Duration]]&lt;=30,"10 TO 30 MINS",calls[[#This Row],[Duration]]&lt;=60,"30 TO 60 MINS",calls[[#This Row],[Duration]]&lt;=120,"1 TO 2 HRS",TRUE,"MORE THAN 2 HRS")</f>
        <v>MORE THAN 2 HRS</v>
      </c>
      <c r="K578">
        <f>ROUND(calls[[#This Row],[Satisfaction Rating]],0)</f>
        <v>2</v>
      </c>
    </row>
    <row r="579" spans="1:11" x14ac:dyDescent="0.3">
      <c r="A579" s="41" t="s">
        <v>1630</v>
      </c>
      <c r="B579" s="10" t="s">
        <v>1051</v>
      </c>
      <c r="C579" s="10">
        <v>39</v>
      </c>
      <c r="D579" s="39" t="s">
        <v>1038</v>
      </c>
      <c r="E579" s="40">
        <v>45103</v>
      </c>
      <c r="F579" s="10">
        <v>176</v>
      </c>
      <c r="G579" s="42">
        <v>4.3</v>
      </c>
      <c r="H579">
        <f>IF(MONTH(calls[[#This Row],[Date of Call]])&lt;=6,YEAR(calls[[#This Row],[Date of Call]]),YEAR(calls[[#This Row],[Date of Call]])+1)</f>
        <v>2023</v>
      </c>
      <c r="I579" t="str">
        <f>TEXT(calls[[#This Row],[Date of Call]],"DDDD")</f>
        <v>Monday</v>
      </c>
      <c r="J579" t="str" cm="1">
        <f t="array" ref="J579">_xlfn.IFS(calls[[#This Row],[Duration]]&lt;=10,"UNDER 10 MINS",calls[[#This Row],[Duration]]&lt;=30,"10 TO 30 MINS",calls[[#This Row],[Duration]]&lt;=60,"30 TO 60 MINS",calls[[#This Row],[Duration]]&lt;=120,"1 TO 2 HRS",TRUE,"MORE THAN 2 HRS")</f>
        <v>30 TO 60 MINS</v>
      </c>
      <c r="K579">
        <f>ROUND(calls[[#This Row],[Satisfaction Rating]],0)</f>
        <v>4</v>
      </c>
    </row>
    <row r="580" spans="1:11" x14ac:dyDescent="0.3">
      <c r="A580" s="41" t="s">
        <v>1631</v>
      </c>
      <c r="B580" s="10" t="s">
        <v>1076</v>
      </c>
      <c r="C580" s="10">
        <v>31</v>
      </c>
      <c r="D580" s="39" t="s">
        <v>1057</v>
      </c>
      <c r="E580" s="40">
        <v>45103</v>
      </c>
      <c r="F580" s="10">
        <v>172</v>
      </c>
      <c r="G580" s="42">
        <v>3.9</v>
      </c>
      <c r="H580">
        <f>IF(MONTH(calls[[#This Row],[Date of Call]])&lt;=6,YEAR(calls[[#This Row],[Date of Call]]),YEAR(calls[[#This Row],[Date of Call]])+1)</f>
        <v>2023</v>
      </c>
      <c r="I580" t="str">
        <f>TEXT(calls[[#This Row],[Date of Call]],"DDDD")</f>
        <v>Monday</v>
      </c>
      <c r="J580" t="str" cm="1">
        <f t="array" ref="J580">_xlfn.IFS(calls[[#This Row],[Duration]]&lt;=10,"UNDER 10 MINS",calls[[#This Row],[Duration]]&lt;=30,"10 TO 30 MINS",calls[[#This Row],[Duration]]&lt;=60,"30 TO 60 MINS",calls[[#This Row],[Duration]]&lt;=120,"1 TO 2 HRS",TRUE,"MORE THAN 2 HRS")</f>
        <v>30 TO 60 MINS</v>
      </c>
      <c r="K580">
        <f>ROUND(calls[[#This Row],[Satisfaction Rating]],0)</f>
        <v>4</v>
      </c>
    </row>
    <row r="581" spans="1:11" x14ac:dyDescent="0.3">
      <c r="A581" s="41" t="s">
        <v>1632</v>
      </c>
      <c r="B581" s="10" t="s">
        <v>1047</v>
      </c>
      <c r="C581" s="10">
        <v>25</v>
      </c>
      <c r="D581" s="39" t="s">
        <v>1048</v>
      </c>
      <c r="E581" s="40">
        <v>45103</v>
      </c>
      <c r="F581" s="10">
        <v>84</v>
      </c>
      <c r="G581" s="42">
        <v>4.5</v>
      </c>
      <c r="H581">
        <f>IF(MONTH(calls[[#This Row],[Date of Call]])&lt;=6,YEAR(calls[[#This Row],[Date of Call]]),YEAR(calls[[#This Row],[Date of Call]])+1)</f>
        <v>2023</v>
      </c>
      <c r="I581" t="str">
        <f>TEXT(calls[[#This Row],[Date of Call]],"DDDD")</f>
        <v>Monday</v>
      </c>
      <c r="J581" t="str" cm="1">
        <f t="array" ref="J581">_xlfn.IFS(calls[[#This Row],[Duration]]&lt;=10,"UNDER 10 MINS",calls[[#This Row],[Duration]]&lt;=30,"10 TO 30 MINS",calls[[#This Row],[Duration]]&lt;=60,"30 TO 60 MINS",calls[[#This Row],[Duration]]&lt;=120,"1 TO 2 HRS",TRUE,"MORE THAN 2 HRS")</f>
        <v>10 TO 30 MINS</v>
      </c>
      <c r="K581">
        <f>ROUND(calls[[#This Row],[Satisfaction Rating]],0)</f>
        <v>5</v>
      </c>
    </row>
    <row r="582" spans="1:11" x14ac:dyDescent="0.3">
      <c r="A582" s="41" t="s">
        <v>1633</v>
      </c>
      <c r="B582" s="10" t="s">
        <v>1040</v>
      </c>
      <c r="C582" s="10">
        <v>132</v>
      </c>
      <c r="D582" s="39" t="s">
        <v>1053</v>
      </c>
      <c r="E582" s="40">
        <v>45104</v>
      </c>
      <c r="F582" s="10">
        <v>42</v>
      </c>
      <c r="G582" s="42">
        <v>5</v>
      </c>
      <c r="H582">
        <f>IF(MONTH(calls[[#This Row],[Date of Call]])&lt;=6,YEAR(calls[[#This Row],[Date of Call]]),YEAR(calls[[#This Row],[Date of Call]])+1)</f>
        <v>2023</v>
      </c>
      <c r="I582" t="str">
        <f>TEXT(calls[[#This Row],[Date of Call]],"DDDD")</f>
        <v>Tuesday</v>
      </c>
      <c r="J582" t="str" cm="1">
        <f t="array" ref="J582">_xlfn.IFS(calls[[#This Row],[Duration]]&lt;=10,"UNDER 10 MINS",calls[[#This Row],[Duration]]&lt;=30,"10 TO 30 MINS",calls[[#This Row],[Duration]]&lt;=60,"30 TO 60 MINS",calls[[#This Row],[Duration]]&lt;=120,"1 TO 2 HRS",TRUE,"MORE THAN 2 HRS")</f>
        <v>MORE THAN 2 HRS</v>
      </c>
      <c r="K582">
        <f>ROUND(calls[[#This Row],[Satisfaction Rating]],0)</f>
        <v>5</v>
      </c>
    </row>
    <row r="583" spans="1:11" x14ac:dyDescent="0.3">
      <c r="A583" s="41" t="s">
        <v>1634</v>
      </c>
      <c r="B583" s="10" t="s">
        <v>1060</v>
      </c>
      <c r="C583" s="10">
        <v>63</v>
      </c>
      <c r="D583" s="39" t="s">
        <v>1043</v>
      </c>
      <c r="E583" s="40">
        <v>45104</v>
      </c>
      <c r="F583" s="10">
        <v>70</v>
      </c>
      <c r="G583" s="42">
        <v>1.6</v>
      </c>
      <c r="H583">
        <f>IF(MONTH(calls[[#This Row],[Date of Call]])&lt;=6,YEAR(calls[[#This Row],[Date of Call]]),YEAR(calls[[#This Row],[Date of Call]])+1)</f>
        <v>2023</v>
      </c>
      <c r="I583" t="str">
        <f>TEXT(calls[[#This Row],[Date of Call]],"DDDD")</f>
        <v>Tuesday</v>
      </c>
      <c r="J583" t="str" cm="1">
        <f t="array" ref="J583">_xlfn.IFS(calls[[#This Row],[Duration]]&lt;=10,"UNDER 10 MINS",calls[[#This Row],[Duration]]&lt;=30,"10 TO 30 MINS",calls[[#This Row],[Duration]]&lt;=60,"30 TO 60 MINS",calls[[#This Row],[Duration]]&lt;=120,"1 TO 2 HRS",TRUE,"MORE THAN 2 HRS")</f>
        <v>1 TO 2 HRS</v>
      </c>
      <c r="K583">
        <f>ROUND(calls[[#This Row],[Satisfaction Rating]],0)</f>
        <v>2</v>
      </c>
    </row>
    <row r="584" spans="1:11" x14ac:dyDescent="0.3">
      <c r="A584" s="41" t="s">
        <v>1635</v>
      </c>
      <c r="B584" s="10" t="s">
        <v>1068</v>
      </c>
      <c r="C584" s="10">
        <v>135</v>
      </c>
      <c r="D584" s="39" t="s">
        <v>1053</v>
      </c>
      <c r="E584" s="40">
        <v>45104</v>
      </c>
      <c r="F584" s="10">
        <v>60</v>
      </c>
      <c r="G584" s="42">
        <v>4.3</v>
      </c>
      <c r="H584">
        <f>IF(MONTH(calls[[#This Row],[Date of Call]])&lt;=6,YEAR(calls[[#This Row],[Date of Call]]),YEAR(calls[[#This Row],[Date of Call]])+1)</f>
        <v>2023</v>
      </c>
      <c r="I584" t="str">
        <f>TEXT(calls[[#This Row],[Date of Call]],"DDDD")</f>
        <v>Tuesday</v>
      </c>
      <c r="J584" t="str" cm="1">
        <f t="array" ref="J584">_xlfn.IFS(calls[[#This Row],[Duration]]&lt;=10,"UNDER 10 MINS",calls[[#This Row],[Duration]]&lt;=30,"10 TO 30 MINS",calls[[#This Row],[Duration]]&lt;=60,"30 TO 60 MINS",calls[[#This Row],[Duration]]&lt;=120,"1 TO 2 HRS",TRUE,"MORE THAN 2 HRS")</f>
        <v>MORE THAN 2 HRS</v>
      </c>
      <c r="K584">
        <f>ROUND(calls[[#This Row],[Satisfaction Rating]],0)</f>
        <v>4</v>
      </c>
    </row>
    <row r="585" spans="1:11" x14ac:dyDescent="0.3">
      <c r="A585" s="41" t="s">
        <v>1636</v>
      </c>
      <c r="B585" s="10" t="s">
        <v>1056</v>
      </c>
      <c r="C585" s="10">
        <v>101</v>
      </c>
      <c r="D585" s="39" t="s">
        <v>1043</v>
      </c>
      <c r="E585" s="40">
        <v>45104</v>
      </c>
      <c r="F585" s="10">
        <v>84</v>
      </c>
      <c r="G585" s="42">
        <v>3.5</v>
      </c>
      <c r="H585">
        <f>IF(MONTH(calls[[#This Row],[Date of Call]])&lt;=6,YEAR(calls[[#This Row],[Date of Call]]),YEAR(calls[[#This Row],[Date of Call]])+1)</f>
        <v>2023</v>
      </c>
      <c r="I585" t="str">
        <f>TEXT(calls[[#This Row],[Date of Call]],"DDDD")</f>
        <v>Tuesday</v>
      </c>
      <c r="J585" t="str" cm="1">
        <f t="array" ref="J585">_xlfn.IFS(calls[[#This Row],[Duration]]&lt;=10,"UNDER 10 MINS",calls[[#This Row],[Duration]]&lt;=30,"10 TO 30 MINS",calls[[#This Row],[Duration]]&lt;=60,"30 TO 60 MINS",calls[[#This Row],[Duration]]&lt;=120,"1 TO 2 HRS",TRUE,"MORE THAN 2 HRS")</f>
        <v>1 TO 2 HRS</v>
      </c>
      <c r="K585">
        <f>ROUND(calls[[#This Row],[Satisfaction Rating]],0)</f>
        <v>4</v>
      </c>
    </row>
    <row r="586" spans="1:11" x14ac:dyDescent="0.3">
      <c r="A586" s="41" t="s">
        <v>1637</v>
      </c>
      <c r="B586" s="10" t="s">
        <v>1062</v>
      </c>
      <c r="C586" s="10">
        <v>80</v>
      </c>
      <c r="D586" s="39" t="s">
        <v>1038</v>
      </c>
      <c r="E586" s="40">
        <v>45105</v>
      </c>
      <c r="F586" s="10">
        <v>68</v>
      </c>
      <c r="G586" s="42">
        <v>3.1</v>
      </c>
      <c r="H586">
        <f>IF(MONTH(calls[[#This Row],[Date of Call]])&lt;=6,YEAR(calls[[#This Row],[Date of Call]]),YEAR(calls[[#This Row],[Date of Call]])+1)</f>
        <v>2023</v>
      </c>
      <c r="I586" t="str">
        <f>TEXT(calls[[#This Row],[Date of Call]],"DDDD")</f>
        <v>Wednesday</v>
      </c>
      <c r="J586" t="str" cm="1">
        <f t="array" ref="J586">_xlfn.IFS(calls[[#This Row],[Duration]]&lt;=10,"UNDER 10 MINS",calls[[#This Row],[Duration]]&lt;=30,"10 TO 30 MINS",calls[[#This Row],[Duration]]&lt;=60,"30 TO 60 MINS",calls[[#This Row],[Duration]]&lt;=120,"1 TO 2 HRS",TRUE,"MORE THAN 2 HRS")</f>
        <v>1 TO 2 HRS</v>
      </c>
      <c r="K586">
        <f>ROUND(calls[[#This Row],[Satisfaction Rating]],0)</f>
        <v>3</v>
      </c>
    </row>
    <row r="587" spans="1:11" x14ac:dyDescent="0.3">
      <c r="A587" s="41" t="s">
        <v>1638</v>
      </c>
      <c r="B587" s="10" t="s">
        <v>1089</v>
      </c>
      <c r="C587" s="10">
        <v>28</v>
      </c>
      <c r="D587" s="39" t="s">
        <v>1038</v>
      </c>
      <c r="E587" s="40">
        <v>45105</v>
      </c>
      <c r="F587" s="10">
        <v>44</v>
      </c>
      <c r="G587" s="42">
        <v>2.9</v>
      </c>
      <c r="H587">
        <f>IF(MONTH(calls[[#This Row],[Date of Call]])&lt;=6,YEAR(calls[[#This Row],[Date of Call]]),YEAR(calls[[#This Row],[Date of Call]])+1)</f>
        <v>2023</v>
      </c>
      <c r="I587" t="str">
        <f>TEXT(calls[[#This Row],[Date of Call]],"DDDD")</f>
        <v>Wednesday</v>
      </c>
      <c r="J587" t="str" cm="1">
        <f t="array" ref="J587">_xlfn.IFS(calls[[#This Row],[Duration]]&lt;=10,"UNDER 10 MINS",calls[[#This Row],[Duration]]&lt;=30,"10 TO 30 MINS",calls[[#This Row],[Duration]]&lt;=60,"30 TO 60 MINS",calls[[#This Row],[Duration]]&lt;=120,"1 TO 2 HRS",TRUE,"MORE THAN 2 HRS")</f>
        <v>10 TO 30 MINS</v>
      </c>
      <c r="K587">
        <f>ROUND(calls[[#This Row],[Satisfaction Rating]],0)</f>
        <v>3</v>
      </c>
    </row>
    <row r="588" spans="1:11" x14ac:dyDescent="0.3">
      <c r="A588" s="41" t="s">
        <v>1639</v>
      </c>
      <c r="B588" s="10" t="s">
        <v>1056</v>
      </c>
      <c r="C588" s="10">
        <v>102</v>
      </c>
      <c r="D588" s="39" t="s">
        <v>1053</v>
      </c>
      <c r="E588" s="40">
        <v>45106</v>
      </c>
      <c r="F588" s="10">
        <v>99</v>
      </c>
      <c r="G588" s="42">
        <v>3.2</v>
      </c>
      <c r="H588">
        <f>IF(MONTH(calls[[#This Row],[Date of Call]])&lt;=6,YEAR(calls[[#This Row],[Date of Call]]),YEAR(calls[[#This Row],[Date of Call]])+1)</f>
        <v>2023</v>
      </c>
      <c r="I588" t="str">
        <f>TEXT(calls[[#This Row],[Date of Call]],"DDDD")</f>
        <v>Thursday</v>
      </c>
      <c r="J588" t="str" cm="1">
        <f t="array" ref="J588">_xlfn.IFS(calls[[#This Row],[Duration]]&lt;=10,"UNDER 10 MINS",calls[[#This Row],[Duration]]&lt;=30,"10 TO 30 MINS",calls[[#This Row],[Duration]]&lt;=60,"30 TO 60 MINS",calls[[#This Row],[Duration]]&lt;=120,"1 TO 2 HRS",TRUE,"MORE THAN 2 HRS")</f>
        <v>1 TO 2 HRS</v>
      </c>
      <c r="K588">
        <f>ROUND(calls[[#This Row],[Satisfaction Rating]],0)</f>
        <v>3</v>
      </c>
    </row>
    <row r="589" spans="1:11" x14ac:dyDescent="0.3">
      <c r="A589" s="41" t="s">
        <v>1640</v>
      </c>
      <c r="B589" s="10" t="s">
        <v>1060</v>
      </c>
      <c r="C589" s="10">
        <v>60</v>
      </c>
      <c r="D589" s="39" t="s">
        <v>1053</v>
      </c>
      <c r="E589" s="40">
        <v>45107</v>
      </c>
      <c r="F589" s="10">
        <v>66</v>
      </c>
      <c r="G589" s="42">
        <v>3.2</v>
      </c>
      <c r="H589">
        <f>IF(MONTH(calls[[#This Row],[Date of Call]])&lt;=6,YEAR(calls[[#This Row],[Date of Call]]),YEAR(calls[[#This Row],[Date of Call]])+1)</f>
        <v>2023</v>
      </c>
      <c r="I589" t="str">
        <f>TEXT(calls[[#This Row],[Date of Call]],"DDDD")</f>
        <v>Friday</v>
      </c>
      <c r="J589" t="str" cm="1">
        <f t="array" ref="J589">_xlfn.IFS(calls[[#This Row],[Duration]]&lt;=10,"UNDER 10 MINS",calls[[#This Row],[Duration]]&lt;=30,"10 TO 30 MINS",calls[[#This Row],[Duration]]&lt;=60,"30 TO 60 MINS",calls[[#This Row],[Duration]]&lt;=120,"1 TO 2 HRS",TRUE,"MORE THAN 2 HRS")</f>
        <v>30 TO 60 MINS</v>
      </c>
      <c r="K589">
        <f>ROUND(calls[[#This Row],[Satisfaction Rating]],0)</f>
        <v>3</v>
      </c>
    </row>
    <row r="590" spans="1:11" x14ac:dyDescent="0.3">
      <c r="A590" s="41" t="s">
        <v>1641</v>
      </c>
      <c r="B590" s="10" t="s">
        <v>1045</v>
      </c>
      <c r="C590" s="10">
        <v>103</v>
      </c>
      <c r="D590" s="39" t="s">
        <v>1053</v>
      </c>
      <c r="E590" s="40">
        <v>45107</v>
      </c>
      <c r="F590" s="10">
        <v>102</v>
      </c>
      <c r="G590" s="42">
        <v>4.5</v>
      </c>
      <c r="H590">
        <f>IF(MONTH(calls[[#This Row],[Date of Call]])&lt;=6,YEAR(calls[[#This Row],[Date of Call]]),YEAR(calls[[#This Row],[Date of Call]])+1)</f>
        <v>2023</v>
      </c>
      <c r="I590" t="str">
        <f>TEXT(calls[[#This Row],[Date of Call]],"DDDD")</f>
        <v>Friday</v>
      </c>
      <c r="J590" t="str" cm="1">
        <f t="array" ref="J590">_xlfn.IFS(calls[[#This Row],[Duration]]&lt;=10,"UNDER 10 MINS",calls[[#This Row],[Duration]]&lt;=30,"10 TO 30 MINS",calls[[#This Row],[Duration]]&lt;=60,"30 TO 60 MINS",calls[[#This Row],[Duration]]&lt;=120,"1 TO 2 HRS",TRUE,"MORE THAN 2 HRS")</f>
        <v>1 TO 2 HRS</v>
      </c>
      <c r="K590">
        <f>ROUND(calls[[#This Row],[Satisfaction Rating]],0)</f>
        <v>5</v>
      </c>
    </row>
    <row r="591" spans="1:11" x14ac:dyDescent="0.3">
      <c r="A591" s="41" t="s">
        <v>1642</v>
      </c>
      <c r="B591" s="10" t="s">
        <v>1062</v>
      </c>
      <c r="C591" s="10">
        <v>90</v>
      </c>
      <c r="D591" s="39" t="s">
        <v>1038</v>
      </c>
      <c r="E591" s="40">
        <v>45108</v>
      </c>
      <c r="F591" s="10">
        <v>129</v>
      </c>
      <c r="G591" s="42">
        <v>3.9</v>
      </c>
      <c r="H591">
        <f>IF(MONTH(calls[[#This Row],[Date of Call]])&lt;=6,YEAR(calls[[#This Row],[Date of Call]]),YEAR(calls[[#This Row],[Date of Call]])+1)</f>
        <v>2024</v>
      </c>
      <c r="I591" t="str">
        <f>TEXT(calls[[#This Row],[Date of Call]],"DDDD")</f>
        <v>Saturday</v>
      </c>
      <c r="J591" t="str" cm="1">
        <f t="array" ref="J591">_xlfn.IFS(calls[[#This Row],[Duration]]&lt;=10,"UNDER 10 MINS",calls[[#This Row],[Duration]]&lt;=30,"10 TO 30 MINS",calls[[#This Row],[Duration]]&lt;=60,"30 TO 60 MINS",calls[[#This Row],[Duration]]&lt;=120,"1 TO 2 HRS",TRUE,"MORE THAN 2 HRS")</f>
        <v>1 TO 2 HRS</v>
      </c>
      <c r="K591">
        <f>ROUND(calls[[#This Row],[Satisfaction Rating]],0)</f>
        <v>4</v>
      </c>
    </row>
    <row r="592" spans="1:11" x14ac:dyDescent="0.3">
      <c r="A592" s="41" t="s">
        <v>1643</v>
      </c>
      <c r="B592" s="10" t="s">
        <v>1079</v>
      </c>
      <c r="C592" s="10">
        <v>88</v>
      </c>
      <c r="D592" s="39" t="s">
        <v>1053</v>
      </c>
      <c r="E592" s="40">
        <v>45108</v>
      </c>
      <c r="F592" s="10">
        <v>80</v>
      </c>
      <c r="G592" s="42">
        <v>4.2</v>
      </c>
      <c r="H592">
        <f>IF(MONTH(calls[[#This Row],[Date of Call]])&lt;=6,YEAR(calls[[#This Row],[Date of Call]]),YEAR(calls[[#This Row],[Date of Call]])+1)</f>
        <v>2024</v>
      </c>
      <c r="I592" t="str">
        <f>TEXT(calls[[#This Row],[Date of Call]],"DDDD")</f>
        <v>Saturday</v>
      </c>
      <c r="J592" t="str" cm="1">
        <f t="array" ref="J592">_xlfn.IFS(calls[[#This Row],[Duration]]&lt;=10,"UNDER 10 MINS",calls[[#This Row],[Duration]]&lt;=30,"10 TO 30 MINS",calls[[#This Row],[Duration]]&lt;=60,"30 TO 60 MINS",calls[[#This Row],[Duration]]&lt;=120,"1 TO 2 HRS",TRUE,"MORE THAN 2 HRS")</f>
        <v>1 TO 2 HRS</v>
      </c>
      <c r="K592">
        <f>ROUND(calls[[#This Row],[Satisfaction Rating]],0)</f>
        <v>4</v>
      </c>
    </row>
    <row r="593" spans="1:11" x14ac:dyDescent="0.3">
      <c r="A593" s="41" t="s">
        <v>1644</v>
      </c>
      <c r="B593" s="10" t="s">
        <v>1045</v>
      </c>
      <c r="C593" s="10">
        <v>37</v>
      </c>
      <c r="D593" s="39" t="s">
        <v>1053</v>
      </c>
      <c r="E593" s="40">
        <v>45108</v>
      </c>
      <c r="F593" s="10">
        <v>54</v>
      </c>
      <c r="G593" s="42">
        <v>1.8</v>
      </c>
      <c r="H593">
        <f>IF(MONTH(calls[[#This Row],[Date of Call]])&lt;=6,YEAR(calls[[#This Row],[Date of Call]]),YEAR(calls[[#This Row],[Date of Call]])+1)</f>
        <v>2024</v>
      </c>
      <c r="I593" t="str">
        <f>TEXT(calls[[#This Row],[Date of Call]],"DDDD")</f>
        <v>Saturday</v>
      </c>
      <c r="J593" t="str" cm="1">
        <f t="array" ref="J593">_xlfn.IFS(calls[[#This Row],[Duration]]&lt;=10,"UNDER 10 MINS",calls[[#This Row],[Duration]]&lt;=30,"10 TO 30 MINS",calls[[#This Row],[Duration]]&lt;=60,"30 TO 60 MINS",calls[[#This Row],[Duration]]&lt;=120,"1 TO 2 HRS",TRUE,"MORE THAN 2 HRS")</f>
        <v>30 TO 60 MINS</v>
      </c>
      <c r="K593">
        <f>ROUND(calls[[#This Row],[Satisfaction Rating]],0)</f>
        <v>2</v>
      </c>
    </row>
    <row r="594" spans="1:11" x14ac:dyDescent="0.3">
      <c r="A594" s="41" t="s">
        <v>1645</v>
      </c>
      <c r="B594" s="10" t="s">
        <v>1089</v>
      </c>
      <c r="C594" s="10">
        <v>142</v>
      </c>
      <c r="D594" s="39" t="s">
        <v>1038</v>
      </c>
      <c r="E594" s="40">
        <v>45108</v>
      </c>
      <c r="F594" s="10">
        <v>116</v>
      </c>
      <c r="G594" s="42">
        <v>4.2</v>
      </c>
      <c r="H594">
        <f>IF(MONTH(calls[[#This Row],[Date of Call]])&lt;=6,YEAR(calls[[#This Row],[Date of Call]]),YEAR(calls[[#This Row],[Date of Call]])+1)</f>
        <v>2024</v>
      </c>
      <c r="I594" t="str">
        <f>TEXT(calls[[#This Row],[Date of Call]],"DDDD")</f>
        <v>Saturday</v>
      </c>
      <c r="J594" t="str" cm="1">
        <f t="array" ref="J594">_xlfn.IFS(calls[[#This Row],[Duration]]&lt;=10,"UNDER 10 MINS",calls[[#This Row],[Duration]]&lt;=30,"10 TO 30 MINS",calls[[#This Row],[Duration]]&lt;=60,"30 TO 60 MINS",calls[[#This Row],[Duration]]&lt;=120,"1 TO 2 HRS",TRUE,"MORE THAN 2 HRS")</f>
        <v>MORE THAN 2 HRS</v>
      </c>
      <c r="K594">
        <f>ROUND(calls[[#This Row],[Satisfaction Rating]],0)</f>
        <v>4</v>
      </c>
    </row>
    <row r="595" spans="1:11" x14ac:dyDescent="0.3">
      <c r="A595" s="41" t="s">
        <v>1646</v>
      </c>
      <c r="B595" s="10" t="s">
        <v>1089</v>
      </c>
      <c r="C595" s="10">
        <v>153</v>
      </c>
      <c r="D595" s="39" t="s">
        <v>1048</v>
      </c>
      <c r="E595" s="40">
        <v>45108</v>
      </c>
      <c r="F595" s="10">
        <v>102</v>
      </c>
      <c r="G595" s="42">
        <v>3.1</v>
      </c>
      <c r="H595">
        <f>IF(MONTH(calls[[#This Row],[Date of Call]])&lt;=6,YEAR(calls[[#This Row],[Date of Call]]),YEAR(calls[[#This Row],[Date of Call]])+1)</f>
        <v>2024</v>
      </c>
      <c r="I595" t="str">
        <f>TEXT(calls[[#This Row],[Date of Call]],"DDDD")</f>
        <v>Saturday</v>
      </c>
      <c r="J595" t="str" cm="1">
        <f t="array" ref="J595">_xlfn.IFS(calls[[#This Row],[Duration]]&lt;=10,"UNDER 10 MINS",calls[[#This Row],[Duration]]&lt;=30,"10 TO 30 MINS",calls[[#This Row],[Duration]]&lt;=60,"30 TO 60 MINS",calls[[#This Row],[Duration]]&lt;=120,"1 TO 2 HRS",TRUE,"MORE THAN 2 HRS")</f>
        <v>MORE THAN 2 HRS</v>
      </c>
      <c r="K595">
        <f>ROUND(calls[[#This Row],[Satisfaction Rating]],0)</f>
        <v>3</v>
      </c>
    </row>
    <row r="596" spans="1:11" x14ac:dyDescent="0.3">
      <c r="A596" s="41" t="s">
        <v>1647</v>
      </c>
      <c r="B596" s="10" t="s">
        <v>1071</v>
      </c>
      <c r="C596" s="10">
        <v>128</v>
      </c>
      <c r="D596" s="39" t="s">
        <v>1043</v>
      </c>
      <c r="E596" s="40">
        <v>45108</v>
      </c>
      <c r="F596" s="10">
        <v>140</v>
      </c>
      <c r="G596" s="42">
        <v>4.3</v>
      </c>
      <c r="H596">
        <f>IF(MONTH(calls[[#This Row],[Date of Call]])&lt;=6,YEAR(calls[[#This Row],[Date of Call]]),YEAR(calls[[#This Row],[Date of Call]])+1)</f>
        <v>2024</v>
      </c>
      <c r="I596" t="str">
        <f>TEXT(calls[[#This Row],[Date of Call]],"DDDD")</f>
        <v>Saturday</v>
      </c>
      <c r="J596" t="str" cm="1">
        <f t="array" ref="J596">_xlfn.IFS(calls[[#This Row],[Duration]]&lt;=10,"UNDER 10 MINS",calls[[#This Row],[Duration]]&lt;=30,"10 TO 30 MINS",calls[[#This Row],[Duration]]&lt;=60,"30 TO 60 MINS",calls[[#This Row],[Duration]]&lt;=120,"1 TO 2 HRS",TRUE,"MORE THAN 2 HRS")</f>
        <v>MORE THAN 2 HRS</v>
      </c>
      <c r="K596">
        <f>ROUND(calls[[#This Row],[Satisfaction Rating]],0)</f>
        <v>4</v>
      </c>
    </row>
    <row r="597" spans="1:11" x14ac:dyDescent="0.3">
      <c r="A597" s="41" t="s">
        <v>1648</v>
      </c>
      <c r="B597" s="10" t="s">
        <v>1060</v>
      </c>
      <c r="C597" s="10">
        <v>110</v>
      </c>
      <c r="D597" s="39" t="s">
        <v>1043</v>
      </c>
      <c r="E597" s="40">
        <v>45109</v>
      </c>
      <c r="F597" s="10">
        <v>104</v>
      </c>
      <c r="G597" s="42">
        <v>4.4000000000000004</v>
      </c>
      <c r="H597">
        <f>IF(MONTH(calls[[#This Row],[Date of Call]])&lt;=6,YEAR(calls[[#This Row],[Date of Call]]),YEAR(calls[[#This Row],[Date of Call]])+1)</f>
        <v>2024</v>
      </c>
      <c r="I597" t="str">
        <f>TEXT(calls[[#This Row],[Date of Call]],"DDDD")</f>
        <v>Sunday</v>
      </c>
      <c r="J597" t="str" cm="1">
        <f t="array" ref="J597">_xlfn.IFS(calls[[#This Row],[Duration]]&lt;=10,"UNDER 10 MINS",calls[[#This Row],[Duration]]&lt;=30,"10 TO 30 MINS",calls[[#This Row],[Duration]]&lt;=60,"30 TO 60 MINS",calls[[#This Row],[Duration]]&lt;=120,"1 TO 2 HRS",TRUE,"MORE THAN 2 HRS")</f>
        <v>1 TO 2 HRS</v>
      </c>
      <c r="K597">
        <f>ROUND(calls[[#This Row],[Satisfaction Rating]],0)</f>
        <v>4</v>
      </c>
    </row>
    <row r="598" spans="1:11" x14ac:dyDescent="0.3">
      <c r="A598" s="41" t="s">
        <v>1649</v>
      </c>
      <c r="B598" s="10" t="s">
        <v>1071</v>
      </c>
      <c r="C598" s="10">
        <v>139</v>
      </c>
      <c r="D598" s="39" t="s">
        <v>1053</v>
      </c>
      <c r="E598" s="40">
        <v>45109</v>
      </c>
      <c r="F598" s="10">
        <v>81</v>
      </c>
      <c r="G598" s="42">
        <v>4.4000000000000004</v>
      </c>
      <c r="H598">
        <f>IF(MONTH(calls[[#This Row],[Date of Call]])&lt;=6,YEAR(calls[[#This Row],[Date of Call]]),YEAR(calls[[#This Row],[Date of Call]])+1)</f>
        <v>2024</v>
      </c>
      <c r="I598" t="str">
        <f>TEXT(calls[[#This Row],[Date of Call]],"DDDD")</f>
        <v>Sunday</v>
      </c>
      <c r="J598" t="str" cm="1">
        <f t="array" ref="J598">_xlfn.IFS(calls[[#This Row],[Duration]]&lt;=10,"UNDER 10 MINS",calls[[#This Row],[Duration]]&lt;=30,"10 TO 30 MINS",calls[[#This Row],[Duration]]&lt;=60,"30 TO 60 MINS",calls[[#This Row],[Duration]]&lt;=120,"1 TO 2 HRS",TRUE,"MORE THAN 2 HRS")</f>
        <v>MORE THAN 2 HRS</v>
      </c>
      <c r="K598">
        <f>ROUND(calls[[#This Row],[Satisfaction Rating]],0)</f>
        <v>4</v>
      </c>
    </row>
    <row r="599" spans="1:11" x14ac:dyDescent="0.3">
      <c r="A599" s="41" t="s">
        <v>1650</v>
      </c>
      <c r="B599" s="10" t="s">
        <v>1056</v>
      </c>
      <c r="C599" s="10">
        <v>109</v>
      </c>
      <c r="D599" s="39" t="s">
        <v>1057</v>
      </c>
      <c r="E599" s="40">
        <v>45111</v>
      </c>
      <c r="F599" s="10">
        <v>140</v>
      </c>
      <c r="G599" s="42">
        <v>2.4</v>
      </c>
      <c r="H599">
        <f>IF(MONTH(calls[[#This Row],[Date of Call]])&lt;=6,YEAR(calls[[#This Row],[Date of Call]]),YEAR(calls[[#This Row],[Date of Call]])+1)</f>
        <v>2024</v>
      </c>
      <c r="I599" t="str">
        <f>TEXT(calls[[#This Row],[Date of Call]],"DDDD")</f>
        <v>Tuesday</v>
      </c>
      <c r="J599" t="str" cm="1">
        <f t="array" ref="J599">_xlfn.IFS(calls[[#This Row],[Duration]]&lt;=10,"UNDER 10 MINS",calls[[#This Row],[Duration]]&lt;=30,"10 TO 30 MINS",calls[[#This Row],[Duration]]&lt;=60,"30 TO 60 MINS",calls[[#This Row],[Duration]]&lt;=120,"1 TO 2 HRS",TRUE,"MORE THAN 2 HRS")</f>
        <v>1 TO 2 HRS</v>
      </c>
      <c r="K599">
        <f>ROUND(calls[[#This Row],[Satisfaction Rating]],0)</f>
        <v>2</v>
      </c>
    </row>
    <row r="600" spans="1:11" x14ac:dyDescent="0.3">
      <c r="A600" s="41" t="s">
        <v>1651</v>
      </c>
      <c r="B600" s="10" t="s">
        <v>1040</v>
      </c>
      <c r="C600" s="10">
        <v>57</v>
      </c>
      <c r="D600" s="39" t="s">
        <v>1038</v>
      </c>
      <c r="E600" s="40">
        <v>45112</v>
      </c>
      <c r="F600" s="10">
        <v>120</v>
      </c>
      <c r="G600" s="42">
        <v>3.5</v>
      </c>
      <c r="H600">
        <f>IF(MONTH(calls[[#This Row],[Date of Call]])&lt;=6,YEAR(calls[[#This Row],[Date of Call]]),YEAR(calls[[#This Row],[Date of Call]])+1)</f>
        <v>2024</v>
      </c>
      <c r="I600" t="str">
        <f>TEXT(calls[[#This Row],[Date of Call]],"DDDD")</f>
        <v>Wednesday</v>
      </c>
      <c r="J600" t="str" cm="1">
        <f t="array" ref="J600">_xlfn.IFS(calls[[#This Row],[Duration]]&lt;=10,"UNDER 10 MINS",calls[[#This Row],[Duration]]&lt;=30,"10 TO 30 MINS",calls[[#This Row],[Duration]]&lt;=60,"30 TO 60 MINS",calls[[#This Row],[Duration]]&lt;=120,"1 TO 2 HRS",TRUE,"MORE THAN 2 HRS")</f>
        <v>30 TO 60 MINS</v>
      </c>
      <c r="K600">
        <f>ROUND(calls[[#This Row],[Satisfaction Rating]],0)</f>
        <v>4</v>
      </c>
    </row>
    <row r="601" spans="1:11" x14ac:dyDescent="0.3">
      <c r="A601" s="41" t="s">
        <v>1652</v>
      </c>
      <c r="B601" s="10" t="s">
        <v>1056</v>
      </c>
      <c r="C601" s="10">
        <v>68</v>
      </c>
      <c r="D601" s="39" t="s">
        <v>1053</v>
      </c>
      <c r="E601" s="40">
        <v>45112</v>
      </c>
      <c r="F601" s="10">
        <v>41</v>
      </c>
      <c r="G601" s="42">
        <v>3.1</v>
      </c>
      <c r="H601">
        <f>IF(MONTH(calls[[#This Row],[Date of Call]])&lt;=6,YEAR(calls[[#This Row],[Date of Call]]),YEAR(calls[[#This Row],[Date of Call]])+1)</f>
        <v>2024</v>
      </c>
      <c r="I601" t="str">
        <f>TEXT(calls[[#This Row],[Date of Call]],"DDDD")</f>
        <v>Wednesday</v>
      </c>
      <c r="J601" t="str" cm="1">
        <f t="array" ref="J601">_xlfn.IFS(calls[[#This Row],[Duration]]&lt;=10,"UNDER 10 MINS",calls[[#This Row],[Duration]]&lt;=30,"10 TO 30 MINS",calls[[#This Row],[Duration]]&lt;=60,"30 TO 60 MINS",calls[[#This Row],[Duration]]&lt;=120,"1 TO 2 HRS",TRUE,"MORE THAN 2 HRS")</f>
        <v>1 TO 2 HRS</v>
      </c>
      <c r="K601">
        <f>ROUND(calls[[#This Row],[Satisfaction Rating]],0)</f>
        <v>3</v>
      </c>
    </row>
    <row r="602" spans="1:11" x14ac:dyDescent="0.3">
      <c r="A602" s="41" t="s">
        <v>1653</v>
      </c>
      <c r="B602" s="10" t="s">
        <v>1047</v>
      </c>
      <c r="C602" s="10">
        <v>128</v>
      </c>
      <c r="D602" s="39" t="s">
        <v>1053</v>
      </c>
      <c r="E602" s="40">
        <v>45112</v>
      </c>
      <c r="F602" s="10">
        <v>116</v>
      </c>
      <c r="G602" s="42">
        <v>2.2999999999999998</v>
      </c>
      <c r="H602">
        <f>IF(MONTH(calls[[#This Row],[Date of Call]])&lt;=6,YEAR(calls[[#This Row],[Date of Call]]),YEAR(calls[[#This Row],[Date of Call]])+1)</f>
        <v>2024</v>
      </c>
      <c r="I602" t="str">
        <f>TEXT(calls[[#This Row],[Date of Call]],"DDDD")</f>
        <v>Wednesday</v>
      </c>
      <c r="J602" t="str" cm="1">
        <f t="array" ref="J602">_xlfn.IFS(calls[[#This Row],[Duration]]&lt;=10,"UNDER 10 MINS",calls[[#This Row],[Duration]]&lt;=30,"10 TO 30 MINS",calls[[#This Row],[Duration]]&lt;=60,"30 TO 60 MINS",calls[[#This Row],[Duration]]&lt;=120,"1 TO 2 HRS",TRUE,"MORE THAN 2 HRS")</f>
        <v>MORE THAN 2 HRS</v>
      </c>
      <c r="K602">
        <f>ROUND(calls[[#This Row],[Satisfaction Rating]],0)</f>
        <v>2</v>
      </c>
    </row>
    <row r="603" spans="1:11" x14ac:dyDescent="0.3">
      <c r="A603" s="41" t="s">
        <v>1654</v>
      </c>
      <c r="B603" s="10" t="s">
        <v>1037</v>
      </c>
      <c r="C603" s="10">
        <v>102</v>
      </c>
      <c r="D603" s="39" t="s">
        <v>1038</v>
      </c>
      <c r="E603" s="40">
        <v>45113</v>
      </c>
      <c r="F603" s="10">
        <v>70</v>
      </c>
      <c r="G603" s="42">
        <v>2.8</v>
      </c>
      <c r="H603">
        <f>IF(MONTH(calls[[#This Row],[Date of Call]])&lt;=6,YEAR(calls[[#This Row],[Date of Call]]),YEAR(calls[[#This Row],[Date of Call]])+1)</f>
        <v>2024</v>
      </c>
      <c r="I603" t="str">
        <f>TEXT(calls[[#This Row],[Date of Call]],"DDDD")</f>
        <v>Thursday</v>
      </c>
      <c r="J603" t="str" cm="1">
        <f t="array" ref="J603">_xlfn.IFS(calls[[#This Row],[Duration]]&lt;=10,"UNDER 10 MINS",calls[[#This Row],[Duration]]&lt;=30,"10 TO 30 MINS",calls[[#This Row],[Duration]]&lt;=60,"30 TO 60 MINS",calls[[#This Row],[Duration]]&lt;=120,"1 TO 2 HRS",TRUE,"MORE THAN 2 HRS")</f>
        <v>1 TO 2 HRS</v>
      </c>
      <c r="K603">
        <f>ROUND(calls[[#This Row],[Satisfaction Rating]],0)</f>
        <v>3</v>
      </c>
    </row>
    <row r="604" spans="1:11" x14ac:dyDescent="0.3">
      <c r="A604" s="41" t="s">
        <v>1655</v>
      </c>
      <c r="B604" s="10" t="s">
        <v>1071</v>
      </c>
      <c r="C604" s="10">
        <v>52</v>
      </c>
      <c r="D604" s="39" t="s">
        <v>1048</v>
      </c>
      <c r="E604" s="40">
        <v>45113</v>
      </c>
      <c r="F604" s="10">
        <v>42</v>
      </c>
      <c r="G604" s="42">
        <v>4.5</v>
      </c>
      <c r="H604">
        <f>IF(MONTH(calls[[#This Row],[Date of Call]])&lt;=6,YEAR(calls[[#This Row],[Date of Call]]),YEAR(calls[[#This Row],[Date of Call]])+1)</f>
        <v>2024</v>
      </c>
      <c r="I604" t="str">
        <f>TEXT(calls[[#This Row],[Date of Call]],"DDDD")</f>
        <v>Thursday</v>
      </c>
      <c r="J604" t="str" cm="1">
        <f t="array" ref="J604">_xlfn.IFS(calls[[#This Row],[Duration]]&lt;=10,"UNDER 10 MINS",calls[[#This Row],[Duration]]&lt;=30,"10 TO 30 MINS",calls[[#This Row],[Duration]]&lt;=60,"30 TO 60 MINS",calls[[#This Row],[Duration]]&lt;=120,"1 TO 2 HRS",TRUE,"MORE THAN 2 HRS")</f>
        <v>30 TO 60 MINS</v>
      </c>
      <c r="K604">
        <f>ROUND(calls[[#This Row],[Satisfaction Rating]],0)</f>
        <v>5</v>
      </c>
    </row>
    <row r="605" spans="1:11" x14ac:dyDescent="0.3">
      <c r="A605" s="41" t="s">
        <v>1656</v>
      </c>
      <c r="B605" s="10" t="s">
        <v>1047</v>
      </c>
      <c r="C605" s="10">
        <v>55</v>
      </c>
      <c r="D605" s="39" t="s">
        <v>1043</v>
      </c>
      <c r="E605" s="40">
        <v>45114</v>
      </c>
      <c r="F605" s="10">
        <v>112</v>
      </c>
      <c r="G605" s="42">
        <v>4.5</v>
      </c>
      <c r="H605">
        <f>IF(MONTH(calls[[#This Row],[Date of Call]])&lt;=6,YEAR(calls[[#This Row],[Date of Call]]),YEAR(calls[[#This Row],[Date of Call]])+1)</f>
        <v>2024</v>
      </c>
      <c r="I605" t="str">
        <f>TEXT(calls[[#This Row],[Date of Call]],"DDDD")</f>
        <v>Friday</v>
      </c>
      <c r="J605" t="str" cm="1">
        <f t="array" ref="J605">_xlfn.IFS(calls[[#This Row],[Duration]]&lt;=10,"UNDER 10 MINS",calls[[#This Row],[Duration]]&lt;=30,"10 TO 30 MINS",calls[[#This Row],[Duration]]&lt;=60,"30 TO 60 MINS",calls[[#This Row],[Duration]]&lt;=120,"1 TO 2 HRS",TRUE,"MORE THAN 2 HRS")</f>
        <v>30 TO 60 MINS</v>
      </c>
      <c r="K605">
        <f>ROUND(calls[[#This Row],[Satisfaction Rating]],0)</f>
        <v>5</v>
      </c>
    </row>
    <row r="606" spans="1:11" x14ac:dyDescent="0.3">
      <c r="A606" s="41" t="s">
        <v>1657</v>
      </c>
      <c r="B606" s="10" t="s">
        <v>1045</v>
      </c>
      <c r="C606" s="10">
        <v>107</v>
      </c>
      <c r="D606" s="39" t="s">
        <v>1053</v>
      </c>
      <c r="E606" s="40">
        <v>45114</v>
      </c>
      <c r="F606" s="10">
        <v>20</v>
      </c>
      <c r="G606" s="42">
        <v>4.5</v>
      </c>
      <c r="H606">
        <f>IF(MONTH(calls[[#This Row],[Date of Call]])&lt;=6,YEAR(calls[[#This Row],[Date of Call]]),YEAR(calls[[#This Row],[Date of Call]])+1)</f>
        <v>2024</v>
      </c>
      <c r="I606" t="str">
        <f>TEXT(calls[[#This Row],[Date of Call]],"DDDD")</f>
        <v>Friday</v>
      </c>
      <c r="J606" t="str" cm="1">
        <f t="array" ref="J606">_xlfn.IFS(calls[[#This Row],[Duration]]&lt;=10,"UNDER 10 MINS",calls[[#This Row],[Duration]]&lt;=30,"10 TO 30 MINS",calls[[#This Row],[Duration]]&lt;=60,"30 TO 60 MINS",calls[[#This Row],[Duration]]&lt;=120,"1 TO 2 HRS",TRUE,"MORE THAN 2 HRS")</f>
        <v>1 TO 2 HRS</v>
      </c>
      <c r="K606">
        <f>ROUND(calls[[#This Row],[Satisfaction Rating]],0)</f>
        <v>5</v>
      </c>
    </row>
    <row r="607" spans="1:11" x14ac:dyDescent="0.3">
      <c r="A607" s="41" t="s">
        <v>1658</v>
      </c>
      <c r="B607" s="10" t="s">
        <v>1062</v>
      </c>
      <c r="C607" s="10">
        <v>88</v>
      </c>
      <c r="D607" s="39" t="s">
        <v>1048</v>
      </c>
      <c r="E607" s="40">
        <v>45115</v>
      </c>
      <c r="F607" s="10">
        <v>110</v>
      </c>
      <c r="G607" s="42">
        <v>4.8</v>
      </c>
      <c r="H607">
        <f>IF(MONTH(calls[[#This Row],[Date of Call]])&lt;=6,YEAR(calls[[#This Row],[Date of Call]]),YEAR(calls[[#This Row],[Date of Call]])+1)</f>
        <v>2024</v>
      </c>
      <c r="I607" t="str">
        <f>TEXT(calls[[#This Row],[Date of Call]],"DDDD")</f>
        <v>Saturday</v>
      </c>
      <c r="J607" t="str" cm="1">
        <f t="array" ref="J607">_xlfn.IFS(calls[[#This Row],[Duration]]&lt;=10,"UNDER 10 MINS",calls[[#This Row],[Duration]]&lt;=30,"10 TO 30 MINS",calls[[#This Row],[Duration]]&lt;=60,"30 TO 60 MINS",calls[[#This Row],[Duration]]&lt;=120,"1 TO 2 HRS",TRUE,"MORE THAN 2 HRS")</f>
        <v>1 TO 2 HRS</v>
      </c>
      <c r="K607">
        <f>ROUND(calls[[#This Row],[Satisfaction Rating]],0)</f>
        <v>5</v>
      </c>
    </row>
    <row r="608" spans="1:11" x14ac:dyDescent="0.3">
      <c r="A608" s="41" t="s">
        <v>1659</v>
      </c>
      <c r="B608" s="10" t="s">
        <v>1051</v>
      </c>
      <c r="C608" s="10">
        <v>49</v>
      </c>
      <c r="D608" s="39" t="s">
        <v>1048</v>
      </c>
      <c r="E608" s="40">
        <v>45115</v>
      </c>
      <c r="F608" s="10">
        <v>39</v>
      </c>
      <c r="G608" s="42">
        <v>4.5999999999999996</v>
      </c>
      <c r="H608">
        <f>IF(MONTH(calls[[#This Row],[Date of Call]])&lt;=6,YEAR(calls[[#This Row],[Date of Call]]),YEAR(calls[[#This Row],[Date of Call]])+1)</f>
        <v>2024</v>
      </c>
      <c r="I608" t="str">
        <f>TEXT(calls[[#This Row],[Date of Call]],"DDDD")</f>
        <v>Saturday</v>
      </c>
      <c r="J608" t="str" cm="1">
        <f t="array" ref="J608">_xlfn.IFS(calls[[#This Row],[Duration]]&lt;=10,"UNDER 10 MINS",calls[[#This Row],[Duration]]&lt;=30,"10 TO 30 MINS",calls[[#This Row],[Duration]]&lt;=60,"30 TO 60 MINS",calls[[#This Row],[Duration]]&lt;=120,"1 TO 2 HRS",TRUE,"MORE THAN 2 HRS")</f>
        <v>30 TO 60 MINS</v>
      </c>
      <c r="K608">
        <f>ROUND(calls[[#This Row],[Satisfaction Rating]],0)</f>
        <v>5</v>
      </c>
    </row>
    <row r="609" spans="1:11" x14ac:dyDescent="0.3">
      <c r="A609" s="41" t="s">
        <v>1660</v>
      </c>
      <c r="B609" s="10" t="s">
        <v>1062</v>
      </c>
      <c r="C609" s="10">
        <v>72</v>
      </c>
      <c r="D609" s="39" t="s">
        <v>1038</v>
      </c>
      <c r="E609" s="40">
        <v>45115</v>
      </c>
      <c r="F609" s="10">
        <v>76</v>
      </c>
      <c r="G609" s="42">
        <v>4.5</v>
      </c>
      <c r="H609">
        <f>IF(MONTH(calls[[#This Row],[Date of Call]])&lt;=6,YEAR(calls[[#This Row],[Date of Call]]),YEAR(calls[[#This Row],[Date of Call]])+1)</f>
        <v>2024</v>
      </c>
      <c r="I609" t="str">
        <f>TEXT(calls[[#This Row],[Date of Call]],"DDDD")</f>
        <v>Saturday</v>
      </c>
      <c r="J609" t="str" cm="1">
        <f t="array" ref="J609">_xlfn.IFS(calls[[#This Row],[Duration]]&lt;=10,"UNDER 10 MINS",calls[[#This Row],[Duration]]&lt;=30,"10 TO 30 MINS",calls[[#This Row],[Duration]]&lt;=60,"30 TO 60 MINS",calls[[#This Row],[Duration]]&lt;=120,"1 TO 2 HRS",TRUE,"MORE THAN 2 HRS")</f>
        <v>1 TO 2 HRS</v>
      </c>
      <c r="K609">
        <f>ROUND(calls[[#This Row],[Satisfaction Rating]],0)</f>
        <v>5</v>
      </c>
    </row>
    <row r="610" spans="1:11" x14ac:dyDescent="0.3">
      <c r="A610" s="41" t="s">
        <v>1661</v>
      </c>
      <c r="B610" s="10" t="s">
        <v>1040</v>
      </c>
      <c r="C610" s="10">
        <v>50</v>
      </c>
      <c r="D610" s="39" t="s">
        <v>1038</v>
      </c>
      <c r="E610" s="40">
        <v>45115</v>
      </c>
      <c r="F610" s="10">
        <v>40</v>
      </c>
      <c r="G610" s="42">
        <v>5</v>
      </c>
      <c r="H610">
        <f>IF(MONTH(calls[[#This Row],[Date of Call]])&lt;=6,YEAR(calls[[#This Row],[Date of Call]]),YEAR(calls[[#This Row],[Date of Call]])+1)</f>
        <v>2024</v>
      </c>
      <c r="I610" t="str">
        <f>TEXT(calls[[#This Row],[Date of Call]],"DDDD")</f>
        <v>Saturday</v>
      </c>
      <c r="J610" t="str" cm="1">
        <f t="array" ref="J610">_xlfn.IFS(calls[[#This Row],[Duration]]&lt;=10,"UNDER 10 MINS",calls[[#This Row],[Duration]]&lt;=30,"10 TO 30 MINS",calls[[#This Row],[Duration]]&lt;=60,"30 TO 60 MINS",calls[[#This Row],[Duration]]&lt;=120,"1 TO 2 HRS",TRUE,"MORE THAN 2 HRS")</f>
        <v>30 TO 60 MINS</v>
      </c>
      <c r="K610">
        <f>ROUND(calls[[#This Row],[Satisfaction Rating]],0)</f>
        <v>5</v>
      </c>
    </row>
    <row r="611" spans="1:11" x14ac:dyDescent="0.3">
      <c r="A611" s="41" t="s">
        <v>1662</v>
      </c>
      <c r="B611" s="10" t="s">
        <v>1062</v>
      </c>
      <c r="C611" s="10">
        <v>52</v>
      </c>
      <c r="D611" s="39" t="s">
        <v>1053</v>
      </c>
      <c r="E611" s="40">
        <v>45115</v>
      </c>
      <c r="F611" s="10">
        <v>42</v>
      </c>
      <c r="G611" s="42">
        <v>4.8</v>
      </c>
      <c r="H611">
        <f>IF(MONTH(calls[[#This Row],[Date of Call]])&lt;=6,YEAR(calls[[#This Row],[Date of Call]]),YEAR(calls[[#This Row],[Date of Call]])+1)</f>
        <v>2024</v>
      </c>
      <c r="I611" t="str">
        <f>TEXT(calls[[#This Row],[Date of Call]],"DDDD")</f>
        <v>Saturday</v>
      </c>
      <c r="J611" t="str" cm="1">
        <f t="array" ref="J611">_xlfn.IFS(calls[[#This Row],[Duration]]&lt;=10,"UNDER 10 MINS",calls[[#This Row],[Duration]]&lt;=30,"10 TO 30 MINS",calls[[#This Row],[Duration]]&lt;=60,"30 TO 60 MINS",calls[[#This Row],[Duration]]&lt;=120,"1 TO 2 HRS",TRUE,"MORE THAN 2 HRS")</f>
        <v>30 TO 60 MINS</v>
      </c>
      <c r="K611">
        <f>ROUND(calls[[#This Row],[Satisfaction Rating]],0)</f>
        <v>5</v>
      </c>
    </row>
    <row r="612" spans="1:11" x14ac:dyDescent="0.3">
      <c r="A612" s="41" t="s">
        <v>1663</v>
      </c>
      <c r="B612" s="10" t="s">
        <v>1042</v>
      </c>
      <c r="C612" s="10">
        <v>85</v>
      </c>
      <c r="D612" s="39" t="s">
        <v>1057</v>
      </c>
      <c r="E612" s="40">
        <v>45116</v>
      </c>
      <c r="F612" s="10">
        <v>215</v>
      </c>
      <c r="G612" s="42">
        <v>3.5</v>
      </c>
      <c r="H612">
        <f>IF(MONTH(calls[[#This Row],[Date of Call]])&lt;=6,YEAR(calls[[#This Row],[Date of Call]]),YEAR(calls[[#This Row],[Date of Call]])+1)</f>
        <v>2024</v>
      </c>
      <c r="I612" t="str">
        <f>TEXT(calls[[#This Row],[Date of Call]],"DDDD")</f>
        <v>Sunday</v>
      </c>
      <c r="J612" t="str" cm="1">
        <f t="array" ref="J612">_xlfn.IFS(calls[[#This Row],[Duration]]&lt;=10,"UNDER 10 MINS",calls[[#This Row],[Duration]]&lt;=30,"10 TO 30 MINS",calls[[#This Row],[Duration]]&lt;=60,"30 TO 60 MINS",calls[[#This Row],[Duration]]&lt;=120,"1 TO 2 HRS",TRUE,"MORE THAN 2 HRS")</f>
        <v>1 TO 2 HRS</v>
      </c>
      <c r="K612">
        <f>ROUND(calls[[#This Row],[Satisfaction Rating]],0)</f>
        <v>4</v>
      </c>
    </row>
    <row r="613" spans="1:11" x14ac:dyDescent="0.3">
      <c r="A613" s="41" t="s">
        <v>1664</v>
      </c>
      <c r="B613" s="10" t="s">
        <v>1068</v>
      </c>
      <c r="C613" s="10">
        <v>98</v>
      </c>
      <c r="D613" s="39" t="s">
        <v>1057</v>
      </c>
      <c r="E613" s="40">
        <v>45117</v>
      </c>
      <c r="F613" s="10">
        <v>130</v>
      </c>
      <c r="G613" s="42">
        <v>3.4</v>
      </c>
      <c r="H613">
        <f>IF(MONTH(calls[[#This Row],[Date of Call]])&lt;=6,YEAR(calls[[#This Row],[Date of Call]]),YEAR(calls[[#This Row],[Date of Call]])+1)</f>
        <v>2024</v>
      </c>
      <c r="I613" t="str">
        <f>TEXT(calls[[#This Row],[Date of Call]],"DDDD")</f>
        <v>Monday</v>
      </c>
      <c r="J613" t="str" cm="1">
        <f t="array" ref="J613">_xlfn.IFS(calls[[#This Row],[Duration]]&lt;=10,"UNDER 10 MINS",calls[[#This Row],[Duration]]&lt;=30,"10 TO 30 MINS",calls[[#This Row],[Duration]]&lt;=60,"30 TO 60 MINS",calls[[#This Row],[Duration]]&lt;=120,"1 TO 2 HRS",TRUE,"MORE THAN 2 HRS")</f>
        <v>1 TO 2 HRS</v>
      </c>
      <c r="K613">
        <f>ROUND(calls[[#This Row],[Satisfaction Rating]],0)</f>
        <v>3</v>
      </c>
    </row>
    <row r="614" spans="1:11" x14ac:dyDescent="0.3">
      <c r="A614" s="41" t="s">
        <v>1665</v>
      </c>
      <c r="B614" s="10" t="s">
        <v>1076</v>
      </c>
      <c r="C614" s="10">
        <v>52</v>
      </c>
      <c r="D614" s="39" t="s">
        <v>1057</v>
      </c>
      <c r="E614" s="40">
        <v>45117</v>
      </c>
      <c r="F614" s="10">
        <v>190</v>
      </c>
      <c r="G614" s="42">
        <v>3.3</v>
      </c>
      <c r="H614">
        <f>IF(MONTH(calls[[#This Row],[Date of Call]])&lt;=6,YEAR(calls[[#This Row],[Date of Call]]),YEAR(calls[[#This Row],[Date of Call]])+1)</f>
        <v>2024</v>
      </c>
      <c r="I614" t="str">
        <f>TEXT(calls[[#This Row],[Date of Call]],"DDDD")</f>
        <v>Monday</v>
      </c>
      <c r="J614" t="str" cm="1">
        <f t="array" ref="J614">_xlfn.IFS(calls[[#This Row],[Duration]]&lt;=10,"UNDER 10 MINS",calls[[#This Row],[Duration]]&lt;=30,"10 TO 30 MINS",calls[[#This Row],[Duration]]&lt;=60,"30 TO 60 MINS",calls[[#This Row],[Duration]]&lt;=120,"1 TO 2 HRS",TRUE,"MORE THAN 2 HRS")</f>
        <v>30 TO 60 MINS</v>
      </c>
      <c r="K614">
        <f>ROUND(calls[[#This Row],[Satisfaction Rating]],0)</f>
        <v>3</v>
      </c>
    </row>
    <row r="615" spans="1:11" x14ac:dyDescent="0.3">
      <c r="A615" s="41" t="s">
        <v>1666</v>
      </c>
      <c r="B615" s="10" t="s">
        <v>1047</v>
      </c>
      <c r="C615" s="10">
        <v>154</v>
      </c>
      <c r="D615" s="39" t="s">
        <v>1048</v>
      </c>
      <c r="E615" s="40">
        <v>45117</v>
      </c>
      <c r="F615" s="10">
        <v>164</v>
      </c>
      <c r="G615" s="42">
        <v>4.9000000000000004</v>
      </c>
      <c r="H615">
        <f>IF(MONTH(calls[[#This Row],[Date of Call]])&lt;=6,YEAR(calls[[#This Row],[Date of Call]]),YEAR(calls[[#This Row],[Date of Call]])+1)</f>
        <v>2024</v>
      </c>
      <c r="I615" t="str">
        <f>TEXT(calls[[#This Row],[Date of Call]],"DDDD")</f>
        <v>Monday</v>
      </c>
      <c r="J615" t="str" cm="1">
        <f t="array" ref="J615">_xlfn.IFS(calls[[#This Row],[Duration]]&lt;=10,"UNDER 10 MINS",calls[[#This Row],[Duration]]&lt;=30,"10 TO 30 MINS",calls[[#This Row],[Duration]]&lt;=60,"30 TO 60 MINS",calls[[#This Row],[Duration]]&lt;=120,"1 TO 2 HRS",TRUE,"MORE THAN 2 HRS")</f>
        <v>MORE THAN 2 HRS</v>
      </c>
      <c r="K615">
        <f>ROUND(calls[[#This Row],[Satisfaction Rating]],0)</f>
        <v>5</v>
      </c>
    </row>
    <row r="616" spans="1:11" x14ac:dyDescent="0.3">
      <c r="A616" s="41" t="s">
        <v>1667</v>
      </c>
      <c r="B616" s="10" t="s">
        <v>1109</v>
      </c>
      <c r="C616" s="10">
        <v>131</v>
      </c>
      <c r="D616" s="39" t="s">
        <v>1043</v>
      </c>
      <c r="E616" s="40">
        <v>45118</v>
      </c>
      <c r="F616" s="10">
        <v>76</v>
      </c>
      <c r="G616" s="42">
        <v>4.5</v>
      </c>
      <c r="H616">
        <f>IF(MONTH(calls[[#This Row],[Date of Call]])&lt;=6,YEAR(calls[[#This Row],[Date of Call]]),YEAR(calls[[#This Row],[Date of Call]])+1)</f>
        <v>2024</v>
      </c>
      <c r="I616" t="str">
        <f>TEXT(calls[[#This Row],[Date of Call]],"DDDD")</f>
        <v>Tuesday</v>
      </c>
      <c r="J616" t="str" cm="1">
        <f t="array" ref="J616">_xlfn.IFS(calls[[#This Row],[Duration]]&lt;=10,"UNDER 10 MINS",calls[[#This Row],[Duration]]&lt;=30,"10 TO 30 MINS",calls[[#This Row],[Duration]]&lt;=60,"30 TO 60 MINS",calls[[#This Row],[Duration]]&lt;=120,"1 TO 2 HRS",TRUE,"MORE THAN 2 HRS")</f>
        <v>MORE THAN 2 HRS</v>
      </c>
      <c r="K616">
        <f>ROUND(calls[[#This Row],[Satisfaction Rating]],0)</f>
        <v>5</v>
      </c>
    </row>
    <row r="617" spans="1:11" x14ac:dyDescent="0.3">
      <c r="A617" s="41" t="s">
        <v>1668</v>
      </c>
      <c r="B617" s="10" t="s">
        <v>1042</v>
      </c>
      <c r="C617" s="10">
        <v>73</v>
      </c>
      <c r="D617" s="39" t="s">
        <v>1043</v>
      </c>
      <c r="E617" s="40">
        <v>45119</v>
      </c>
      <c r="F617" s="10">
        <v>87</v>
      </c>
      <c r="G617" s="42">
        <v>4.8</v>
      </c>
      <c r="H617">
        <f>IF(MONTH(calls[[#This Row],[Date of Call]])&lt;=6,YEAR(calls[[#This Row],[Date of Call]]),YEAR(calls[[#This Row],[Date of Call]])+1)</f>
        <v>2024</v>
      </c>
      <c r="I617" t="str">
        <f>TEXT(calls[[#This Row],[Date of Call]],"DDDD")</f>
        <v>Wednesday</v>
      </c>
      <c r="J617" t="str" cm="1">
        <f t="array" ref="J617">_xlfn.IFS(calls[[#This Row],[Duration]]&lt;=10,"UNDER 10 MINS",calls[[#This Row],[Duration]]&lt;=30,"10 TO 30 MINS",calls[[#This Row],[Duration]]&lt;=60,"30 TO 60 MINS",calls[[#This Row],[Duration]]&lt;=120,"1 TO 2 HRS",TRUE,"MORE THAN 2 HRS")</f>
        <v>1 TO 2 HRS</v>
      </c>
      <c r="K617">
        <f>ROUND(calls[[#This Row],[Satisfaction Rating]],0)</f>
        <v>5</v>
      </c>
    </row>
    <row r="618" spans="1:11" x14ac:dyDescent="0.3">
      <c r="A618" s="41" t="s">
        <v>1669</v>
      </c>
      <c r="B618" s="10" t="s">
        <v>1060</v>
      </c>
      <c r="C618" s="10">
        <v>45</v>
      </c>
      <c r="D618" s="39" t="s">
        <v>1057</v>
      </c>
      <c r="E618" s="40">
        <v>45119</v>
      </c>
      <c r="F618" s="10">
        <v>84</v>
      </c>
      <c r="G618" s="42">
        <v>4.8</v>
      </c>
      <c r="H618">
        <f>IF(MONTH(calls[[#This Row],[Date of Call]])&lt;=6,YEAR(calls[[#This Row],[Date of Call]]),YEAR(calls[[#This Row],[Date of Call]])+1)</f>
        <v>2024</v>
      </c>
      <c r="I618" t="str">
        <f>TEXT(calls[[#This Row],[Date of Call]],"DDDD")</f>
        <v>Wednesday</v>
      </c>
      <c r="J618" t="str" cm="1">
        <f t="array" ref="J618">_xlfn.IFS(calls[[#This Row],[Duration]]&lt;=10,"UNDER 10 MINS",calls[[#This Row],[Duration]]&lt;=30,"10 TO 30 MINS",calls[[#This Row],[Duration]]&lt;=60,"30 TO 60 MINS",calls[[#This Row],[Duration]]&lt;=120,"1 TO 2 HRS",TRUE,"MORE THAN 2 HRS")</f>
        <v>30 TO 60 MINS</v>
      </c>
      <c r="K618">
        <f>ROUND(calls[[#This Row],[Satisfaction Rating]],0)</f>
        <v>5</v>
      </c>
    </row>
    <row r="619" spans="1:11" x14ac:dyDescent="0.3">
      <c r="A619" s="41" t="s">
        <v>1670</v>
      </c>
      <c r="B619" s="10" t="s">
        <v>1071</v>
      </c>
      <c r="C619" s="10">
        <v>114</v>
      </c>
      <c r="D619" s="39" t="s">
        <v>1053</v>
      </c>
      <c r="E619" s="40">
        <v>45119</v>
      </c>
      <c r="F619" s="10">
        <v>114</v>
      </c>
      <c r="G619" s="42">
        <v>3.9</v>
      </c>
      <c r="H619">
        <f>IF(MONTH(calls[[#This Row],[Date of Call]])&lt;=6,YEAR(calls[[#This Row],[Date of Call]]),YEAR(calls[[#This Row],[Date of Call]])+1)</f>
        <v>2024</v>
      </c>
      <c r="I619" t="str">
        <f>TEXT(calls[[#This Row],[Date of Call]],"DDDD")</f>
        <v>Wednesday</v>
      </c>
      <c r="J619" t="str" cm="1">
        <f t="array" ref="J619">_xlfn.IFS(calls[[#This Row],[Duration]]&lt;=10,"UNDER 10 MINS",calls[[#This Row],[Duration]]&lt;=30,"10 TO 30 MINS",calls[[#This Row],[Duration]]&lt;=60,"30 TO 60 MINS",calls[[#This Row],[Duration]]&lt;=120,"1 TO 2 HRS",TRUE,"MORE THAN 2 HRS")</f>
        <v>1 TO 2 HRS</v>
      </c>
      <c r="K619">
        <f>ROUND(calls[[#This Row],[Satisfaction Rating]],0)</f>
        <v>4</v>
      </c>
    </row>
    <row r="620" spans="1:11" x14ac:dyDescent="0.3">
      <c r="A620" s="41" t="s">
        <v>1671</v>
      </c>
      <c r="B620" s="10" t="s">
        <v>1068</v>
      </c>
      <c r="C620" s="10">
        <v>69</v>
      </c>
      <c r="D620" s="39" t="s">
        <v>1043</v>
      </c>
      <c r="E620" s="40">
        <v>45120</v>
      </c>
      <c r="F620" s="10">
        <v>56</v>
      </c>
      <c r="G620" s="42">
        <v>3.9</v>
      </c>
      <c r="H620">
        <f>IF(MONTH(calls[[#This Row],[Date of Call]])&lt;=6,YEAR(calls[[#This Row],[Date of Call]]),YEAR(calls[[#This Row],[Date of Call]])+1)</f>
        <v>2024</v>
      </c>
      <c r="I620" t="str">
        <f>TEXT(calls[[#This Row],[Date of Call]],"DDDD")</f>
        <v>Thursday</v>
      </c>
      <c r="J620" t="str" cm="1">
        <f t="array" ref="J620">_xlfn.IFS(calls[[#This Row],[Duration]]&lt;=10,"UNDER 10 MINS",calls[[#This Row],[Duration]]&lt;=30,"10 TO 30 MINS",calls[[#This Row],[Duration]]&lt;=60,"30 TO 60 MINS",calls[[#This Row],[Duration]]&lt;=120,"1 TO 2 HRS",TRUE,"MORE THAN 2 HRS")</f>
        <v>1 TO 2 HRS</v>
      </c>
      <c r="K620">
        <f>ROUND(calls[[#This Row],[Satisfaction Rating]],0)</f>
        <v>4</v>
      </c>
    </row>
    <row r="621" spans="1:11" x14ac:dyDescent="0.3">
      <c r="A621" s="41" t="s">
        <v>1672</v>
      </c>
      <c r="B621" s="10" t="s">
        <v>1109</v>
      </c>
      <c r="C621" s="10">
        <v>33</v>
      </c>
      <c r="D621" s="39" t="s">
        <v>1048</v>
      </c>
      <c r="E621" s="40">
        <v>45120</v>
      </c>
      <c r="F621" s="10">
        <v>27</v>
      </c>
      <c r="G621" s="42">
        <v>3.7</v>
      </c>
      <c r="H621">
        <f>IF(MONTH(calls[[#This Row],[Date of Call]])&lt;=6,YEAR(calls[[#This Row],[Date of Call]]),YEAR(calls[[#This Row],[Date of Call]])+1)</f>
        <v>2024</v>
      </c>
      <c r="I621" t="str">
        <f>TEXT(calls[[#This Row],[Date of Call]],"DDDD")</f>
        <v>Thursday</v>
      </c>
      <c r="J621" t="str" cm="1">
        <f t="array" ref="J621">_xlfn.IFS(calls[[#This Row],[Duration]]&lt;=10,"UNDER 10 MINS",calls[[#This Row],[Duration]]&lt;=30,"10 TO 30 MINS",calls[[#This Row],[Duration]]&lt;=60,"30 TO 60 MINS",calls[[#This Row],[Duration]]&lt;=120,"1 TO 2 HRS",TRUE,"MORE THAN 2 HRS")</f>
        <v>30 TO 60 MINS</v>
      </c>
      <c r="K621">
        <f>ROUND(calls[[#This Row],[Satisfaction Rating]],0)</f>
        <v>4</v>
      </c>
    </row>
    <row r="622" spans="1:11" x14ac:dyDescent="0.3">
      <c r="A622" s="41" t="s">
        <v>1673</v>
      </c>
      <c r="B622" s="10" t="s">
        <v>1040</v>
      </c>
      <c r="C622" s="10">
        <v>31</v>
      </c>
      <c r="D622" s="39" t="s">
        <v>1038</v>
      </c>
      <c r="E622" s="40">
        <v>45121</v>
      </c>
      <c r="F622" s="10">
        <v>84</v>
      </c>
      <c r="G622" s="42">
        <v>4.8</v>
      </c>
      <c r="H622">
        <f>IF(MONTH(calls[[#This Row],[Date of Call]])&lt;=6,YEAR(calls[[#This Row],[Date of Call]]),YEAR(calls[[#This Row],[Date of Call]])+1)</f>
        <v>2024</v>
      </c>
      <c r="I622" t="str">
        <f>TEXT(calls[[#This Row],[Date of Call]],"DDDD")</f>
        <v>Friday</v>
      </c>
      <c r="J622" t="str" cm="1">
        <f t="array" ref="J622">_xlfn.IFS(calls[[#This Row],[Duration]]&lt;=10,"UNDER 10 MINS",calls[[#This Row],[Duration]]&lt;=30,"10 TO 30 MINS",calls[[#This Row],[Duration]]&lt;=60,"30 TO 60 MINS",calls[[#This Row],[Duration]]&lt;=120,"1 TO 2 HRS",TRUE,"MORE THAN 2 HRS")</f>
        <v>30 TO 60 MINS</v>
      </c>
      <c r="K622">
        <f>ROUND(calls[[#This Row],[Satisfaction Rating]],0)</f>
        <v>5</v>
      </c>
    </row>
    <row r="623" spans="1:11" x14ac:dyDescent="0.3">
      <c r="A623" s="41" t="s">
        <v>1674</v>
      </c>
      <c r="B623" s="10" t="s">
        <v>1060</v>
      </c>
      <c r="C623" s="10">
        <v>168</v>
      </c>
      <c r="D623" s="39" t="s">
        <v>1048</v>
      </c>
      <c r="E623" s="40">
        <v>45121</v>
      </c>
      <c r="F623" s="10">
        <v>72</v>
      </c>
      <c r="G623" s="42">
        <v>3.5</v>
      </c>
      <c r="H623">
        <f>IF(MONTH(calls[[#This Row],[Date of Call]])&lt;=6,YEAR(calls[[#This Row],[Date of Call]]),YEAR(calls[[#This Row],[Date of Call]])+1)</f>
        <v>2024</v>
      </c>
      <c r="I623" t="str">
        <f>TEXT(calls[[#This Row],[Date of Call]],"DDDD")</f>
        <v>Friday</v>
      </c>
      <c r="J623" t="str" cm="1">
        <f t="array" ref="J623">_xlfn.IFS(calls[[#This Row],[Duration]]&lt;=10,"UNDER 10 MINS",calls[[#This Row],[Duration]]&lt;=30,"10 TO 30 MINS",calls[[#This Row],[Duration]]&lt;=60,"30 TO 60 MINS",calls[[#This Row],[Duration]]&lt;=120,"1 TO 2 HRS",TRUE,"MORE THAN 2 HRS")</f>
        <v>MORE THAN 2 HRS</v>
      </c>
      <c r="K623">
        <f>ROUND(calls[[#This Row],[Satisfaction Rating]],0)</f>
        <v>4</v>
      </c>
    </row>
    <row r="624" spans="1:11" x14ac:dyDescent="0.3">
      <c r="A624" s="41" t="s">
        <v>1675</v>
      </c>
      <c r="B624" s="10" t="s">
        <v>1042</v>
      </c>
      <c r="C624" s="10">
        <v>111</v>
      </c>
      <c r="D624" s="39" t="s">
        <v>1053</v>
      </c>
      <c r="E624" s="40">
        <v>45122</v>
      </c>
      <c r="F624" s="10">
        <v>126</v>
      </c>
      <c r="G624" s="42">
        <v>4.2</v>
      </c>
      <c r="H624">
        <f>IF(MONTH(calls[[#This Row],[Date of Call]])&lt;=6,YEAR(calls[[#This Row],[Date of Call]]),YEAR(calls[[#This Row],[Date of Call]])+1)</f>
        <v>2024</v>
      </c>
      <c r="I624" t="str">
        <f>TEXT(calls[[#This Row],[Date of Call]],"DDDD")</f>
        <v>Saturday</v>
      </c>
      <c r="J624" t="str" cm="1">
        <f t="array" ref="J624">_xlfn.IFS(calls[[#This Row],[Duration]]&lt;=10,"UNDER 10 MINS",calls[[#This Row],[Duration]]&lt;=30,"10 TO 30 MINS",calls[[#This Row],[Duration]]&lt;=60,"30 TO 60 MINS",calls[[#This Row],[Duration]]&lt;=120,"1 TO 2 HRS",TRUE,"MORE THAN 2 HRS")</f>
        <v>1 TO 2 HRS</v>
      </c>
      <c r="K624">
        <f>ROUND(calls[[#This Row],[Satisfaction Rating]],0)</f>
        <v>4</v>
      </c>
    </row>
    <row r="625" spans="1:11" x14ac:dyDescent="0.3">
      <c r="A625" s="41" t="s">
        <v>1676</v>
      </c>
      <c r="B625" s="10" t="s">
        <v>1040</v>
      </c>
      <c r="C625" s="10">
        <v>80</v>
      </c>
      <c r="D625" s="39" t="s">
        <v>1048</v>
      </c>
      <c r="E625" s="40">
        <v>45123</v>
      </c>
      <c r="F625" s="10">
        <v>88</v>
      </c>
      <c r="G625" s="42">
        <v>4.9000000000000004</v>
      </c>
      <c r="H625">
        <f>IF(MONTH(calls[[#This Row],[Date of Call]])&lt;=6,YEAR(calls[[#This Row],[Date of Call]]),YEAR(calls[[#This Row],[Date of Call]])+1)</f>
        <v>2024</v>
      </c>
      <c r="I625" t="str">
        <f>TEXT(calls[[#This Row],[Date of Call]],"DDDD")</f>
        <v>Sunday</v>
      </c>
      <c r="J625" t="str" cm="1">
        <f t="array" ref="J625">_xlfn.IFS(calls[[#This Row],[Duration]]&lt;=10,"UNDER 10 MINS",calls[[#This Row],[Duration]]&lt;=30,"10 TO 30 MINS",calls[[#This Row],[Duration]]&lt;=60,"30 TO 60 MINS",calls[[#This Row],[Duration]]&lt;=120,"1 TO 2 HRS",TRUE,"MORE THAN 2 HRS")</f>
        <v>1 TO 2 HRS</v>
      </c>
      <c r="K625">
        <f>ROUND(calls[[#This Row],[Satisfaction Rating]],0)</f>
        <v>5</v>
      </c>
    </row>
    <row r="626" spans="1:11" x14ac:dyDescent="0.3">
      <c r="A626" s="41" t="s">
        <v>1677</v>
      </c>
      <c r="B626" s="10" t="s">
        <v>1037</v>
      </c>
      <c r="C626" s="10">
        <v>37</v>
      </c>
      <c r="D626" s="39" t="s">
        <v>1048</v>
      </c>
      <c r="E626" s="40">
        <v>45123</v>
      </c>
      <c r="F626" s="10">
        <v>124</v>
      </c>
      <c r="G626" s="42">
        <v>4.5999999999999996</v>
      </c>
      <c r="H626">
        <f>IF(MONTH(calls[[#This Row],[Date of Call]])&lt;=6,YEAR(calls[[#This Row],[Date of Call]]),YEAR(calls[[#This Row],[Date of Call]])+1)</f>
        <v>2024</v>
      </c>
      <c r="I626" t="str">
        <f>TEXT(calls[[#This Row],[Date of Call]],"DDDD")</f>
        <v>Sunday</v>
      </c>
      <c r="J626" t="str" cm="1">
        <f t="array" ref="J626">_xlfn.IFS(calls[[#This Row],[Duration]]&lt;=10,"UNDER 10 MINS",calls[[#This Row],[Duration]]&lt;=30,"10 TO 30 MINS",calls[[#This Row],[Duration]]&lt;=60,"30 TO 60 MINS",calls[[#This Row],[Duration]]&lt;=120,"1 TO 2 HRS",TRUE,"MORE THAN 2 HRS")</f>
        <v>30 TO 60 MINS</v>
      </c>
      <c r="K626">
        <f>ROUND(calls[[#This Row],[Satisfaction Rating]],0)</f>
        <v>5</v>
      </c>
    </row>
    <row r="627" spans="1:11" x14ac:dyDescent="0.3">
      <c r="A627" s="41" t="s">
        <v>1678</v>
      </c>
      <c r="B627" s="10" t="s">
        <v>1089</v>
      </c>
      <c r="C627" s="10">
        <v>137</v>
      </c>
      <c r="D627" s="39" t="s">
        <v>1048</v>
      </c>
      <c r="E627" s="40">
        <v>45124</v>
      </c>
      <c r="F627" s="10">
        <v>84</v>
      </c>
      <c r="G627" s="42">
        <v>2.6</v>
      </c>
      <c r="H627">
        <f>IF(MONTH(calls[[#This Row],[Date of Call]])&lt;=6,YEAR(calls[[#This Row],[Date of Call]]),YEAR(calls[[#This Row],[Date of Call]])+1)</f>
        <v>2024</v>
      </c>
      <c r="I627" t="str">
        <f>TEXT(calls[[#This Row],[Date of Call]],"DDDD")</f>
        <v>Monday</v>
      </c>
      <c r="J627" t="str" cm="1">
        <f t="array" ref="J627">_xlfn.IFS(calls[[#This Row],[Duration]]&lt;=10,"UNDER 10 MINS",calls[[#This Row],[Duration]]&lt;=30,"10 TO 30 MINS",calls[[#This Row],[Duration]]&lt;=60,"30 TO 60 MINS",calls[[#This Row],[Duration]]&lt;=120,"1 TO 2 HRS",TRUE,"MORE THAN 2 HRS")</f>
        <v>MORE THAN 2 HRS</v>
      </c>
      <c r="K627">
        <f>ROUND(calls[[#This Row],[Satisfaction Rating]],0)</f>
        <v>3</v>
      </c>
    </row>
    <row r="628" spans="1:11" x14ac:dyDescent="0.3">
      <c r="A628" s="41" t="s">
        <v>1679</v>
      </c>
      <c r="B628" s="10" t="s">
        <v>1068</v>
      </c>
      <c r="C628" s="10">
        <v>123</v>
      </c>
      <c r="D628" s="39" t="s">
        <v>1053</v>
      </c>
      <c r="E628" s="40">
        <v>45124</v>
      </c>
      <c r="F628" s="10">
        <v>80</v>
      </c>
      <c r="G628" s="42">
        <v>2.7</v>
      </c>
      <c r="H628">
        <f>IF(MONTH(calls[[#This Row],[Date of Call]])&lt;=6,YEAR(calls[[#This Row],[Date of Call]]),YEAR(calls[[#This Row],[Date of Call]])+1)</f>
        <v>2024</v>
      </c>
      <c r="I628" t="str">
        <f>TEXT(calls[[#This Row],[Date of Call]],"DDDD")</f>
        <v>Monday</v>
      </c>
      <c r="J628" t="str" cm="1">
        <f t="array" ref="J628">_xlfn.IFS(calls[[#This Row],[Duration]]&lt;=10,"UNDER 10 MINS",calls[[#This Row],[Duration]]&lt;=30,"10 TO 30 MINS",calls[[#This Row],[Duration]]&lt;=60,"30 TO 60 MINS",calls[[#This Row],[Duration]]&lt;=120,"1 TO 2 HRS",TRUE,"MORE THAN 2 HRS")</f>
        <v>MORE THAN 2 HRS</v>
      </c>
      <c r="K628">
        <f>ROUND(calls[[#This Row],[Satisfaction Rating]],0)</f>
        <v>3</v>
      </c>
    </row>
    <row r="629" spans="1:11" x14ac:dyDescent="0.3">
      <c r="A629" s="41" t="s">
        <v>1680</v>
      </c>
      <c r="B629" s="10" t="s">
        <v>1079</v>
      </c>
      <c r="C629" s="10">
        <v>105</v>
      </c>
      <c r="D629" s="39" t="s">
        <v>1053</v>
      </c>
      <c r="E629" s="40">
        <v>45125</v>
      </c>
      <c r="F629" s="10">
        <v>176</v>
      </c>
      <c r="G629" s="42">
        <v>4.7</v>
      </c>
      <c r="H629">
        <f>IF(MONTH(calls[[#This Row],[Date of Call]])&lt;=6,YEAR(calls[[#This Row],[Date of Call]]),YEAR(calls[[#This Row],[Date of Call]])+1)</f>
        <v>2024</v>
      </c>
      <c r="I629" t="str">
        <f>TEXT(calls[[#This Row],[Date of Call]],"DDDD")</f>
        <v>Tuesday</v>
      </c>
      <c r="J629" t="str" cm="1">
        <f t="array" ref="J629">_xlfn.IFS(calls[[#This Row],[Duration]]&lt;=10,"UNDER 10 MINS",calls[[#This Row],[Duration]]&lt;=30,"10 TO 30 MINS",calls[[#This Row],[Duration]]&lt;=60,"30 TO 60 MINS",calls[[#This Row],[Duration]]&lt;=120,"1 TO 2 HRS",TRUE,"MORE THAN 2 HRS")</f>
        <v>1 TO 2 HRS</v>
      </c>
      <c r="K629">
        <f>ROUND(calls[[#This Row],[Satisfaction Rating]],0)</f>
        <v>5</v>
      </c>
    </row>
    <row r="630" spans="1:11" x14ac:dyDescent="0.3">
      <c r="A630" s="41" t="s">
        <v>1681</v>
      </c>
      <c r="B630" s="10" t="s">
        <v>1037</v>
      </c>
      <c r="C630" s="10">
        <v>76</v>
      </c>
      <c r="D630" s="39" t="s">
        <v>1057</v>
      </c>
      <c r="E630" s="40">
        <v>45126</v>
      </c>
      <c r="F630" s="10">
        <v>84</v>
      </c>
      <c r="G630" s="42">
        <v>3.9</v>
      </c>
      <c r="H630">
        <f>IF(MONTH(calls[[#This Row],[Date of Call]])&lt;=6,YEAR(calls[[#This Row],[Date of Call]]),YEAR(calls[[#This Row],[Date of Call]])+1)</f>
        <v>2024</v>
      </c>
      <c r="I630" t="str">
        <f>TEXT(calls[[#This Row],[Date of Call]],"DDDD")</f>
        <v>Wednesday</v>
      </c>
      <c r="J630" t="str" cm="1">
        <f t="array" ref="J630">_xlfn.IFS(calls[[#This Row],[Duration]]&lt;=10,"UNDER 10 MINS",calls[[#This Row],[Duration]]&lt;=30,"10 TO 30 MINS",calls[[#This Row],[Duration]]&lt;=60,"30 TO 60 MINS",calls[[#This Row],[Duration]]&lt;=120,"1 TO 2 HRS",TRUE,"MORE THAN 2 HRS")</f>
        <v>1 TO 2 HRS</v>
      </c>
      <c r="K630">
        <f>ROUND(calls[[#This Row],[Satisfaction Rating]],0)</f>
        <v>4</v>
      </c>
    </row>
    <row r="631" spans="1:11" x14ac:dyDescent="0.3">
      <c r="A631" s="41" t="s">
        <v>1682</v>
      </c>
      <c r="B631" s="10" t="s">
        <v>1040</v>
      </c>
      <c r="C631" s="10">
        <v>144</v>
      </c>
      <c r="D631" s="39" t="s">
        <v>1057</v>
      </c>
      <c r="E631" s="40">
        <v>45126</v>
      </c>
      <c r="F631" s="10">
        <v>164</v>
      </c>
      <c r="G631" s="42">
        <v>2.8</v>
      </c>
      <c r="H631">
        <f>IF(MONTH(calls[[#This Row],[Date of Call]])&lt;=6,YEAR(calls[[#This Row],[Date of Call]]),YEAR(calls[[#This Row],[Date of Call]])+1)</f>
        <v>2024</v>
      </c>
      <c r="I631" t="str">
        <f>TEXT(calls[[#This Row],[Date of Call]],"DDDD")</f>
        <v>Wednesday</v>
      </c>
      <c r="J631" t="str" cm="1">
        <f t="array" ref="J631">_xlfn.IFS(calls[[#This Row],[Duration]]&lt;=10,"UNDER 10 MINS",calls[[#This Row],[Duration]]&lt;=30,"10 TO 30 MINS",calls[[#This Row],[Duration]]&lt;=60,"30 TO 60 MINS",calls[[#This Row],[Duration]]&lt;=120,"1 TO 2 HRS",TRUE,"MORE THAN 2 HRS")</f>
        <v>MORE THAN 2 HRS</v>
      </c>
      <c r="K631">
        <f>ROUND(calls[[#This Row],[Satisfaction Rating]],0)</f>
        <v>3</v>
      </c>
    </row>
    <row r="632" spans="1:11" x14ac:dyDescent="0.3">
      <c r="A632" s="41" t="s">
        <v>1683</v>
      </c>
      <c r="B632" s="10" t="s">
        <v>1109</v>
      </c>
      <c r="C632" s="10">
        <v>109</v>
      </c>
      <c r="D632" s="39" t="s">
        <v>1038</v>
      </c>
      <c r="E632" s="40">
        <v>45126</v>
      </c>
      <c r="F632" s="10">
        <v>132</v>
      </c>
      <c r="G632" s="42">
        <v>3.1</v>
      </c>
      <c r="H632">
        <f>IF(MONTH(calls[[#This Row],[Date of Call]])&lt;=6,YEAR(calls[[#This Row],[Date of Call]]),YEAR(calls[[#This Row],[Date of Call]])+1)</f>
        <v>2024</v>
      </c>
      <c r="I632" t="str">
        <f>TEXT(calls[[#This Row],[Date of Call]],"DDDD")</f>
        <v>Wednesday</v>
      </c>
      <c r="J632" t="str" cm="1">
        <f t="array" ref="J632">_xlfn.IFS(calls[[#This Row],[Duration]]&lt;=10,"UNDER 10 MINS",calls[[#This Row],[Duration]]&lt;=30,"10 TO 30 MINS",calls[[#This Row],[Duration]]&lt;=60,"30 TO 60 MINS",calls[[#This Row],[Duration]]&lt;=120,"1 TO 2 HRS",TRUE,"MORE THAN 2 HRS")</f>
        <v>1 TO 2 HRS</v>
      </c>
      <c r="K632">
        <f>ROUND(calls[[#This Row],[Satisfaction Rating]],0)</f>
        <v>3</v>
      </c>
    </row>
    <row r="633" spans="1:11" x14ac:dyDescent="0.3">
      <c r="A633" s="41" t="s">
        <v>1684</v>
      </c>
      <c r="B633" s="10" t="s">
        <v>1068</v>
      </c>
      <c r="C633" s="10">
        <v>172</v>
      </c>
      <c r="D633" s="39" t="s">
        <v>1048</v>
      </c>
      <c r="E633" s="40">
        <v>45127</v>
      </c>
      <c r="F633" s="10">
        <v>27</v>
      </c>
      <c r="G633" s="42">
        <v>4.2</v>
      </c>
      <c r="H633">
        <f>IF(MONTH(calls[[#This Row],[Date of Call]])&lt;=6,YEAR(calls[[#This Row],[Date of Call]]),YEAR(calls[[#This Row],[Date of Call]])+1)</f>
        <v>2024</v>
      </c>
      <c r="I633" t="str">
        <f>TEXT(calls[[#This Row],[Date of Call]],"DDDD")</f>
        <v>Thursday</v>
      </c>
      <c r="J633" t="str" cm="1">
        <f t="array" ref="J633">_xlfn.IFS(calls[[#This Row],[Duration]]&lt;=10,"UNDER 10 MINS",calls[[#This Row],[Duration]]&lt;=30,"10 TO 30 MINS",calls[[#This Row],[Duration]]&lt;=60,"30 TO 60 MINS",calls[[#This Row],[Duration]]&lt;=120,"1 TO 2 HRS",TRUE,"MORE THAN 2 HRS")</f>
        <v>MORE THAN 2 HRS</v>
      </c>
      <c r="K633">
        <f>ROUND(calls[[#This Row],[Satisfaction Rating]],0)</f>
        <v>4</v>
      </c>
    </row>
    <row r="634" spans="1:11" x14ac:dyDescent="0.3">
      <c r="A634" s="41" t="s">
        <v>1685</v>
      </c>
      <c r="B634" s="10" t="s">
        <v>1040</v>
      </c>
      <c r="C634" s="10">
        <v>56</v>
      </c>
      <c r="D634" s="39" t="s">
        <v>1053</v>
      </c>
      <c r="E634" s="40">
        <v>45127</v>
      </c>
      <c r="F634" s="10">
        <v>27</v>
      </c>
      <c r="G634" s="42">
        <v>4.3</v>
      </c>
      <c r="H634">
        <f>IF(MONTH(calls[[#This Row],[Date of Call]])&lt;=6,YEAR(calls[[#This Row],[Date of Call]]),YEAR(calls[[#This Row],[Date of Call]])+1)</f>
        <v>2024</v>
      </c>
      <c r="I634" t="str">
        <f>TEXT(calls[[#This Row],[Date of Call]],"DDDD")</f>
        <v>Thursday</v>
      </c>
      <c r="J634" t="str" cm="1">
        <f t="array" ref="J634">_xlfn.IFS(calls[[#This Row],[Duration]]&lt;=10,"UNDER 10 MINS",calls[[#This Row],[Duration]]&lt;=30,"10 TO 30 MINS",calls[[#This Row],[Duration]]&lt;=60,"30 TO 60 MINS",calls[[#This Row],[Duration]]&lt;=120,"1 TO 2 HRS",TRUE,"MORE THAN 2 HRS")</f>
        <v>30 TO 60 MINS</v>
      </c>
      <c r="K634">
        <f>ROUND(calls[[#This Row],[Satisfaction Rating]],0)</f>
        <v>4</v>
      </c>
    </row>
    <row r="635" spans="1:11" x14ac:dyDescent="0.3">
      <c r="A635" s="41" t="s">
        <v>1686</v>
      </c>
      <c r="B635" s="10" t="s">
        <v>1040</v>
      </c>
      <c r="C635" s="10">
        <v>121</v>
      </c>
      <c r="D635" s="39" t="s">
        <v>1043</v>
      </c>
      <c r="E635" s="40">
        <v>45127</v>
      </c>
      <c r="F635" s="10">
        <v>20</v>
      </c>
      <c r="G635" s="42">
        <v>2.7</v>
      </c>
      <c r="H635">
        <f>IF(MONTH(calls[[#This Row],[Date of Call]])&lt;=6,YEAR(calls[[#This Row],[Date of Call]]),YEAR(calls[[#This Row],[Date of Call]])+1)</f>
        <v>2024</v>
      </c>
      <c r="I635" t="str">
        <f>TEXT(calls[[#This Row],[Date of Call]],"DDDD")</f>
        <v>Thursday</v>
      </c>
      <c r="J635" t="str" cm="1">
        <f t="array" ref="J635">_xlfn.IFS(calls[[#This Row],[Duration]]&lt;=10,"UNDER 10 MINS",calls[[#This Row],[Duration]]&lt;=30,"10 TO 30 MINS",calls[[#This Row],[Duration]]&lt;=60,"30 TO 60 MINS",calls[[#This Row],[Duration]]&lt;=120,"1 TO 2 HRS",TRUE,"MORE THAN 2 HRS")</f>
        <v>MORE THAN 2 HRS</v>
      </c>
      <c r="K635">
        <f>ROUND(calls[[#This Row],[Satisfaction Rating]],0)</f>
        <v>3</v>
      </c>
    </row>
    <row r="636" spans="1:11" x14ac:dyDescent="0.3">
      <c r="A636" s="41" t="s">
        <v>1687</v>
      </c>
      <c r="B636" s="10" t="s">
        <v>1068</v>
      </c>
      <c r="C636" s="10">
        <v>41</v>
      </c>
      <c r="D636" s="39" t="s">
        <v>1053</v>
      </c>
      <c r="E636" s="40">
        <v>45128</v>
      </c>
      <c r="F636" s="10">
        <v>112</v>
      </c>
      <c r="G636" s="42">
        <v>2.2999999999999998</v>
      </c>
      <c r="H636">
        <f>IF(MONTH(calls[[#This Row],[Date of Call]])&lt;=6,YEAR(calls[[#This Row],[Date of Call]]),YEAR(calls[[#This Row],[Date of Call]])+1)</f>
        <v>2024</v>
      </c>
      <c r="I636" t="str">
        <f>TEXT(calls[[#This Row],[Date of Call]],"DDDD")</f>
        <v>Friday</v>
      </c>
      <c r="J636" t="str" cm="1">
        <f t="array" ref="J636">_xlfn.IFS(calls[[#This Row],[Duration]]&lt;=10,"UNDER 10 MINS",calls[[#This Row],[Duration]]&lt;=30,"10 TO 30 MINS",calls[[#This Row],[Duration]]&lt;=60,"30 TO 60 MINS",calls[[#This Row],[Duration]]&lt;=120,"1 TO 2 HRS",TRUE,"MORE THAN 2 HRS")</f>
        <v>30 TO 60 MINS</v>
      </c>
      <c r="K636">
        <f>ROUND(calls[[#This Row],[Satisfaction Rating]],0)</f>
        <v>2</v>
      </c>
    </row>
    <row r="637" spans="1:11" x14ac:dyDescent="0.3">
      <c r="A637" s="41" t="s">
        <v>1688</v>
      </c>
      <c r="B637" s="10" t="s">
        <v>1045</v>
      </c>
      <c r="C637" s="10">
        <v>60</v>
      </c>
      <c r="D637" s="39" t="s">
        <v>1048</v>
      </c>
      <c r="E637" s="40">
        <v>45128</v>
      </c>
      <c r="F637" s="10">
        <v>60</v>
      </c>
      <c r="G637" s="42">
        <v>2.2999999999999998</v>
      </c>
      <c r="H637">
        <f>IF(MONTH(calls[[#This Row],[Date of Call]])&lt;=6,YEAR(calls[[#This Row],[Date of Call]]),YEAR(calls[[#This Row],[Date of Call]])+1)</f>
        <v>2024</v>
      </c>
      <c r="I637" t="str">
        <f>TEXT(calls[[#This Row],[Date of Call]],"DDDD")</f>
        <v>Friday</v>
      </c>
      <c r="J637" t="str" cm="1">
        <f t="array" ref="J637">_xlfn.IFS(calls[[#This Row],[Duration]]&lt;=10,"UNDER 10 MINS",calls[[#This Row],[Duration]]&lt;=30,"10 TO 30 MINS",calls[[#This Row],[Duration]]&lt;=60,"30 TO 60 MINS",calls[[#This Row],[Duration]]&lt;=120,"1 TO 2 HRS",TRUE,"MORE THAN 2 HRS")</f>
        <v>30 TO 60 MINS</v>
      </c>
      <c r="K637">
        <f>ROUND(calls[[#This Row],[Satisfaction Rating]],0)</f>
        <v>2</v>
      </c>
    </row>
    <row r="638" spans="1:11" x14ac:dyDescent="0.3">
      <c r="A638" s="41" t="s">
        <v>1689</v>
      </c>
      <c r="B638" s="10" t="s">
        <v>1045</v>
      </c>
      <c r="C638" s="10">
        <v>144</v>
      </c>
      <c r="D638" s="39" t="s">
        <v>1048</v>
      </c>
      <c r="E638" s="40">
        <v>45129</v>
      </c>
      <c r="F638" s="10">
        <v>102</v>
      </c>
      <c r="G638" s="42">
        <v>2.9</v>
      </c>
      <c r="H638">
        <f>IF(MONTH(calls[[#This Row],[Date of Call]])&lt;=6,YEAR(calls[[#This Row],[Date of Call]]),YEAR(calls[[#This Row],[Date of Call]])+1)</f>
        <v>2024</v>
      </c>
      <c r="I638" t="str">
        <f>TEXT(calls[[#This Row],[Date of Call]],"DDDD")</f>
        <v>Saturday</v>
      </c>
      <c r="J638" t="str" cm="1">
        <f t="array" ref="J638">_xlfn.IFS(calls[[#This Row],[Duration]]&lt;=10,"UNDER 10 MINS",calls[[#This Row],[Duration]]&lt;=30,"10 TO 30 MINS",calls[[#This Row],[Duration]]&lt;=60,"30 TO 60 MINS",calls[[#This Row],[Duration]]&lt;=120,"1 TO 2 HRS",TRUE,"MORE THAN 2 HRS")</f>
        <v>MORE THAN 2 HRS</v>
      </c>
      <c r="K638">
        <f>ROUND(calls[[#This Row],[Satisfaction Rating]],0)</f>
        <v>3</v>
      </c>
    </row>
    <row r="639" spans="1:11" x14ac:dyDescent="0.3">
      <c r="A639" s="41" t="s">
        <v>1690</v>
      </c>
      <c r="B639" s="10" t="s">
        <v>1047</v>
      </c>
      <c r="C639" s="10">
        <v>67</v>
      </c>
      <c r="D639" s="39" t="s">
        <v>1048</v>
      </c>
      <c r="E639" s="40">
        <v>45129</v>
      </c>
      <c r="F639" s="10">
        <v>38</v>
      </c>
      <c r="G639" s="42">
        <v>4.2</v>
      </c>
      <c r="H639">
        <f>IF(MONTH(calls[[#This Row],[Date of Call]])&lt;=6,YEAR(calls[[#This Row],[Date of Call]]),YEAR(calls[[#This Row],[Date of Call]])+1)</f>
        <v>2024</v>
      </c>
      <c r="I639" t="str">
        <f>TEXT(calls[[#This Row],[Date of Call]],"DDDD")</f>
        <v>Saturday</v>
      </c>
      <c r="J639" t="str" cm="1">
        <f t="array" ref="J639">_xlfn.IFS(calls[[#This Row],[Duration]]&lt;=10,"UNDER 10 MINS",calls[[#This Row],[Duration]]&lt;=30,"10 TO 30 MINS",calls[[#This Row],[Duration]]&lt;=60,"30 TO 60 MINS",calls[[#This Row],[Duration]]&lt;=120,"1 TO 2 HRS",TRUE,"MORE THAN 2 HRS")</f>
        <v>1 TO 2 HRS</v>
      </c>
      <c r="K639">
        <f>ROUND(calls[[#This Row],[Satisfaction Rating]],0)</f>
        <v>4</v>
      </c>
    </row>
    <row r="640" spans="1:11" x14ac:dyDescent="0.3">
      <c r="A640" s="41" t="s">
        <v>1691</v>
      </c>
      <c r="B640" s="10" t="s">
        <v>1068</v>
      </c>
      <c r="C640" s="10">
        <v>162</v>
      </c>
      <c r="D640" s="39" t="s">
        <v>1038</v>
      </c>
      <c r="E640" s="40">
        <v>45129</v>
      </c>
      <c r="F640" s="10">
        <v>82</v>
      </c>
      <c r="G640" s="42">
        <v>4.5999999999999996</v>
      </c>
      <c r="H640">
        <f>IF(MONTH(calls[[#This Row],[Date of Call]])&lt;=6,YEAR(calls[[#This Row],[Date of Call]]),YEAR(calls[[#This Row],[Date of Call]])+1)</f>
        <v>2024</v>
      </c>
      <c r="I640" t="str">
        <f>TEXT(calls[[#This Row],[Date of Call]],"DDDD")</f>
        <v>Saturday</v>
      </c>
      <c r="J640" t="str" cm="1">
        <f t="array" ref="J640">_xlfn.IFS(calls[[#This Row],[Duration]]&lt;=10,"UNDER 10 MINS",calls[[#This Row],[Duration]]&lt;=30,"10 TO 30 MINS",calls[[#This Row],[Duration]]&lt;=60,"30 TO 60 MINS",calls[[#This Row],[Duration]]&lt;=120,"1 TO 2 HRS",TRUE,"MORE THAN 2 HRS")</f>
        <v>MORE THAN 2 HRS</v>
      </c>
      <c r="K640">
        <f>ROUND(calls[[#This Row],[Satisfaction Rating]],0)</f>
        <v>5</v>
      </c>
    </row>
    <row r="641" spans="1:11" x14ac:dyDescent="0.3">
      <c r="A641" s="41" t="s">
        <v>1692</v>
      </c>
      <c r="B641" s="10" t="s">
        <v>1045</v>
      </c>
      <c r="C641" s="10">
        <v>87</v>
      </c>
      <c r="D641" s="39" t="s">
        <v>1043</v>
      </c>
      <c r="E641" s="40">
        <v>45132</v>
      </c>
      <c r="F641" s="10">
        <v>125</v>
      </c>
      <c r="G641" s="42">
        <v>4.5</v>
      </c>
      <c r="H641">
        <f>IF(MONTH(calls[[#This Row],[Date of Call]])&lt;=6,YEAR(calls[[#This Row],[Date of Call]]),YEAR(calls[[#This Row],[Date of Call]])+1)</f>
        <v>2024</v>
      </c>
      <c r="I641" t="str">
        <f>TEXT(calls[[#This Row],[Date of Call]],"DDDD")</f>
        <v>Tuesday</v>
      </c>
      <c r="J641" t="str" cm="1">
        <f t="array" ref="J641">_xlfn.IFS(calls[[#This Row],[Duration]]&lt;=10,"UNDER 10 MINS",calls[[#This Row],[Duration]]&lt;=30,"10 TO 30 MINS",calls[[#This Row],[Duration]]&lt;=60,"30 TO 60 MINS",calls[[#This Row],[Duration]]&lt;=120,"1 TO 2 HRS",TRUE,"MORE THAN 2 HRS")</f>
        <v>1 TO 2 HRS</v>
      </c>
      <c r="K641">
        <f>ROUND(calls[[#This Row],[Satisfaction Rating]],0)</f>
        <v>5</v>
      </c>
    </row>
    <row r="642" spans="1:11" x14ac:dyDescent="0.3">
      <c r="A642" s="41" t="s">
        <v>1693</v>
      </c>
      <c r="B642" s="10" t="s">
        <v>1076</v>
      </c>
      <c r="C642" s="10">
        <v>10</v>
      </c>
      <c r="D642" s="39" t="s">
        <v>1057</v>
      </c>
      <c r="E642" s="40">
        <v>45133</v>
      </c>
      <c r="F642" s="10">
        <v>72</v>
      </c>
      <c r="G642" s="42">
        <v>3.7</v>
      </c>
      <c r="H642">
        <f>IF(MONTH(calls[[#This Row],[Date of Call]])&lt;=6,YEAR(calls[[#This Row],[Date of Call]]),YEAR(calls[[#This Row],[Date of Call]])+1)</f>
        <v>2024</v>
      </c>
      <c r="I642" t="str">
        <f>TEXT(calls[[#This Row],[Date of Call]],"DDDD")</f>
        <v>Wednesday</v>
      </c>
      <c r="J642" t="str" cm="1">
        <f t="array" ref="J642">_xlfn.IFS(calls[[#This Row],[Duration]]&lt;=10,"UNDER 10 MINS",calls[[#This Row],[Duration]]&lt;=30,"10 TO 30 MINS",calls[[#This Row],[Duration]]&lt;=60,"30 TO 60 MINS",calls[[#This Row],[Duration]]&lt;=120,"1 TO 2 HRS",TRUE,"MORE THAN 2 HRS")</f>
        <v>UNDER 10 MINS</v>
      </c>
      <c r="K642">
        <f>ROUND(calls[[#This Row],[Satisfaction Rating]],0)</f>
        <v>4</v>
      </c>
    </row>
    <row r="643" spans="1:11" x14ac:dyDescent="0.3">
      <c r="A643" s="41" t="s">
        <v>1694</v>
      </c>
      <c r="B643" s="10" t="s">
        <v>1040</v>
      </c>
      <c r="C643" s="10">
        <v>138</v>
      </c>
      <c r="D643" s="39" t="s">
        <v>1057</v>
      </c>
      <c r="E643" s="40">
        <v>45133</v>
      </c>
      <c r="F643" s="10">
        <v>195</v>
      </c>
      <c r="G643" s="42">
        <v>4.0999999999999996</v>
      </c>
      <c r="H643">
        <f>IF(MONTH(calls[[#This Row],[Date of Call]])&lt;=6,YEAR(calls[[#This Row],[Date of Call]]),YEAR(calls[[#This Row],[Date of Call]])+1)</f>
        <v>2024</v>
      </c>
      <c r="I643" t="str">
        <f>TEXT(calls[[#This Row],[Date of Call]],"DDDD")</f>
        <v>Wednesday</v>
      </c>
      <c r="J643" t="str" cm="1">
        <f t="array" ref="J643">_xlfn.IFS(calls[[#This Row],[Duration]]&lt;=10,"UNDER 10 MINS",calls[[#This Row],[Duration]]&lt;=30,"10 TO 30 MINS",calls[[#This Row],[Duration]]&lt;=60,"30 TO 60 MINS",calls[[#This Row],[Duration]]&lt;=120,"1 TO 2 HRS",TRUE,"MORE THAN 2 HRS")</f>
        <v>MORE THAN 2 HRS</v>
      </c>
      <c r="K643">
        <f>ROUND(calls[[#This Row],[Satisfaction Rating]],0)</f>
        <v>4</v>
      </c>
    </row>
    <row r="644" spans="1:11" x14ac:dyDescent="0.3">
      <c r="A644" s="41" t="s">
        <v>1695</v>
      </c>
      <c r="B644" s="10" t="s">
        <v>1068</v>
      </c>
      <c r="C644" s="10">
        <v>31</v>
      </c>
      <c r="D644" s="39" t="s">
        <v>1057</v>
      </c>
      <c r="E644" s="40">
        <v>45134</v>
      </c>
      <c r="F644" s="10">
        <v>160</v>
      </c>
      <c r="G644" s="42">
        <v>3.4</v>
      </c>
      <c r="H644">
        <f>IF(MONTH(calls[[#This Row],[Date of Call]])&lt;=6,YEAR(calls[[#This Row],[Date of Call]]),YEAR(calls[[#This Row],[Date of Call]])+1)</f>
        <v>2024</v>
      </c>
      <c r="I644" t="str">
        <f>TEXT(calls[[#This Row],[Date of Call]],"DDDD")</f>
        <v>Thursday</v>
      </c>
      <c r="J644" t="str" cm="1">
        <f t="array" ref="J644">_xlfn.IFS(calls[[#This Row],[Duration]]&lt;=10,"UNDER 10 MINS",calls[[#This Row],[Duration]]&lt;=30,"10 TO 30 MINS",calls[[#This Row],[Duration]]&lt;=60,"30 TO 60 MINS",calls[[#This Row],[Duration]]&lt;=120,"1 TO 2 HRS",TRUE,"MORE THAN 2 HRS")</f>
        <v>30 TO 60 MINS</v>
      </c>
      <c r="K644">
        <f>ROUND(calls[[#This Row],[Satisfaction Rating]],0)</f>
        <v>3</v>
      </c>
    </row>
    <row r="645" spans="1:11" x14ac:dyDescent="0.3">
      <c r="A645" s="41" t="s">
        <v>1696</v>
      </c>
      <c r="B645" s="10" t="s">
        <v>1079</v>
      </c>
      <c r="C645" s="10">
        <v>75</v>
      </c>
      <c r="D645" s="39" t="s">
        <v>1038</v>
      </c>
      <c r="E645" s="40">
        <v>45134</v>
      </c>
      <c r="F645" s="10">
        <v>78</v>
      </c>
      <c r="G645" s="42">
        <v>3.3</v>
      </c>
      <c r="H645">
        <f>IF(MONTH(calls[[#This Row],[Date of Call]])&lt;=6,YEAR(calls[[#This Row],[Date of Call]]),YEAR(calls[[#This Row],[Date of Call]])+1)</f>
        <v>2024</v>
      </c>
      <c r="I645" t="str">
        <f>TEXT(calls[[#This Row],[Date of Call]],"DDDD")</f>
        <v>Thursday</v>
      </c>
      <c r="J645" t="str" cm="1">
        <f t="array" ref="J645">_xlfn.IFS(calls[[#This Row],[Duration]]&lt;=10,"UNDER 10 MINS",calls[[#This Row],[Duration]]&lt;=30,"10 TO 30 MINS",calls[[#This Row],[Duration]]&lt;=60,"30 TO 60 MINS",calls[[#This Row],[Duration]]&lt;=120,"1 TO 2 HRS",TRUE,"MORE THAN 2 HRS")</f>
        <v>1 TO 2 HRS</v>
      </c>
      <c r="K645">
        <f>ROUND(calls[[#This Row],[Satisfaction Rating]],0)</f>
        <v>3</v>
      </c>
    </row>
    <row r="646" spans="1:11" x14ac:dyDescent="0.3">
      <c r="A646" s="41" t="s">
        <v>1697</v>
      </c>
      <c r="B646" s="10" t="s">
        <v>1037</v>
      </c>
      <c r="C646" s="10">
        <v>65</v>
      </c>
      <c r="D646" s="39" t="s">
        <v>1038</v>
      </c>
      <c r="E646" s="40">
        <v>45135</v>
      </c>
      <c r="F646" s="10">
        <v>70</v>
      </c>
      <c r="G646" s="42">
        <v>4.4000000000000004</v>
      </c>
      <c r="H646">
        <f>IF(MONTH(calls[[#This Row],[Date of Call]])&lt;=6,YEAR(calls[[#This Row],[Date of Call]]),YEAR(calls[[#This Row],[Date of Call]])+1)</f>
        <v>2024</v>
      </c>
      <c r="I646" t="str">
        <f>TEXT(calls[[#This Row],[Date of Call]],"DDDD")</f>
        <v>Friday</v>
      </c>
      <c r="J646" t="str" cm="1">
        <f t="array" ref="J646">_xlfn.IFS(calls[[#This Row],[Duration]]&lt;=10,"UNDER 10 MINS",calls[[#This Row],[Duration]]&lt;=30,"10 TO 30 MINS",calls[[#This Row],[Duration]]&lt;=60,"30 TO 60 MINS",calls[[#This Row],[Duration]]&lt;=120,"1 TO 2 HRS",TRUE,"MORE THAN 2 HRS")</f>
        <v>1 TO 2 HRS</v>
      </c>
      <c r="K646">
        <f>ROUND(calls[[#This Row],[Satisfaction Rating]],0)</f>
        <v>4</v>
      </c>
    </row>
    <row r="647" spans="1:11" x14ac:dyDescent="0.3">
      <c r="A647" s="41" t="s">
        <v>1698</v>
      </c>
      <c r="B647" s="10" t="s">
        <v>1042</v>
      </c>
      <c r="C647" s="10">
        <v>106</v>
      </c>
      <c r="D647" s="39" t="s">
        <v>1053</v>
      </c>
      <c r="E647" s="40">
        <v>45135</v>
      </c>
      <c r="F647" s="10">
        <v>105</v>
      </c>
      <c r="G647" s="42">
        <v>4.2</v>
      </c>
      <c r="H647">
        <f>IF(MONTH(calls[[#This Row],[Date of Call]])&lt;=6,YEAR(calls[[#This Row],[Date of Call]]),YEAR(calls[[#This Row],[Date of Call]])+1)</f>
        <v>2024</v>
      </c>
      <c r="I647" t="str">
        <f>TEXT(calls[[#This Row],[Date of Call]],"DDDD")</f>
        <v>Friday</v>
      </c>
      <c r="J647" t="str" cm="1">
        <f t="array" ref="J647">_xlfn.IFS(calls[[#This Row],[Duration]]&lt;=10,"UNDER 10 MINS",calls[[#This Row],[Duration]]&lt;=30,"10 TO 30 MINS",calls[[#This Row],[Duration]]&lt;=60,"30 TO 60 MINS",calls[[#This Row],[Duration]]&lt;=120,"1 TO 2 HRS",TRUE,"MORE THAN 2 HRS")</f>
        <v>1 TO 2 HRS</v>
      </c>
      <c r="K647">
        <f>ROUND(calls[[#This Row],[Satisfaction Rating]],0)</f>
        <v>4</v>
      </c>
    </row>
    <row r="648" spans="1:11" x14ac:dyDescent="0.3">
      <c r="A648" s="41" t="s">
        <v>1699</v>
      </c>
      <c r="B648" s="10" t="s">
        <v>1037</v>
      </c>
      <c r="C648" s="10">
        <v>107</v>
      </c>
      <c r="D648" s="39" t="s">
        <v>1053</v>
      </c>
      <c r="E648" s="40">
        <v>45136</v>
      </c>
      <c r="F648" s="10">
        <v>78</v>
      </c>
      <c r="G648" s="42">
        <v>3.4</v>
      </c>
      <c r="H648">
        <f>IF(MONTH(calls[[#This Row],[Date of Call]])&lt;=6,YEAR(calls[[#This Row],[Date of Call]]),YEAR(calls[[#This Row],[Date of Call]])+1)</f>
        <v>2024</v>
      </c>
      <c r="I648" t="str">
        <f>TEXT(calls[[#This Row],[Date of Call]],"DDDD")</f>
        <v>Saturday</v>
      </c>
      <c r="J648" t="str" cm="1">
        <f t="array" ref="J648">_xlfn.IFS(calls[[#This Row],[Duration]]&lt;=10,"UNDER 10 MINS",calls[[#This Row],[Duration]]&lt;=30,"10 TO 30 MINS",calls[[#This Row],[Duration]]&lt;=60,"30 TO 60 MINS",calls[[#This Row],[Duration]]&lt;=120,"1 TO 2 HRS",TRUE,"MORE THAN 2 HRS")</f>
        <v>1 TO 2 HRS</v>
      </c>
      <c r="K648">
        <f>ROUND(calls[[#This Row],[Satisfaction Rating]],0)</f>
        <v>3</v>
      </c>
    </row>
    <row r="649" spans="1:11" x14ac:dyDescent="0.3">
      <c r="A649" s="41" t="s">
        <v>1700</v>
      </c>
      <c r="B649" s="10" t="s">
        <v>1089</v>
      </c>
      <c r="C649" s="10">
        <v>78</v>
      </c>
      <c r="D649" s="39" t="s">
        <v>1053</v>
      </c>
      <c r="E649" s="40">
        <v>45138</v>
      </c>
      <c r="F649" s="10">
        <v>205</v>
      </c>
      <c r="G649" s="42">
        <v>4.4000000000000004</v>
      </c>
      <c r="H649">
        <f>IF(MONTH(calls[[#This Row],[Date of Call]])&lt;=6,YEAR(calls[[#This Row],[Date of Call]]),YEAR(calls[[#This Row],[Date of Call]])+1)</f>
        <v>2024</v>
      </c>
      <c r="I649" t="str">
        <f>TEXT(calls[[#This Row],[Date of Call]],"DDDD")</f>
        <v>Monday</v>
      </c>
      <c r="J649" t="str" cm="1">
        <f t="array" ref="J649">_xlfn.IFS(calls[[#This Row],[Duration]]&lt;=10,"UNDER 10 MINS",calls[[#This Row],[Duration]]&lt;=30,"10 TO 30 MINS",calls[[#This Row],[Duration]]&lt;=60,"30 TO 60 MINS",calls[[#This Row],[Duration]]&lt;=120,"1 TO 2 HRS",TRUE,"MORE THAN 2 HRS")</f>
        <v>1 TO 2 HRS</v>
      </c>
      <c r="K649">
        <f>ROUND(calls[[#This Row],[Satisfaction Rating]],0)</f>
        <v>4</v>
      </c>
    </row>
    <row r="650" spans="1:11" x14ac:dyDescent="0.3">
      <c r="A650" s="41" t="s">
        <v>1701</v>
      </c>
      <c r="B650" s="10" t="s">
        <v>1062</v>
      </c>
      <c r="C650" s="10">
        <v>122</v>
      </c>
      <c r="D650" s="39" t="s">
        <v>1053</v>
      </c>
      <c r="E650" s="40">
        <v>45138</v>
      </c>
      <c r="F650" s="10">
        <v>78</v>
      </c>
      <c r="G650" s="42">
        <v>2.7</v>
      </c>
      <c r="H650">
        <f>IF(MONTH(calls[[#This Row],[Date of Call]])&lt;=6,YEAR(calls[[#This Row],[Date of Call]]),YEAR(calls[[#This Row],[Date of Call]])+1)</f>
        <v>2024</v>
      </c>
      <c r="I650" t="str">
        <f>TEXT(calls[[#This Row],[Date of Call]],"DDDD")</f>
        <v>Monday</v>
      </c>
      <c r="J650" t="str" cm="1">
        <f t="array" ref="J650">_xlfn.IFS(calls[[#This Row],[Duration]]&lt;=10,"UNDER 10 MINS",calls[[#This Row],[Duration]]&lt;=30,"10 TO 30 MINS",calls[[#This Row],[Duration]]&lt;=60,"30 TO 60 MINS",calls[[#This Row],[Duration]]&lt;=120,"1 TO 2 HRS",TRUE,"MORE THAN 2 HRS")</f>
        <v>MORE THAN 2 HRS</v>
      </c>
      <c r="K650">
        <f>ROUND(calls[[#This Row],[Satisfaction Rating]],0)</f>
        <v>3</v>
      </c>
    </row>
    <row r="651" spans="1:11" x14ac:dyDescent="0.3">
      <c r="A651" s="41" t="s">
        <v>1702</v>
      </c>
      <c r="B651" s="10" t="s">
        <v>1040</v>
      </c>
      <c r="C651" s="10">
        <v>58</v>
      </c>
      <c r="D651" s="39" t="s">
        <v>1057</v>
      </c>
      <c r="E651" s="40">
        <v>45138</v>
      </c>
      <c r="F651" s="10">
        <v>38</v>
      </c>
      <c r="G651" s="42">
        <v>4.5</v>
      </c>
      <c r="H651">
        <f>IF(MONTH(calls[[#This Row],[Date of Call]])&lt;=6,YEAR(calls[[#This Row],[Date of Call]]),YEAR(calls[[#This Row],[Date of Call]])+1)</f>
        <v>2024</v>
      </c>
      <c r="I651" t="str">
        <f>TEXT(calls[[#This Row],[Date of Call]],"DDDD")</f>
        <v>Monday</v>
      </c>
      <c r="J651" t="str" cm="1">
        <f t="array" ref="J651">_xlfn.IFS(calls[[#This Row],[Duration]]&lt;=10,"UNDER 10 MINS",calls[[#This Row],[Duration]]&lt;=30,"10 TO 30 MINS",calls[[#This Row],[Duration]]&lt;=60,"30 TO 60 MINS",calls[[#This Row],[Duration]]&lt;=120,"1 TO 2 HRS",TRUE,"MORE THAN 2 HRS")</f>
        <v>30 TO 60 MINS</v>
      </c>
      <c r="K651">
        <f>ROUND(calls[[#This Row],[Satisfaction Rating]],0)</f>
        <v>5</v>
      </c>
    </row>
    <row r="652" spans="1:11" x14ac:dyDescent="0.3">
      <c r="A652" s="41" t="s">
        <v>1703</v>
      </c>
      <c r="B652" s="10" t="s">
        <v>1089</v>
      </c>
      <c r="C652" s="10">
        <v>33</v>
      </c>
      <c r="D652" s="39" t="s">
        <v>1048</v>
      </c>
      <c r="E652" s="40">
        <v>45138</v>
      </c>
      <c r="F652" s="10">
        <v>92</v>
      </c>
      <c r="G652" s="42">
        <v>1.7</v>
      </c>
      <c r="H652">
        <f>IF(MONTH(calls[[#This Row],[Date of Call]])&lt;=6,YEAR(calls[[#This Row],[Date of Call]]),YEAR(calls[[#This Row],[Date of Call]])+1)</f>
        <v>2024</v>
      </c>
      <c r="I652" t="str">
        <f>TEXT(calls[[#This Row],[Date of Call]],"DDDD")</f>
        <v>Monday</v>
      </c>
      <c r="J652" t="str" cm="1">
        <f t="array" ref="J652">_xlfn.IFS(calls[[#This Row],[Duration]]&lt;=10,"UNDER 10 MINS",calls[[#This Row],[Duration]]&lt;=30,"10 TO 30 MINS",calls[[#This Row],[Duration]]&lt;=60,"30 TO 60 MINS",calls[[#This Row],[Duration]]&lt;=120,"1 TO 2 HRS",TRUE,"MORE THAN 2 HRS")</f>
        <v>30 TO 60 MINS</v>
      </c>
      <c r="K652">
        <f>ROUND(calls[[#This Row],[Satisfaction Rating]],0)</f>
        <v>2</v>
      </c>
    </row>
    <row r="653" spans="1:11" x14ac:dyDescent="0.3">
      <c r="A653" s="41" t="s">
        <v>1704</v>
      </c>
      <c r="B653" s="10" t="s">
        <v>1109</v>
      </c>
      <c r="C653" s="10">
        <v>164</v>
      </c>
      <c r="D653" s="39" t="s">
        <v>1038</v>
      </c>
      <c r="E653" s="40">
        <v>45138</v>
      </c>
      <c r="F653" s="10">
        <v>36</v>
      </c>
      <c r="G653" s="42">
        <v>4.7</v>
      </c>
      <c r="H653">
        <f>IF(MONTH(calls[[#This Row],[Date of Call]])&lt;=6,YEAR(calls[[#This Row],[Date of Call]]),YEAR(calls[[#This Row],[Date of Call]])+1)</f>
        <v>2024</v>
      </c>
      <c r="I653" t="str">
        <f>TEXT(calls[[#This Row],[Date of Call]],"DDDD")</f>
        <v>Monday</v>
      </c>
      <c r="J653" t="str" cm="1">
        <f t="array" ref="J653">_xlfn.IFS(calls[[#This Row],[Duration]]&lt;=10,"UNDER 10 MINS",calls[[#This Row],[Duration]]&lt;=30,"10 TO 30 MINS",calls[[#This Row],[Duration]]&lt;=60,"30 TO 60 MINS",calls[[#This Row],[Duration]]&lt;=120,"1 TO 2 HRS",TRUE,"MORE THAN 2 HRS")</f>
        <v>MORE THAN 2 HRS</v>
      </c>
      <c r="K653">
        <f>ROUND(calls[[#This Row],[Satisfaction Rating]],0)</f>
        <v>5</v>
      </c>
    </row>
    <row r="654" spans="1:11" x14ac:dyDescent="0.3">
      <c r="A654" s="41" t="s">
        <v>1705</v>
      </c>
      <c r="B654" s="10" t="s">
        <v>1079</v>
      </c>
      <c r="C654" s="10">
        <v>163</v>
      </c>
      <c r="D654" s="39" t="s">
        <v>1043</v>
      </c>
      <c r="E654" s="40">
        <v>45138</v>
      </c>
      <c r="F654" s="10">
        <v>76</v>
      </c>
      <c r="G654" s="42">
        <v>4.4000000000000004</v>
      </c>
      <c r="H654">
        <f>IF(MONTH(calls[[#This Row],[Date of Call]])&lt;=6,YEAR(calls[[#This Row],[Date of Call]]),YEAR(calls[[#This Row],[Date of Call]])+1)</f>
        <v>2024</v>
      </c>
      <c r="I654" t="str">
        <f>TEXT(calls[[#This Row],[Date of Call]],"DDDD")</f>
        <v>Monday</v>
      </c>
      <c r="J654" t="str" cm="1">
        <f t="array" ref="J654">_xlfn.IFS(calls[[#This Row],[Duration]]&lt;=10,"UNDER 10 MINS",calls[[#This Row],[Duration]]&lt;=30,"10 TO 30 MINS",calls[[#This Row],[Duration]]&lt;=60,"30 TO 60 MINS",calls[[#This Row],[Duration]]&lt;=120,"1 TO 2 HRS",TRUE,"MORE THAN 2 HRS")</f>
        <v>MORE THAN 2 HRS</v>
      </c>
      <c r="K654">
        <f>ROUND(calls[[#This Row],[Satisfaction Rating]],0)</f>
        <v>4</v>
      </c>
    </row>
    <row r="655" spans="1:11" x14ac:dyDescent="0.3">
      <c r="A655" s="41" t="s">
        <v>1706</v>
      </c>
      <c r="B655" s="10" t="s">
        <v>1051</v>
      </c>
      <c r="C655" s="10">
        <v>71</v>
      </c>
      <c r="D655" s="39" t="s">
        <v>1038</v>
      </c>
      <c r="E655" s="40">
        <v>45140</v>
      </c>
      <c r="F655" s="10">
        <v>170</v>
      </c>
      <c r="G655" s="42">
        <v>3.5</v>
      </c>
      <c r="H655">
        <f>IF(MONTH(calls[[#This Row],[Date of Call]])&lt;=6,YEAR(calls[[#This Row],[Date of Call]]),YEAR(calls[[#This Row],[Date of Call]])+1)</f>
        <v>2024</v>
      </c>
      <c r="I655" t="str">
        <f>TEXT(calls[[#This Row],[Date of Call]],"DDDD")</f>
        <v>Wednesday</v>
      </c>
      <c r="J655" t="str" cm="1">
        <f t="array" ref="J655">_xlfn.IFS(calls[[#This Row],[Duration]]&lt;=10,"UNDER 10 MINS",calls[[#This Row],[Duration]]&lt;=30,"10 TO 30 MINS",calls[[#This Row],[Duration]]&lt;=60,"30 TO 60 MINS",calls[[#This Row],[Duration]]&lt;=120,"1 TO 2 HRS",TRUE,"MORE THAN 2 HRS")</f>
        <v>1 TO 2 HRS</v>
      </c>
      <c r="K655">
        <f>ROUND(calls[[#This Row],[Satisfaction Rating]],0)</f>
        <v>4</v>
      </c>
    </row>
    <row r="656" spans="1:11" x14ac:dyDescent="0.3">
      <c r="A656" s="41" t="s">
        <v>1707</v>
      </c>
      <c r="B656" s="10" t="s">
        <v>1089</v>
      </c>
      <c r="C656" s="10">
        <v>103</v>
      </c>
      <c r="D656" s="39" t="s">
        <v>1057</v>
      </c>
      <c r="E656" s="40">
        <v>45141</v>
      </c>
      <c r="F656" s="10">
        <v>117</v>
      </c>
      <c r="G656" s="42">
        <v>4.7</v>
      </c>
      <c r="H656">
        <f>IF(MONTH(calls[[#This Row],[Date of Call]])&lt;=6,YEAR(calls[[#This Row],[Date of Call]]),YEAR(calls[[#This Row],[Date of Call]])+1)</f>
        <v>2024</v>
      </c>
      <c r="I656" t="str">
        <f>TEXT(calls[[#This Row],[Date of Call]],"DDDD")</f>
        <v>Thursday</v>
      </c>
      <c r="J656" t="str" cm="1">
        <f t="array" ref="J656">_xlfn.IFS(calls[[#This Row],[Duration]]&lt;=10,"UNDER 10 MINS",calls[[#This Row],[Duration]]&lt;=30,"10 TO 30 MINS",calls[[#This Row],[Duration]]&lt;=60,"30 TO 60 MINS",calls[[#This Row],[Duration]]&lt;=120,"1 TO 2 HRS",TRUE,"MORE THAN 2 HRS")</f>
        <v>1 TO 2 HRS</v>
      </c>
      <c r="K656">
        <f>ROUND(calls[[#This Row],[Satisfaction Rating]],0)</f>
        <v>5</v>
      </c>
    </row>
    <row r="657" spans="1:11" x14ac:dyDescent="0.3">
      <c r="A657" s="41" t="s">
        <v>1708</v>
      </c>
      <c r="B657" s="10" t="s">
        <v>1071</v>
      </c>
      <c r="C657" s="10">
        <v>69</v>
      </c>
      <c r="D657" s="39" t="s">
        <v>1043</v>
      </c>
      <c r="E657" s="40">
        <v>45141</v>
      </c>
      <c r="F657" s="10">
        <v>20</v>
      </c>
      <c r="G657" s="42">
        <v>4.3</v>
      </c>
      <c r="H657">
        <f>IF(MONTH(calls[[#This Row],[Date of Call]])&lt;=6,YEAR(calls[[#This Row],[Date of Call]]),YEAR(calls[[#This Row],[Date of Call]])+1)</f>
        <v>2024</v>
      </c>
      <c r="I657" t="str">
        <f>TEXT(calls[[#This Row],[Date of Call]],"DDDD")</f>
        <v>Thursday</v>
      </c>
      <c r="J657" t="str" cm="1">
        <f t="array" ref="J657">_xlfn.IFS(calls[[#This Row],[Duration]]&lt;=10,"UNDER 10 MINS",calls[[#This Row],[Duration]]&lt;=30,"10 TO 30 MINS",calls[[#This Row],[Duration]]&lt;=60,"30 TO 60 MINS",calls[[#This Row],[Duration]]&lt;=120,"1 TO 2 HRS",TRUE,"MORE THAN 2 HRS")</f>
        <v>1 TO 2 HRS</v>
      </c>
      <c r="K657">
        <f>ROUND(calls[[#This Row],[Satisfaction Rating]],0)</f>
        <v>4</v>
      </c>
    </row>
    <row r="658" spans="1:11" x14ac:dyDescent="0.3">
      <c r="A658" s="41" t="s">
        <v>1709</v>
      </c>
      <c r="B658" s="10" t="s">
        <v>1079</v>
      </c>
      <c r="C658" s="10">
        <v>111</v>
      </c>
      <c r="D658" s="39" t="s">
        <v>1057</v>
      </c>
      <c r="E658" s="40">
        <v>45141</v>
      </c>
      <c r="F658" s="10">
        <v>99</v>
      </c>
      <c r="G658" s="42">
        <v>4.0999999999999996</v>
      </c>
      <c r="H658">
        <f>IF(MONTH(calls[[#This Row],[Date of Call]])&lt;=6,YEAR(calls[[#This Row],[Date of Call]]),YEAR(calls[[#This Row],[Date of Call]])+1)</f>
        <v>2024</v>
      </c>
      <c r="I658" t="str">
        <f>TEXT(calls[[#This Row],[Date of Call]],"DDDD")</f>
        <v>Thursday</v>
      </c>
      <c r="J658" t="str" cm="1">
        <f t="array" ref="J658">_xlfn.IFS(calls[[#This Row],[Duration]]&lt;=10,"UNDER 10 MINS",calls[[#This Row],[Duration]]&lt;=30,"10 TO 30 MINS",calls[[#This Row],[Duration]]&lt;=60,"30 TO 60 MINS",calls[[#This Row],[Duration]]&lt;=120,"1 TO 2 HRS",TRUE,"MORE THAN 2 HRS")</f>
        <v>1 TO 2 HRS</v>
      </c>
      <c r="K658">
        <f>ROUND(calls[[#This Row],[Satisfaction Rating]],0)</f>
        <v>4</v>
      </c>
    </row>
    <row r="659" spans="1:11" x14ac:dyDescent="0.3">
      <c r="A659" s="41" t="s">
        <v>1710</v>
      </c>
      <c r="B659" s="10" t="s">
        <v>1056</v>
      </c>
      <c r="C659" s="10">
        <v>97</v>
      </c>
      <c r="D659" s="39" t="s">
        <v>1043</v>
      </c>
      <c r="E659" s="40">
        <v>45142</v>
      </c>
      <c r="F659" s="10">
        <v>105</v>
      </c>
      <c r="G659" s="42">
        <v>2.9</v>
      </c>
      <c r="H659">
        <f>IF(MONTH(calls[[#This Row],[Date of Call]])&lt;=6,YEAR(calls[[#This Row],[Date of Call]]),YEAR(calls[[#This Row],[Date of Call]])+1)</f>
        <v>2024</v>
      </c>
      <c r="I659" t="str">
        <f>TEXT(calls[[#This Row],[Date of Call]],"DDDD")</f>
        <v>Friday</v>
      </c>
      <c r="J659" t="str" cm="1">
        <f t="array" ref="J659">_xlfn.IFS(calls[[#This Row],[Duration]]&lt;=10,"UNDER 10 MINS",calls[[#This Row],[Duration]]&lt;=30,"10 TO 30 MINS",calls[[#This Row],[Duration]]&lt;=60,"30 TO 60 MINS",calls[[#This Row],[Duration]]&lt;=120,"1 TO 2 HRS",TRUE,"MORE THAN 2 HRS")</f>
        <v>1 TO 2 HRS</v>
      </c>
      <c r="K659">
        <f>ROUND(calls[[#This Row],[Satisfaction Rating]],0)</f>
        <v>3</v>
      </c>
    </row>
    <row r="660" spans="1:11" x14ac:dyDescent="0.3">
      <c r="A660" s="41" t="s">
        <v>1711</v>
      </c>
      <c r="B660" s="10" t="s">
        <v>1060</v>
      </c>
      <c r="C660" s="10">
        <v>144</v>
      </c>
      <c r="D660" s="39" t="s">
        <v>1053</v>
      </c>
      <c r="E660" s="40">
        <v>45142</v>
      </c>
      <c r="F660" s="10">
        <v>195</v>
      </c>
      <c r="G660" s="42">
        <v>3.4</v>
      </c>
      <c r="H660">
        <f>IF(MONTH(calls[[#This Row],[Date of Call]])&lt;=6,YEAR(calls[[#This Row],[Date of Call]]),YEAR(calls[[#This Row],[Date of Call]])+1)</f>
        <v>2024</v>
      </c>
      <c r="I660" t="str">
        <f>TEXT(calls[[#This Row],[Date of Call]],"DDDD")</f>
        <v>Friday</v>
      </c>
      <c r="J660" t="str" cm="1">
        <f t="array" ref="J660">_xlfn.IFS(calls[[#This Row],[Duration]]&lt;=10,"UNDER 10 MINS",calls[[#This Row],[Duration]]&lt;=30,"10 TO 30 MINS",calls[[#This Row],[Duration]]&lt;=60,"30 TO 60 MINS",calls[[#This Row],[Duration]]&lt;=120,"1 TO 2 HRS",TRUE,"MORE THAN 2 HRS")</f>
        <v>MORE THAN 2 HRS</v>
      </c>
      <c r="K660">
        <f>ROUND(calls[[#This Row],[Satisfaction Rating]],0)</f>
        <v>3</v>
      </c>
    </row>
    <row r="661" spans="1:11" x14ac:dyDescent="0.3">
      <c r="A661" s="41" t="s">
        <v>1712</v>
      </c>
      <c r="B661" s="10" t="s">
        <v>1042</v>
      </c>
      <c r="C661" s="10">
        <v>56</v>
      </c>
      <c r="D661" s="39" t="s">
        <v>1043</v>
      </c>
      <c r="E661" s="40">
        <v>45143</v>
      </c>
      <c r="F661" s="10">
        <v>152</v>
      </c>
      <c r="G661" s="42">
        <v>4.5999999999999996</v>
      </c>
      <c r="H661">
        <f>IF(MONTH(calls[[#This Row],[Date of Call]])&lt;=6,YEAR(calls[[#This Row],[Date of Call]]),YEAR(calls[[#This Row],[Date of Call]])+1)</f>
        <v>2024</v>
      </c>
      <c r="I661" t="str">
        <f>TEXT(calls[[#This Row],[Date of Call]],"DDDD")</f>
        <v>Saturday</v>
      </c>
      <c r="J661" t="str" cm="1">
        <f t="array" ref="J661">_xlfn.IFS(calls[[#This Row],[Duration]]&lt;=10,"UNDER 10 MINS",calls[[#This Row],[Duration]]&lt;=30,"10 TO 30 MINS",calls[[#This Row],[Duration]]&lt;=60,"30 TO 60 MINS",calls[[#This Row],[Duration]]&lt;=120,"1 TO 2 HRS",TRUE,"MORE THAN 2 HRS")</f>
        <v>30 TO 60 MINS</v>
      </c>
      <c r="K661">
        <f>ROUND(calls[[#This Row],[Satisfaction Rating]],0)</f>
        <v>5</v>
      </c>
    </row>
    <row r="662" spans="1:11" x14ac:dyDescent="0.3">
      <c r="A662" s="41" t="s">
        <v>1713</v>
      </c>
      <c r="B662" s="10" t="s">
        <v>1060</v>
      </c>
      <c r="C662" s="10">
        <v>132</v>
      </c>
      <c r="D662" s="39" t="s">
        <v>1053</v>
      </c>
      <c r="E662" s="40">
        <v>45144</v>
      </c>
      <c r="F662" s="10">
        <v>195</v>
      </c>
      <c r="G662" s="42">
        <v>4.9000000000000004</v>
      </c>
      <c r="H662">
        <f>IF(MONTH(calls[[#This Row],[Date of Call]])&lt;=6,YEAR(calls[[#This Row],[Date of Call]]),YEAR(calls[[#This Row],[Date of Call]])+1)</f>
        <v>2024</v>
      </c>
      <c r="I662" t="str">
        <f>TEXT(calls[[#This Row],[Date of Call]],"DDDD")</f>
        <v>Sunday</v>
      </c>
      <c r="J662" t="str" cm="1">
        <f t="array" ref="J662">_xlfn.IFS(calls[[#This Row],[Duration]]&lt;=10,"UNDER 10 MINS",calls[[#This Row],[Duration]]&lt;=30,"10 TO 30 MINS",calls[[#This Row],[Duration]]&lt;=60,"30 TO 60 MINS",calls[[#This Row],[Duration]]&lt;=120,"1 TO 2 HRS",TRUE,"MORE THAN 2 HRS")</f>
        <v>MORE THAN 2 HRS</v>
      </c>
      <c r="K662">
        <f>ROUND(calls[[#This Row],[Satisfaction Rating]],0)</f>
        <v>5</v>
      </c>
    </row>
    <row r="663" spans="1:11" x14ac:dyDescent="0.3">
      <c r="A663" s="41" t="s">
        <v>1714</v>
      </c>
      <c r="B663" s="10" t="s">
        <v>1051</v>
      </c>
      <c r="C663" s="10">
        <v>72</v>
      </c>
      <c r="D663" s="39" t="s">
        <v>1048</v>
      </c>
      <c r="E663" s="40">
        <v>45144</v>
      </c>
      <c r="F663" s="10">
        <v>70</v>
      </c>
      <c r="G663" s="42">
        <v>3.6</v>
      </c>
      <c r="H663">
        <f>IF(MONTH(calls[[#This Row],[Date of Call]])&lt;=6,YEAR(calls[[#This Row],[Date of Call]]),YEAR(calls[[#This Row],[Date of Call]])+1)</f>
        <v>2024</v>
      </c>
      <c r="I663" t="str">
        <f>TEXT(calls[[#This Row],[Date of Call]],"DDDD")</f>
        <v>Sunday</v>
      </c>
      <c r="J663" t="str" cm="1">
        <f t="array" ref="J663">_xlfn.IFS(calls[[#This Row],[Duration]]&lt;=10,"UNDER 10 MINS",calls[[#This Row],[Duration]]&lt;=30,"10 TO 30 MINS",calls[[#This Row],[Duration]]&lt;=60,"30 TO 60 MINS",calls[[#This Row],[Duration]]&lt;=120,"1 TO 2 HRS",TRUE,"MORE THAN 2 HRS")</f>
        <v>1 TO 2 HRS</v>
      </c>
      <c r="K663">
        <f>ROUND(calls[[#This Row],[Satisfaction Rating]],0)</f>
        <v>4</v>
      </c>
    </row>
    <row r="664" spans="1:11" x14ac:dyDescent="0.3">
      <c r="A664" s="41" t="s">
        <v>1715</v>
      </c>
      <c r="B664" s="10" t="s">
        <v>1079</v>
      </c>
      <c r="C664" s="10">
        <v>18</v>
      </c>
      <c r="D664" s="39" t="s">
        <v>1048</v>
      </c>
      <c r="E664" s="40">
        <v>45144</v>
      </c>
      <c r="F664" s="10">
        <v>22</v>
      </c>
      <c r="G664" s="42">
        <v>3.5</v>
      </c>
      <c r="H664">
        <f>IF(MONTH(calls[[#This Row],[Date of Call]])&lt;=6,YEAR(calls[[#This Row],[Date of Call]]),YEAR(calls[[#This Row],[Date of Call]])+1)</f>
        <v>2024</v>
      </c>
      <c r="I664" t="str">
        <f>TEXT(calls[[#This Row],[Date of Call]],"DDDD")</f>
        <v>Sunday</v>
      </c>
      <c r="J664" t="str" cm="1">
        <f t="array" ref="J664">_xlfn.IFS(calls[[#This Row],[Duration]]&lt;=10,"UNDER 10 MINS",calls[[#This Row],[Duration]]&lt;=30,"10 TO 30 MINS",calls[[#This Row],[Duration]]&lt;=60,"30 TO 60 MINS",calls[[#This Row],[Duration]]&lt;=120,"1 TO 2 HRS",TRUE,"MORE THAN 2 HRS")</f>
        <v>10 TO 30 MINS</v>
      </c>
      <c r="K664">
        <f>ROUND(calls[[#This Row],[Satisfaction Rating]],0)</f>
        <v>4</v>
      </c>
    </row>
    <row r="665" spans="1:11" x14ac:dyDescent="0.3">
      <c r="A665" s="41" t="s">
        <v>1716</v>
      </c>
      <c r="B665" s="10" t="s">
        <v>1047</v>
      </c>
      <c r="C665" s="10">
        <v>115</v>
      </c>
      <c r="D665" s="39" t="s">
        <v>1057</v>
      </c>
      <c r="E665" s="40">
        <v>45145</v>
      </c>
      <c r="F665" s="10">
        <v>40</v>
      </c>
      <c r="G665" s="42">
        <v>3.3</v>
      </c>
      <c r="H665">
        <f>IF(MONTH(calls[[#This Row],[Date of Call]])&lt;=6,YEAR(calls[[#This Row],[Date of Call]]),YEAR(calls[[#This Row],[Date of Call]])+1)</f>
        <v>2024</v>
      </c>
      <c r="I665" t="str">
        <f>TEXT(calls[[#This Row],[Date of Call]],"DDDD")</f>
        <v>Monday</v>
      </c>
      <c r="J665" t="str" cm="1">
        <f t="array" ref="J665">_xlfn.IFS(calls[[#This Row],[Duration]]&lt;=10,"UNDER 10 MINS",calls[[#This Row],[Duration]]&lt;=30,"10 TO 30 MINS",calls[[#This Row],[Duration]]&lt;=60,"30 TO 60 MINS",calls[[#This Row],[Duration]]&lt;=120,"1 TO 2 HRS",TRUE,"MORE THAN 2 HRS")</f>
        <v>1 TO 2 HRS</v>
      </c>
      <c r="K665">
        <f>ROUND(calls[[#This Row],[Satisfaction Rating]],0)</f>
        <v>3</v>
      </c>
    </row>
    <row r="666" spans="1:11" x14ac:dyDescent="0.3">
      <c r="A666" s="41" t="s">
        <v>1717</v>
      </c>
      <c r="B666" s="10" t="s">
        <v>1047</v>
      </c>
      <c r="C666" s="10">
        <v>124</v>
      </c>
      <c r="D666" s="39" t="s">
        <v>1043</v>
      </c>
      <c r="E666" s="40">
        <v>45146</v>
      </c>
      <c r="F666" s="10">
        <v>54</v>
      </c>
      <c r="G666" s="42">
        <v>3.8</v>
      </c>
      <c r="H666">
        <f>IF(MONTH(calls[[#This Row],[Date of Call]])&lt;=6,YEAR(calls[[#This Row],[Date of Call]]),YEAR(calls[[#This Row],[Date of Call]])+1)</f>
        <v>2024</v>
      </c>
      <c r="I666" t="str">
        <f>TEXT(calls[[#This Row],[Date of Call]],"DDDD")</f>
        <v>Tuesday</v>
      </c>
      <c r="J666" t="str" cm="1">
        <f t="array" ref="J666">_xlfn.IFS(calls[[#This Row],[Duration]]&lt;=10,"UNDER 10 MINS",calls[[#This Row],[Duration]]&lt;=30,"10 TO 30 MINS",calls[[#This Row],[Duration]]&lt;=60,"30 TO 60 MINS",calls[[#This Row],[Duration]]&lt;=120,"1 TO 2 HRS",TRUE,"MORE THAN 2 HRS")</f>
        <v>MORE THAN 2 HRS</v>
      </c>
      <c r="K666">
        <f>ROUND(calls[[#This Row],[Satisfaction Rating]],0)</f>
        <v>4</v>
      </c>
    </row>
    <row r="667" spans="1:11" x14ac:dyDescent="0.3">
      <c r="A667" s="41" t="s">
        <v>1718</v>
      </c>
      <c r="B667" s="10" t="s">
        <v>1040</v>
      </c>
      <c r="C667" s="10">
        <v>130</v>
      </c>
      <c r="D667" s="39" t="s">
        <v>1043</v>
      </c>
      <c r="E667" s="40">
        <v>45146</v>
      </c>
      <c r="F667" s="10">
        <v>60</v>
      </c>
      <c r="G667" s="42">
        <v>2.5</v>
      </c>
      <c r="H667">
        <f>IF(MONTH(calls[[#This Row],[Date of Call]])&lt;=6,YEAR(calls[[#This Row],[Date of Call]]),YEAR(calls[[#This Row],[Date of Call]])+1)</f>
        <v>2024</v>
      </c>
      <c r="I667" t="str">
        <f>TEXT(calls[[#This Row],[Date of Call]],"DDDD")</f>
        <v>Tuesday</v>
      </c>
      <c r="J667" t="str" cm="1">
        <f t="array" ref="J667">_xlfn.IFS(calls[[#This Row],[Duration]]&lt;=10,"UNDER 10 MINS",calls[[#This Row],[Duration]]&lt;=30,"10 TO 30 MINS",calls[[#This Row],[Duration]]&lt;=60,"30 TO 60 MINS",calls[[#This Row],[Duration]]&lt;=120,"1 TO 2 HRS",TRUE,"MORE THAN 2 HRS")</f>
        <v>MORE THAN 2 HRS</v>
      </c>
      <c r="K667">
        <f>ROUND(calls[[#This Row],[Satisfaction Rating]],0)</f>
        <v>3</v>
      </c>
    </row>
    <row r="668" spans="1:11" x14ac:dyDescent="0.3">
      <c r="A668" s="41" t="s">
        <v>1719</v>
      </c>
      <c r="B668" s="10" t="s">
        <v>1076</v>
      </c>
      <c r="C668" s="10">
        <v>120</v>
      </c>
      <c r="D668" s="39" t="s">
        <v>1038</v>
      </c>
      <c r="E668" s="40">
        <v>45148</v>
      </c>
      <c r="F668" s="10">
        <v>58</v>
      </c>
      <c r="G668" s="42">
        <v>4.5999999999999996</v>
      </c>
      <c r="H668">
        <f>IF(MONTH(calls[[#This Row],[Date of Call]])&lt;=6,YEAR(calls[[#This Row],[Date of Call]]),YEAR(calls[[#This Row],[Date of Call]])+1)</f>
        <v>2024</v>
      </c>
      <c r="I668" t="str">
        <f>TEXT(calls[[#This Row],[Date of Call]],"DDDD")</f>
        <v>Thursday</v>
      </c>
      <c r="J668" t="str" cm="1">
        <f t="array" ref="J668">_xlfn.IFS(calls[[#This Row],[Duration]]&lt;=10,"UNDER 10 MINS",calls[[#This Row],[Duration]]&lt;=30,"10 TO 30 MINS",calls[[#This Row],[Duration]]&lt;=60,"30 TO 60 MINS",calls[[#This Row],[Duration]]&lt;=120,"1 TO 2 HRS",TRUE,"MORE THAN 2 HRS")</f>
        <v>1 TO 2 HRS</v>
      </c>
      <c r="K668">
        <f>ROUND(calls[[#This Row],[Satisfaction Rating]],0)</f>
        <v>5</v>
      </c>
    </row>
    <row r="669" spans="1:11" x14ac:dyDescent="0.3">
      <c r="A669" s="41" t="s">
        <v>1720</v>
      </c>
      <c r="B669" s="10" t="s">
        <v>1056</v>
      </c>
      <c r="C669" s="10">
        <v>75</v>
      </c>
      <c r="D669" s="39" t="s">
        <v>1057</v>
      </c>
      <c r="E669" s="40">
        <v>45148</v>
      </c>
      <c r="F669" s="10">
        <v>220</v>
      </c>
      <c r="G669" s="42">
        <v>4.7</v>
      </c>
      <c r="H669">
        <f>IF(MONTH(calls[[#This Row],[Date of Call]])&lt;=6,YEAR(calls[[#This Row],[Date of Call]]),YEAR(calls[[#This Row],[Date of Call]])+1)</f>
        <v>2024</v>
      </c>
      <c r="I669" t="str">
        <f>TEXT(calls[[#This Row],[Date of Call]],"DDDD")</f>
        <v>Thursday</v>
      </c>
      <c r="J669" t="str" cm="1">
        <f t="array" ref="J669">_xlfn.IFS(calls[[#This Row],[Duration]]&lt;=10,"UNDER 10 MINS",calls[[#This Row],[Duration]]&lt;=30,"10 TO 30 MINS",calls[[#This Row],[Duration]]&lt;=60,"30 TO 60 MINS",calls[[#This Row],[Duration]]&lt;=120,"1 TO 2 HRS",TRUE,"MORE THAN 2 HRS")</f>
        <v>1 TO 2 HRS</v>
      </c>
      <c r="K669">
        <f>ROUND(calls[[#This Row],[Satisfaction Rating]],0)</f>
        <v>5</v>
      </c>
    </row>
    <row r="670" spans="1:11" x14ac:dyDescent="0.3">
      <c r="A670" s="41" t="s">
        <v>1721</v>
      </c>
      <c r="B670" s="10" t="s">
        <v>1037</v>
      </c>
      <c r="C670" s="10">
        <v>63</v>
      </c>
      <c r="D670" s="39" t="s">
        <v>1057</v>
      </c>
      <c r="E670" s="40">
        <v>45148</v>
      </c>
      <c r="F670" s="10">
        <v>27</v>
      </c>
      <c r="G670" s="42">
        <v>3.6</v>
      </c>
      <c r="H670">
        <f>IF(MONTH(calls[[#This Row],[Date of Call]])&lt;=6,YEAR(calls[[#This Row],[Date of Call]]),YEAR(calls[[#This Row],[Date of Call]])+1)</f>
        <v>2024</v>
      </c>
      <c r="I670" t="str">
        <f>TEXT(calls[[#This Row],[Date of Call]],"DDDD")</f>
        <v>Thursday</v>
      </c>
      <c r="J670" t="str" cm="1">
        <f t="array" ref="J670">_xlfn.IFS(calls[[#This Row],[Duration]]&lt;=10,"UNDER 10 MINS",calls[[#This Row],[Duration]]&lt;=30,"10 TO 30 MINS",calls[[#This Row],[Duration]]&lt;=60,"30 TO 60 MINS",calls[[#This Row],[Duration]]&lt;=120,"1 TO 2 HRS",TRUE,"MORE THAN 2 HRS")</f>
        <v>1 TO 2 HRS</v>
      </c>
      <c r="K670">
        <f>ROUND(calls[[#This Row],[Satisfaction Rating]],0)</f>
        <v>4</v>
      </c>
    </row>
    <row r="671" spans="1:11" x14ac:dyDescent="0.3">
      <c r="A671" s="41" t="s">
        <v>1722</v>
      </c>
      <c r="B671" s="10" t="s">
        <v>1060</v>
      </c>
      <c r="C671" s="10">
        <v>74</v>
      </c>
      <c r="D671" s="39" t="s">
        <v>1057</v>
      </c>
      <c r="E671" s="40">
        <v>45150</v>
      </c>
      <c r="F671" s="10">
        <v>26</v>
      </c>
      <c r="G671" s="42">
        <v>4.3</v>
      </c>
      <c r="H671">
        <f>IF(MONTH(calls[[#This Row],[Date of Call]])&lt;=6,YEAR(calls[[#This Row],[Date of Call]]),YEAR(calls[[#This Row],[Date of Call]])+1)</f>
        <v>2024</v>
      </c>
      <c r="I671" t="str">
        <f>TEXT(calls[[#This Row],[Date of Call]],"DDDD")</f>
        <v>Saturday</v>
      </c>
      <c r="J671" t="str" cm="1">
        <f t="array" ref="J671">_xlfn.IFS(calls[[#This Row],[Duration]]&lt;=10,"UNDER 10 MINS",calls[[#This Row],[Duration]]&lt;=30,"10 TO 30 MINS",calls[[#This Row],[Duration]]&lt;=60,"30 TO 60 MINS",calls[[#This Row],[Duration]]&lt;=120,"1 TO 2 HRS",TRUE,"MORE THAN 2 HRS")</f>
        <v>1 TO 2 HRS</v>
      </c>
      <c r="K671">
        <f>ROUND(calls[[#This Row],[Satisfaction Rating]],0)</f>
        <v>4</v>
      </c>
    </row>
    <row r="672" spans="1:11" x14ac:dyDescent="0.3">
      <c r="A672" s="41" t="s">
        <v>1723</v>
      </c>
      <c r="B672" s="10" t="s">
        <v>1071</v>
      </c>
      <c r="C672" s="10">
        <v>134</v>
      </c>
      <c r="D672" s="39" t="s">
        <v>1053</v>
      </c>
      <c r="E672" s="40">
        <v>45151</v>
      </c>
      <c r="F672" s="10">
        <v>160</v>
      </c>
      <c r="G672" s="42">
        <v>4.7</v>
      </c>
      <c r="H672">
        <f>IF(MONTH(calls[[#This Row],[Date of Call]])&lt;=6,YEAR(calls[[#This Row],[Date of Call]]),YEAR(calls[[#This Row],[Date of Call]])+1)</f>
        <v>2024</v>
      </c>
      <c r="I672" t="str">
        <f>TEXT(calls[[#This Row],[Date of Call]],"DDDD")</f>
        <v>Sunday</v>
      </c>
      <c r="J672" t="str" cm="1">
        <f t="array" ref="J672">_xlfn.IFS(calls[[#This Row],[Duration]]&lt;=10,"UNDER 10 MINS",calls[[#This Row],[Duration]]&lt;=30,"10 TO 30 MINS",calls[[#This Row],[Duration]]&lt;=60,"30 TO 60 MINS",calls[[#This Row],[Duration]]&lt;=120,"1 TO 2 HRS",TRUE,"MORE THAN 2 HRS")</f>
        <v>MORE THAN 2 HRS</v>
      </c>
      <c r="K672">
        <f>ROUND(calls[[#This Row],[Satisfaction Rating]],0)</f>
        <v>5</v>
      </c>
    </row>
    <row r="673" spans="1:11" x14ac:dyDescent="0.3">
      <c r="A673" s="41" t="s">
        <v>1724</v>
      </c>
      <c r="B673" s="10" t="s">
        <v>1079</v>
      </c>
      <c r="C673" s="10">
        <v>103</v>
      </c>
      <c r="D673" s="39" t="s">
        <v>1043</v>
      </c>
      <c r="E673" s="40">
        <v>45151</v>
      </c>
      <c r="F673" s="10">
        <v>200</v>
      </c>
      <c r="G673" s="42">
        <v>4.9000000000000004</v>
      </c>
      <c r="H673">
        <f>IF(MONTH(calls[[#This Row],[Date of Call]])&lt;=6,YEAR(calls[[#This Row],[Date of Call]]),YEAR(calls[[#This Row],[Date of Call]])+1)</f>
        <v>2024</v>
      </c>
      <c r="I673" t="str">
        <f>TEXT(calls[[#This Row],[Date of Call]],"DDDD")</f>
        <v>Sunday</v>
      </c>
      <c r="J673" t="str" cm="1">
        <f t="array" ref="J673">_xlfn.IFS(calls[[#This Row],[Duration]]&lt;=10,"UNDER 10 MINS",calls[[#This Row],[Duration]]&lt;=30,"10 TO 30 MINS",calls[[#This Row],[Duration]]&lt;=60,"30 TO 60 MINS",calls[[#This Row],[Duration]]&lt;=120,"1 TO 2 HRS",TRUE,"MORE THAN 2 HRS")</f>
        <v>1 TO 2 HRS</v>
      </c>
      <c r="K673">
        <f>ROUND(calls[[#This Row],[Satisfaction Rating]],0)</f>
        <v>5</v>
      </c>
    </row>
    <row r="674" spans="1:11" x14ac:dyDescent="0.3">
      <c r="A674" s="41" t="s">
        <v>1725</v>
      </c>
      <c r="B674" s="10" t="s">
        <v>1079</v>
      </c>
      <c r="C674" s="10">
        <v>155</v>
      </c>
      <c r="D674" s="39" t="s">
        <v>1038</v>
      </c>
      <c r="E674" s="40">
        <v>45154</v>
      </c>
      <c r="F674" s="10">
        <v>135</v>
      </c>
      <c r="G674" s="42">
        <v>4.9000000000000004</v>
      </c>
      <c r="H674">
        <f>IF(MONTH(calls[[#This Row],[Date of Call]])&lt;=6,YEAR(calls[[#This Row],[Date of Call]]),YEAR(calls[[#This Row],[Date of Call]])+1)</f>
        <v>2024</v>
      </c>
      <c r="I674" t="str">
        <f>TEXT(calls[[#This Row],[Date of Call]],"DDDD")</f>
        <v>Wednesday</v>
      </c>
      <c r="J674" t="str" cm="1">
        <f t="array" ref="J674">_xlfn.IFS(calls[[#This Row],[Duration]]&lt;=10,"UNDER 10 MINS",calls[[#This Row],[Duration]]&lt;=30,"10 TO 30 MINS",calls[[#This Row],[Duration]]&lt;=60,"30 TO 60 MINS",calls[[#This Row],[Duration]]&lt;=120,"1 TO 2 HRS",TRUE,"MORE THAN 2 HRS")</f>
        <v>MORE THAN 2 HRS</v>
      </c>
      <c r="K674">
        <f>ROUND(calls[[#This Row],[Satisfaction Rating]],0)</f>
        <v>5</v>
      </c>
    </row>
    <row r="675" spans="1:11" x14ac:dyDescent="0.3">
      <c r="A675" s="41" t="s">
        <v>1726</v>
      </c>
      <c r="B675" s="10" t="s">
        <v>1037</v>
      </c>
      <c r="C675" s="10">
        <v>128</v>
      </c>
      <c r="D675" s="39" t="s">
        <v>1043</v>
      </c>
      <c r="E675" s="40">
        <v>45155</v>
      </c>
      <c r="F675" s="10">
        <v>22</v>
      </c>
      <c r="G675" s="42">
        <v>1.9</v>
      </c>
      <c r="H675">
        <f>IF(MONTH(calls[[#This Row],[Date of Call]])&lt;=6,YEAR(calls[[#This Row],[Date of Call]]),YEAR(calls[[#This Row],[Date of Call]])+1)</f>
        <v>2024</v>
      </c>
      <c r="I675" t="str">
        <f>TEXT(calls[[#This Row],[Date of Call]],"DDDD")</f>
        <v>Thursday</v>
      </c>
      <c r="J675" t="str" cm="1">
        <f t="array" ref="J675">_xlfn.IFS(calls[[#This Row],[Duration]]&lt;=10,"UNDER 10 MINS",calls[[#This Row],[Duration]]&lt;=30,"10 TO 30 MINS",calls[[#This Row],[Duration]]&lt;=60,"30 TO 60 MINS",calls[[#This Row],[Duration]]&lt;=120,"1 TO 2 HRS",TRUE,"MORE THAN 2 HRS")</f>
        <v>MORE THAN 2 HRS</v>
      </c>
      <c r="K675">
        <f>ROUND(calls[[#This Row],[Satisfaction Rating]],0)</f>
        <v>2</v>
      </c>
    </row>
    <row r="676" spans="1:11" x14ac:dyDescent="0.3">
      <c r="A676" s="41" t="s">
        <v>1727</v>
      </c>
      <c r="B676" s="10" t="s">
        <v>1056</v>
      </c>
      <c r="C676" s="10">
        <v>89</v>
      </c>
      <c r="D676" s="39" t="s">
        <v>1053</v>
      </c>
      <c r="E676" s="40">
        <v>45156</v>
      </c>
      <c r="F676" s="10">
        <v>164</v>
      </c>
      <c r="G676" s="42">
        <v>4.5</v>
      </c>
      <c r="H676">
        <f>IF(MONTH(calls[[#This Row],[Date of Call]])&lt;=6,YEAR(calls[[#This Row],[Date of Call]]),YEAR(calls[[#This Row],[Date of Call]])+1)</f>
        <v>2024</v>
      </c>
      <c r="I676" t="str">
        <f>TEXT(calls[[#This Row],[Date of Call]],"DDDD")</f>
        <v>Friday</v>
      </c>
      <c r="J676" t="str" cm="1">
        <f t="array" ref="J676">_xlfn.IFS(calls[[#This Row],[Duration]]&lt;=10,"UNDER 10 MINS",calls[[#This Row],[Duration]]&lt;=30,"10 TO 30 MINS",calls[[#This Row],[Duration]]&lt;=60,"30 TO 60 MINS",calls[[#This Row],[Duration]]&lt;=120,"1 TO 2 HRS",TRUE,"MORE THAN 2 HRS")</f>
        <v>1 TO 2 HRS</v>
      </c>
      <c r="K676">
        <f>ROUND(calls[[#This Row],[Satisfaction Rating]],0)</f>
        <v>5</v>
      </c>
    </row>
    <row r="677" spans="1:11" x14ac:dyDescent="0.3">
      <c r="A677" s="41" t="s">
        <v>1728</v>
      </c>
      <c r="B677" s="10" t="s">
        <v>1047</v>
      </c>
      <c r="C677" s="10">
        <v>81</v>
      </c>
      <c r="D677" s="39" t="s">
        <v>1038</v>
      </c>
      <c r="E677" s="40">
        <v>45156</v>
      </c>
      <c r="F677" s="10">
        <v>21</v>
      </c>
      <c r="G677" s="42">
        <v>4.9000000000000004</v>
      </c>
      <c r="H677">
        <f>IF(MONTH(calls[[#This Row],[Date of Call]])&lt;=6,YEAR(calls[[#This Row],[Date of Call]]),YEAR(calls[[#This Row],[Date of Call]])+1)</f>
        <v>2024</v>
      </c>
      <c r="I677" t="str">
        <f>TEXT(calls[[#This Row],[Date of Call]],"DDDD")</f>
        <v>Friday</v>
      </c>
      <c r="J677" t="str" cm="1">
        <f t="array" ref="J677">_xlfn.IFS(calls[[#This Row],[Duration]]&lt;=10,"UNDER 10 MINS",calls[[#This Row],[Duration]]&lt;=30,"10 TO 30 MINS",calls[[#This Row],[Duration]]&lt;=60,"30 TO 60 MINS",calls[[#This Row],[Duration]]&lt;=120,"1 TO 2 HRS",TRUE,"MORE THAN 2 HRS")</f>
        <v>1 TO 2 HRS</v>
      </c>
      <c r="K677">
        <f>ROUND(calls[[#This Row],[Satisfaction Rating]],0)</f>
        <v>5</v>
      </c>
    </row>
    <row r="678" spans="1:11" x14ac:dyDescent="0.3">
      <c r="A678" s="41" t="s">
        <v>1729</v>
      </c>
      <c r="B678" s="10" t="s">
        <v>1056</v>
      </c>
      <c r="C678" s="10">
        <v>66</v>
      </c>
      <c r="D678" s="39" t="s">
        <v>1053</v>
      </c>
      <c r="E678" s="40">
        <v>45157</v>
      </c>
      <c r="F678" s="10">
        <v>120</v>
      </c>
      <c r="G678" s="42">
        <v>4.5</v>
      </c>
      <c r="H678">
        <f>IF(MONTH(calls[[#This Row],[Date of Call]])&lt;=6,YEAR(calls[[#This Row],[Date of Call]]),YEAR(calls[[#This Row],[Date of Call]])+1)</f>
        <v>2024</v>
      </c>
      <c r="I678" t="str">
        <f>TEXT(calls[[#This Row],[Date of Call]],"DDDD")</f>
        <v>Saturday</v>
      </c>
      <c r="J678" t="str" cm="1">
        <f t="array" ref="J678">_xlfn.IFS(calls[[#This Row],[Duration]]&lt;=10,"UNDER 10 MINS",calls[[#This Row],[Duration]]&lt;=30,"10 TO 30 MINS",calls[[#This Row],[Duration]]&lt;=60,"30 TO 60 MINS",calls[[#This Row],[Duration]]&lt;=120,"1 TO 2 HRS",TRUE,"MORE THAN 2 HRS")</f>
        <v>1 TO 2 HRS</v>
      </c>
      <c r="K678">
        <f>ROUND(calls[[#This Row],[Satisfaction Rating]],0)</f>
        <v>5</v>
      </c>
    </row>
    <row r="679" spans="1:11" x14ac:dyDescent="0.3">
      <c r="A679" s="41" t="s">
        <v>1730</v>
      </c>
      <c r="B679" s="10" t="s">
        <v>1051</v>
      </c>
      <c r="C679" s="10">
        <v>61</v>
      </c>
      <c r="D679" s="39" t="s">
        <v>1048</v>
      </c>
      <c r="E679" s="40">
        <v>45157</v>
      </c>
      <c r="F679" s="10">
        <v>93</v>
      </c>
      <c r="G679" s="42">
        <v>2.7</v>
      </c>
      <c r="H679">
        <f>IF(MONTH(calls[[#This Row],[Date of Call]])&lt;=6,YEAR(calls[[#This Row],[Date of Call]]),YEAR(calls[[#This Row],[Date of Call]])+1)</f>
        <v>2024</v>
      </c>
      <c r="I679" t="str">
        <f>TEXT(calls[[#This Row],[Date of Call]],"DDDD")</f>
        <v>Saturday</v>
      </c>
      <c r="J679" t="str" cm="1">
        <f t="array" ref="J679">_xlfn.IFS(calls[[#This Row],[Duration]]&lt;=10,"UNDER 10 MINS",calls[[#This Row],[Duration]]&lt;=30,"10 TO 30 MINS",calls[[#This Row],[Duration]]&lt;=60,"30 TO 60 MINS",calls[[#This Row],[Duration]]&lt;=120,"1 TO 2 HRS",TRUE,"MORE THAN 2 HRS")</f>
        <v>1 TO 2 HRS</v>
      </c>
      <c r="K679">
        <f>ROUND(calls[[#This Row],[Satisfaction Rating]],0)</f>
        <v>3</v>
      </c>
    </row>
    <row r="680" spans="1:11" x14ac:dyDescent="0.3">
      <c r="A680" s="41" t="s">
        <v>1731</v>
      </c>
      <c r="B680" s="10" t="s">
        <v>1047</v>
      </c>
      <c r="C680" s="10">
        <v>128</v>
      </c>
      <c r="D680" s="39" t="s">
        <v>1048</v>
      </c>
      <c r="E680" s="40">
        <v>45157</v>
      </c>
      <c r="F680" s="10">
        <v>135</v>
      </c>
      <c r="G680" s="42">
        <v>2.1</v>
      </c>
      <c r="H680">
        <f>IF(MONTH(calls[[#This Row],[Date of Call]])&lt;=6,YEAR(calls[[#This Row],[Date of Call]]),YEAR(calls[[#This Row],[Date of Call]])+1)</f>
        <v>2024</v>
      </c>
      <c r="I680" t="str">
        <f>TEXT(calls[[#This Row],[Date of Call]],"DDDD")</f>
        <v>Saturday</v>
      </c>
      <c r="J680" t="str" cm="1">
        <f t="array" ref="J680">_xlfn.IFS(calls[[#This Row],[Duration]]&lt;=10,"UNDER 10 MINS",calls[[#This Row],[Duration]]&lt;=30,"10 TO 30 MINS",calls[[#This Row],[Duration]]&lt;=60,"30 TO 60 MINS",calls[[#This Row],[Duration]]&lt;=120,"1 TO 2 HRS",TRUE,"MORE THAN 2 HRS")</f>
        <v>MORE THAN 2 HRS</v>
      </c>
      <c r="K680">
        <f>ROUND(calls[[#This Row],[Satisfaction Rating]],0)</f>
        <v>2</v>
      </c>
    </row>
    <row r="681" spans="1:11" x14ac:dyDescent="0.3">
      <c r="A681" s="41" t="s">
        <v>1732</v>
      </c>
      <c r="B681" s="10" t="s">
        <v>1079</v>
      </c>
      <c r="C681" s="10">
        <v>30</v>
      </c>
      <c r="D681" s="39" t="s">
        <v>1038</v>
      </c>
      <c r="E681" s="40">
        <v>45157</v>
      </c>
      <c r="F681" s="10">
        <v>210</v>
      </c>
      <c r="G681" s="42">
        <v>4.2</v>
      </c>
      <c r="H681">
        <f>IF(MONTH(calls[[#This Row],[Date of Call]])&lt;=6,YEAR(calls[[#This Row],[Date of Call]]),YEAR(calls[[#This Row],[Date of Call]])+1)</f>
        <v>2024</v>
      </c>
      <c r="I681" t="str">
        <f>TEXT(calls[[#This Row],[Date of Call]],"DDDD")</f>
        <v>Saturday</v>
      </c>
      <c r="J681" t="str" cm="1">
        <f t="array" ref="J681">_xlfn.IFS(calls[[#This Row],[Duration]]&lt;=10,"UNDER 10 MINS",calls[[#This Row],[Duration]]&lt;=30,"10 TO 30 MINS",calls[[#This Row],[Duration]]&lt;=60,"30 TO 60 MINS",calls[[#This Row],[Duration]]&lt;=120,"1 TO 2 HRS",TRUE,"MORE THAN 2 HRS")</f>
        <v>10 TO 30 MINS</v>
      </c>
      <c r="K681">
        <f>ROUND(calls[[#This Row],[Satisfaction Rating]],0)</f>
        <v>4</v>
      </c>
    </row>
    <row r="682" spans="1:11" x14ac:dyDescent="0.3">
      <c r="A682" s="41" t="s">
        <v>1733</v>
      </c>
      <c r="B682" s="10" t="s">
        <v>1109</v>
      </c>
      <c r="C682" s="10">
        <v>63</v>
      </c>
      <c r="D682" s="39" t="s">
        <v>1048</v>
      </c>
      <c r="E682" s="40">
        <v>45158</v>
      </c>
      <c r="F682" s="10">
        <v>29</v>
      </c>
      <c r="G682" s="42">
        <v>4.7</v>
      </c>
      <c r="H682">
        <f>IF(MONTH(calls[[#This Row],[Date of Call]])&lt;=6,YEAR(calls[[#This Row],[Date of Call]]),YEAR(calls[[#This Row],[Date of Call]])+1)</f>
        <v>2024</v>
      </c>
      <c r="I682" t="str">
        <f>TEXT(calls[[#This Row],[Date of Call]],"DDDD")</f>
        <v>Sunday</v>
      </c>
      <c r="J682" t="str" cm="1">
        <f t="array" ref="J682">_xlfn.IFS(calls[[#This Row],[Duration]]&lt;=10,"UNDER 10 MINS",calls[[#This Row],[Duration]]&lt;=30,"10 TO 30 MINS",calls[[#This Row],[Duration]]&lt;=60,"30 TO 60 MINS",calls[[#This Row],[Duration]]&lt;=120,"1 TO 2 HRS",TRUE,"MORE THAN 2 HRS")</f>
        <v>1 TO 2 HRS</v>
      </c>
      <c r="K682">
        <f>ROUND(calls[[#This Row],[Satisfaction Rating]],0)</f>
        <v>5</v>
      </c>
    </row>
    <row r="683" spans="1:11" x14ac:dyDescent="0.3">
      <c r="A683" s="41" t="s">
        <v>1734</v>
      </c>
      <c r="B683" s="10" t="s">
        <v>1062</v>
      </c>
      <c r="C683" s="10">
        <v>64</v>
      </c>
      <c r="D683" s="39" t="s">
        <v>1057</v>
      </c>
      <c r="E683" s="40">
        <v>45158</v>
      </c>
      <c r="F683" s="10">
        <v>111</v>
      </c>
      <c r="G683" s="42">
        <v>3.9</v>
      </c>
      <c r="H683">
        <f>IF(MONTH(calls[[#This Row],[Date of Call]])&lt;=6,YEAR(calls[[#This Row],[Date of Call]]),YEAR(calls[[#This Row],[Date of Call]])+1)</f>
        <v>2024</v>
      </c>
      <c r="I683" t="str">
        <f>TEXT(calls[[#This Row],[Date of Call]],"DDDD")</f>
        <v>Sunday</v>
      </c>
      <c r="J683" t="str" cm="1">
        <f t="array" ref="J683">_xlfn.IFS(calls[[#This Row],[Duration]]&lt;=10,"UNDER 10 MINS",calls[[#This Row],[Duration]]&lt;=30,"10 TO 30 MINS",calls[[#This Row],[Duration]]&lt;=60,"30 TO 60 MINS",calls[[#This Row],[Duration]]&lt;=120,"1 TO 2 HRS",TRUE,"MORE THAN 2 HRS")</f>
        <v>1 TO 2 HRS</v>
      </c>
      <c r="K683">
        <f>ROUND(calls[[#This Row],[Satisfaction Rating]],0)</f>
        <v>4</v>
      </c>
    </row>
    <row r="684" spans="1:11" x14ac:dyDescent="0.3">
      <c r="A684" s="41" t="s">
        <v>1735</v>
      </c>
      <c r="B684" s="10" t="s">
        <v>1045</v>
      </c>
      <c r="C684" s="10">
        <v>151</v>
      </c>
      <c r="D684" s="39" t="s">
        <v>1043</v>
      </c>
      <c r="E684" s="40">
        <v>45159</v>
      </c>
      <c r="F684" s="10">
        <v>63</v>
      </c>
      <c r="G684" s="42">
        <v>4.0999999999999996</v>
      </c>
      <c r="H684">
        <f>IF(MONTH(calls[[#This Row],[Date of Call]])&lt;=6,YEAR(calls[[#This Row],[Date of Call]]),YEAR(calls[[#This Row],[Date of Call]])+1)</f>
        <v>2024</v>
      </c>
      <c r="I684" t="str">
        <f>TEXT(calls[[#This Row],[Date of Call]],"DDDD")</f>
        <v>Monday</v>
      </c>
      <c r="J684" t="str" cm="1">
        <f t="array" ref="J684">_xlfn.IFS(calls[[#This Row],[Duration]]&lt;=10,"UNDER 10 MINS",calls[[#This Row],[Duration]]&lt;=30,"10 TO 30 MINS",calls[[#This Row],[Duration]]&lt;=60,"30 TO 60 MINS",calls[[#This Row],[Duration]]&lt;=120,"1 TO 2 HRS",TRUE,"MORE THAN 2 HRS")</f>
        <v>MORE THAN 2 HRS</v>
      </c>
      <c r="K684">
        <f>ROUND(calls[[#This Row],[Satisfaction Rating]],0)</f>
        <v>4</v>
      </c>
    </row>
    <row r="685" spans="1:11" x14ac:dyDescent="0.3">
      <c r="A685" s="41" t="s">
        <v>1736</v>
      </c>
      <c r="B685" s="10" t="s">
        <v>1089</v>
      </c>
      <c r="C685" s="10">
        <v>116</v>
      </c>
      <c r="D685" s="39" t="s">
        <v>1053</v>
      </c>
      <c r="E685" s="40">
        <v>45159</v>
      </c>
      <c r="F685" s="10">
        <v>44</v>
      </c>
      <c r="G685" s="42">
        <v>3.8</v>
      </c>
      <c r="H685">
        <f>IF(MONTH(calls[[#This Row],[Date of Call]])&lt;=6,YEAR(calls[[#This Row],[Date of Call]]),YEAR(calls[[#This Row],[Date of Call]])+1)</f>
        <v>2024</v>
      </c>
      <c r="I685" t="str">
        <f>TEXT(calls[[#This Row],[Date of Call]],"DDDD")</f>
        <v>Monday</v>
      </c>
      <c r="J685" t="str" cm="1">
        <f t="array" ref="J685">_xlfn.IFS(calls[[#This Row],[Duration]]&lt;=10,"UNDER 10 MINS",calls[[#This Row],[Duration]]&lt;=30,"10 TO 30 MINS",calls[[#This Row],[Duration]]&lt;=60,"30 TO 60 MINS",calls[[#This Row],[Duration]]&lt;=120,"1 TO 2 HRS",TRUE,"MORE THAN 2 HRS")</f>
        <v>1 TO 2 HRS</v>
      </c>
      <c r="K685">
        <f>ROUND(calls[[#This Row],[Satisfaction Rating]],0)</f>
        <v>4</v>
      </c>
    </row>
    <row r="686" spans="1:11" x14ac:dyDescent="0.3">
      <c r="A686" s="41" t="s">
        <v>1737</v>
      </c>
      <c r="B686" s="10" t="s">
        <v>1045</v>
      </c>
      <c r="C686" s="10">
        <v>111</v>
      </c>
      <c r="D686" s="39" t="s">
        <v>1053</v>
      </c>
      <c r="E686" s="40">
        <v>45161</v>
      </c>
      <c r="F686" s="10">
        <v>120</v>
      </c>
      <c r="G686" s="42">
        <v>1.8</v>
      </c>
      <c r="H686">
        <f>IF(MONTH(calls[[#This Row],[Date of Call]])&lt;=6,YEAR(calls[[#This Row],[Date of Call]]),YEAR(calls[[#This Row],[Date of Call]])+1)</f>
        <v>2024</v>
      </c>
      <c r="I686" t="str">
        <f>TEXT(calls[[#This Row],[Date of Call]],"DDDD")</f>
        <v>Wednesday</v>
      </c>
      <c r="J686" t="str" cm="1">
        <f t="array" ref="J686">_xlfn.IFS(calls[[#This Row],[Duration]]&lt;=10,"UNDER 10 MINS",calls[[#This Row],[Duration]]&lt;=30,"10 TO 30 MINS",calls[[#This Row],[Duration]]&lt;=60,"30 TO 60 MINS",calls[[#This Row],[Duration]]&lt;=120,"1 TO 2 HRS",TRUE,"MORE THAN 2 HRS")</f>
        <v>1 TO 2 HRS</v>
      </c>
      <c r="K686">
        <f>ROUND(calls[[#This Row],[Satisfaction Rating]],0)</f>
        <v>2</v>
      </c>
    </row>
    <row r="687" spans="1:11" x14ac:dyDescent="0.3">
      <c r="A687" s="41" t="s">
        <v>1738</v>
      </c>
      <c r="B687" s="10" t="s">
        <v>1047</v>
      </c>
      <c r="C687" s="10">
        <v>15</v>
      </c>
      <c r="D687" s="39" t="s">
        <v>1053</v>
      </c>
      <c r="E687" s="40">
        <v>45161</v>
      </c>
      <c r="F687" s="10">
        <v>120</v>
      </c>
      <c r="G687" s="42">
        <v>4.0999999999999996</v>
      </c>
      <c r="H687">
        <f>IF(MONTH(calls[[#This Row],[Date of Call]])&lt;=6,YEAR(calls[[#This Row],[Date of Call]]),YEAR(calls[[#This Row],[Date of Call]])+1)</f>
        <v>2024</v>
      </c>
      <c r="I687" t="str">
        <f>TEXT(calls[[#This Row],[Date of Call]],"DDDD")</f>
        <v>Wednesday</v>
      </c>
      <c r="J687" t="str" cm="1">
        <f t="array" ref="J687">_xlfn.IFS(calls[[#This Row],[Duration]]&lt;=10,"UNDER 10 MINS",calls[[#This Row],[Duration]]&lt;=30,"10 TO 30 MINS",calls[[#This Row],[Duration]]&lt;=60,"30 TO 60 MINS",calls[[#This Row],[Duration]]&lt;=120,"1 TO 2 HRS",TRUE,"MORE THAN 2 HRS")</f>
        <v>10 TO 30 MINS</v>
      </c>
      <c r="K687">
        <f>ROUND(calls[[#This Row],[Satisfaction Rating]],0)</f>
        <v>4</v>
      </c>
    </row>
    <row r="688" spans="1:11" x14ac:dyDescent="0.3">
      <c r="A688" s="41" t="s">
        <v>1739</v>
      </c>
      <c r="B688" s="10" t="s">
        <v>1062</v>
      </c>
      <c r="C688" s="10">
        <v>18</v>
      </c>
      <c r="D688" s="39" t="s">
        <v>1043</v>
      </c>
      <c r="E688" s="40">
        <v>45162</v>
      </c>
      <c r="F688" s="10">
        <v>40</v>
      </c>
      <c r="G688" s="42">
        <v>4.4000000000000004</v>
      </c>
      <c r="H688">
        <f>IF(MONTH(calls[[#This Row],[Date of Call]])&lt;=6,YEAR(calls[[#This Row],[Date of Call]]),YEAR(calls[[#This Row],[Date of Call]])+1)</f>
        <v>2024</v>
      </c>
      <c r="I688" t="str">
        <f>TEXT(calls[[#This Row],[Date of Call]],"DDDD")</f>
        <v>Thursday</v>
      </c>
      <c r="J688" t="str" cm="1">
        <f t="array" ref="J688">_xlfn.IFS(calls[[#This Row],[Duration]]&lt;=10,"UNDER 10 MINS",calls[[#This Row],[Duration]]&lt;=30,"10 TO 30 MINS",calls[[#This Row],[Duration]]&lt;=60,"30 TO 60 MINS",calls[[#This Row],[Duration]]&lt;=120,"1 TO 2 HRS",TRUE,"MORE THAN 2 HRS")</f>
        <v>10 TO 30 MINS</v>
      </c>
      <c r="K688">
        <f>ROUND(calls[[#This Row],[Satisfaction Rating]],0)</f>
        <v>4</v>
      </c>
    </row>
    <row r="689" spans="1:11" x14ac:dyDescent="0.3">
      <c r="A689" s="41" t="s">
        <v>1740</v>
      </c>
      <c r="B689" s="10" t="s">
        <v>1051</v>
      </c>
      <c r="C689" s="10">
        <v>146</v>
      </c>
      <c r="D689" s="39" t="s">
        <v>1048</v>
      </c>
      <c r="E689" s="40">
        <v>45162</v>
      </c>
      <c r="F689" s="10">
        <v>160</v>
      </c>
      <c r="G689" s="42">
        <v>4.0999999999999996</v>
      </c>
      <c r="H689">
        <f>IF(MONTH(calls[[#This Row],[Date of Call]])&lt;=6,YEAR(calls[[#This Row],[Date of Call]]),YEAR(calls[[#This Row],[Date of Call]])+1)</f>
        <v>2024</v>
      </c>
      <c r="I689" t="str">
        <f>TEXT(calls[[#This Row],[Date of Call]],"DDDD")</f>
        <v>Thursday</v>
      </c>
      <c r="J689" t="str" cm="1">
        <f t="array" ref="J689">_xlfn.IFS(calls[[#This Row],[Duration]]&lt;=10,"UNDER 10 MINS",calls[[#This Row],[Duration]]&lt;=30,"10 TO 30 MINS",calls[[#This Row],[Duration]]&lt;=60,"30 TO 60 MINS",calls[[#This Row],[Duration]]&lt;=120,"1 TO 2 HRS",TRUE,"MORE THAN 2 HRS")</f>
        <v>MORE THAN 2 HRS</v>
      </c>
      <c r="K689">
        <f>ROUND(calls[[#This Row],[Satisfaction Rating]],0)</f>
        <v>4</v>
      </c>
    </row>
    <row r="690" spans="1:11" x14ac:dyDescent="0.3">
      <c r="A690" s="41" t="s">
        <v>1741</v>
      </c>
      <c r="B690" s="10" t="s">
        <v>1079</v>
      </c>
      <c r="C690" s="10">
        <v>73</v>
      </c>
      <c r="D690" s="39" t="s">
        <v>1053</v>
      </c>
      <c r="E690" s="40">
        <v>45163</v>
      </c>
      <c r="F690" s="10">
        <v>44</v>
      </c>
      <c r="G690" s="42">
        <v>3.8</v>
      </c>
      <c r="H690">
        <f>IF(MONTH(calls[[#This Row],[Date of Call]])&lt;=6,YEAR(calls[[#This Row],[Date of Call]]),YEAR(calls[[#This Row],[Date of Call]])+1)</f>
        <v>2024</v>
      </c>
      <c r="I690" t="str">
        <f>TEXT(calls[[#This Row],[Date of Call]],"DDDD")</f>
        <v>Friday</v>
      </c>
      <c r="J690" t="str" cm="1">
        <f t="array" ref="J690">_xlfn.IFS(calls[[#This Row],[Duration]]&lt;=10,"UNDER 10 MINS",calls[[#This Row],[Duration]]&lt;=30,"10 TO 30 MINS",calls[[#This Row],[Duration]]&lt;=60,"30 TO 60 MINS",calls[[#This Row],[Duration]]&lt;=120,"1 TO 2 HRS",TRUE,"MORE THAN 2 HRS")</f>
        <v>1 TO 2 HRS</v>
      </c>
      <c r="K690">
        <f>ROUND(calls[[#This Row],[Satisfaction Rating]],0)</f>
        <v>4</v>
      </c>
    </row>
    <row r="691" spans="1:11" x14ac:dyDescent="0.3">
      <c r="A691" s="41" t="s">
        <v>1742</v>
      </c>
      <c r="B691" s="10" t="s">
        <v>1045</v>
      </c>
      <c r="C691" s="10">
        <v>108</v>
      </c>
      <c r="D691" s="39" t="s">
        <v>1043</v>
      </c>
      <c r="E691" s="40">
        <v>45163</v>
      </c>
      <c r="F691" s="10">
        <v>80</v>
      </c>
      <c r="G691" s="42">
        <v>4.3</v>
      </c>
      <c r="H691">
        <f>IF(MONTH(calls[[#This Row],[Date of Call]])&lt;=6,YEAR(calls[[#This Row],[Date of Call]]),YEAR(calls[[#This Row],[Date of Call]])+1)</f>
        <v>2024</v>
      </c>
      <c r="I691" t="str">
        <f>TEXT(calls[[#This Row],[Date of Call]],"DDDD")</f>
        <v>Friday</v>
      </c>
      <c r="J691" t="str" cm="1">
        <f t="array" ref="J691">_xlfn.IFS(calls[[#This Row],[Duration]]&lt;=10,"UNDER 10 MINS",calls[[#This Row],[Duration]]&lt;=30,"10 TO 30 MINS",calls[[#This Row],[Duration]]&lt;=60,"30 TO 60 MINS",calls[[#This Row],[Duration]]&lt;=120,"1 TO 2 HRS",TRUE,"MORE THAN 2 HRS")</f>
        <v>1 TO 2 HRS</v>
      </c>
      <c r="K691">
        <f>ROUND(calls[[#This Row],[Satisfaction Rating]],0)</f>
        <v>4</v>
      </c>
    </row>
    <row r="692" spans="1:11" x14ac:dyDescent="0.3">
      <c r="A692" s="41" t="s">
        <v>1743</v>
      </c>
      <c r="B692" s="10" t="s">
        <v>1071</v>
      </c>
      <c r="C692" s="10">
        <v>52</v>
      </c>
      <c r="D692" s="39" t="s">
        <v>1043</v>
      </c>
      <c r="E692" s="40">
        <v>45164</v>
      </c>
      <c r="F692" s="10">
        <v>66</v>
      </c>
      <c r="G692" s="42">
        <v>4.5</v>
      </c>
      <c r="H692">
        <f>IF(MONTH(calls[[#This Row],[Date of Call]])&lt;=6,YEAR(calls[[#This Row],[Date of Call]]),YEAR(calls[[#This Row],[Date of Call]])+1)</f>
        <v>2024</v>
      </c>
      <c r="I692" t="str">
        <f>TEXT(calls[[#This Row],[Date of Call]],"DDDD")</f>
        <v>Saturday</v>
      </c>
      <c r="J692" t="str" cm="1">
        <f t="array" ref="J692">_xlfn.IFS(calls[[#This Row],[Duration]]&lt;=10,"UNDER 10 MINS",calls[[#This Row],[Duration]]&lt;=30,"10 TO 30 MINS",calls[[#This Row],[Duration]]&lt;=60,"30 TO 60 MINS",calls[[#This Row],[Duration]]&lt;=120,"1 TO 2 HRS",TRUE,"MORE THAN 2 HRS")</f>
        <v>30 TO 60 MINS</v>
      </c>
      <c r="K692">
        <f>ROUND(calls[[#This Row],[Satisfaction Rating]],0)</f>
        <v>5</v>
      </c>
    </row>
    <row r="693" spans="1:11" x14ac:dyDescent="0.3">
      <c r="A693" s="41" t="s">
        <v>1744</v>
      </c>
      <c r="B693" s="10" t="s">
        <v>1089</v>
      </c>
      <c r="C693" s="10">
        <v>165</v>
      </c>
      <c r="D693" s="39" t="s">
        <v>1057</v>
      </c>
      <c r="E693" s="40">
        <v>45164</v>
      </c>
      <c r="F693" s="10">
        <v>82</v>
      </c>
      <c r="G693" s="42">
        <v>3.4</v>
      </c>
      <c r="H693">
        <f>IF(MONTH(calls[[#This Row],[Date of Call]])&lt;=6,YEAR(calls[[#This Row],[Date of Call]]),YEAR(calls[[#This Row],[Date of Call]])+1)</f>
        <v>2024</v>
      </c>
      <c r="I693" t="str">
        <f>TEXT(calls[[#This Row],[Date of Call]],"DDDD")</f>
        <v>Saturday</v>
      </c>
      <c r="J693" t="str" cm="1">
        <f t="array" ref="J693">_xlfn.IFS(calls[[#This Row],[Duration]]&lt;=10,"UNDER 10 MINS",calls[[#This Row],[Duration]]&lt;=30,"10 TO 30 MINS",calls[[#This Row],[Duration]]&lt;=60,"30 TO 60 MINS",calls[[#This Row],[Duration]]&lt;=120,"1 TO 2 HRS",TRUE,"MORE THAN 2 HRS")</f>
        <v>MORE THAN 2 HRS</v>
      </c>
      <c r="K693">
        <f>ROUND(calls[[#This Row],[Satisfaction Rating]],0)</f>
        <v>3</v>
      </c>
    </row>
    <row r="694" spans="1:11" x14ac:dyDescent="0.3">
      <c r="A694" s="41" t="s">
        <v>1745</v>
      </c>
      <c r="B694" s="10" t="s">
        <v>1051</v>
      </c>
      <c r="C694" s="10">
        <v>104</v>
      </c>
      <c r="D694" s="39" t="s">
        <v>1053</v>
      </c>
      <c r="E694" s="40">
        <v>45164</v>
      </c>
      <c r="F694" s="10">
        <v>66</v>
      </c>
      <c r="G694" s="42">
        <v>4.8</v>
      </c>
      <c r="H694">
        <f>IF(MONTH(calls[[#This Row],[Date of Call]])&lt;=6,YEAR(calls[[#This Row],[Date of Call]]),YEAR(calls[[#This Row],[Date of Call]])+1)</f>
        <v>2024</v>
      </c>
      <c r="I694" t="str">
        <f>TEXT(calls[[#This Row],[Date of Call]],"DDDD")</f>
        <v>Saturday</v>
      </c>
      <c r="J694" t="str" cm="1">
        <f t="array" ref="J694">_xlfn.IFS(calls[[#This Row],[Duration]]&lt;=10,"UNDER 10 MINS",calls[[#This Row],[Duration]]&lt;=30,"10 TO 30 MINS",calls[[#This Row],[Duration]]&lt;=60,"30 TO 60 MINS",calls[[#This Row],[Duration]]&lt;=120,"1 TO 2 HRS",TRUE,"MORE THAN 2 HRS")</f>
        <v>1 TO 2 HRS</v>
      </c>
      <c r="K694">
        <f>ROUND(calls[[#This Row],[Satisfaction Rating]],0)</f>
        <v>5</v>
      </c>
    </row>
    <row r="695" spans="1:11" x14ac:dyDescent="0.3">
      <c r="A695" s="41" t="s">
        <v>1746</v>
      </c>
      <c r="B695" s="10" t="s">
        <v>1079</v>
      </c>
      <c r="C695" s="10">
        <v>131</v>
      </c>
      <c r="D695" s="39" t="s">
        <v>1048</v>
      </c>
      <c r="E695" s="40">
        <v>45164</v>
      </c>
      <c r="F695" s="10">
        <v>92</v>
      </c>
      <c r="G695" s="42">
        <v>4.9000000000000004</v>
      </c>
      <c r="H695">
        <f>IF(MONTH(calls[[#This Row],[Date of Call]])&lt;=6,YEAR(calls[[#This Row],[Date of Call]]),YEAR(calls[[#This Row],[Date of Call]])+1)</f>
        <v>2024</v>
      </c>
      <c r="I695" t="str">
        <f>TEXT(calls[[#This Row],[Date of Call]],"DDDD")</f>
        <v>Saturday</v>
      </c>
      <c r="J695" t="str" cm="1">
        <f t="array" ref="J695">_xlfn.IFS(calls[[#This Row],[Duration]]&lt;=10,"UNDER 10 MINS",calls[[#This Row],[Duration]]&lt;=30,"10 TO 30 MINS",calls[[#This Row],[Duration]]&lt;=60,"30 TO 60 MINS",calls[[#This Row],[Duration]]&lt;=120,"1 TO 2 HRS",TRUE,"MORE THAN 2 HRS")</f>
        <v>MORE THAN 2 HRS</v>
      </c>
      <c r="K695">
        <f>ROUND(calls[[#This Row],[Satisfaction Rating]],0)</f>
        <v>5</v>
      </c>
    </row>
    <row r="696" spans="1:11" x14ac:dyDescent="0.3">
      <c r="A696" s="41" t="s">
        <v>1747</v>
      </c>
      <c r="B696" s="10" t="s">
        <v>1076</v>
      </c>
      <c r="C696" s="10">
        <v>80</v>
      </c>
      <c r="D696" s="39" t="s">
        <v>1057</v>
      </c>
      <c r="E696" s="40">
        <v>45165</v>
      </c>
      <c r="F696" s="10">
        <v>104</v>
      </c>
      <c r="G696" s="42">
        <v>4.7</v>
      </c>
      <c r="H696">
        <f>IF(MONTH(calls[[#This Row],[Date of Call]])&lt;=6,YEAR(calls[[#This Row],[Date of Call]]),YEAR(calls[[#This Row],[Date of Call]])+1)</f>
        <v>2024</v>
      </c>
      <c r="I696" t="str">
        <f>TEXT(calls[[#This Row],[Date of Call]],"DDDD")</f>
        <v>Sunday</v>
      </c>
      <c r="J696" t="str" cm="1">
        <f t="array" ref="J696">_xlfn.IFS(calls[[#This Row],[Duration]]&lt;=10,"UNDER 10 MINS",calls[[#This Row],[Duration]]&lt;=30,"10 TO 30 MINS",calls[[#This Row],[Duration]]&lt;=60,"30 TO 60 MINS",calls[[#This Row],[Duration]]&lt;=120,"1 TO 2 HRS",TRUE,"MORE THAN 2 HRS")</f>
        <v>1 TO 2 HRS</v>
      </c>
      <c r="K696">
        <f>ROUND(calls[[#This Row],[Satisfaction Rating]],0)</f>
        <v>5</v>
      </c>
    </row>
    <row r="697" spans="1:11" x14ac:dyDescent="0.3">
      <c r="A697" s="41" t="s">
        <v>1748</v>
      </c>
      <c r="B697" s="10" t="s">
        <v>1047</v>
      </c>
      <c r="C697" s="10">
        <v>49</v>
      </c>
      <c r="D697" s="39" t="s">
        <v>1053</v>
      </c>
      <c r="E697" s="40">
        <v>45165</v>
      </c>
      <c r="F697" s="10">
        <v>105</v>
      </c>
      <c r="G697" s="42">
        <v>3.3</v>
      </c>
      <c r="H697">
        <f>IF(MONTH(calls[[#This Row],[Date of Call]])&lt;=6,YEAR(calls[[#This Row],[Date of Call]]),YEAR(calls[[#This Row],[Date of Call]])+1)</f>
        <v>2024</v>
      </c>
      <c r="I697" t="str">
        <f>TEXT(calls[[#This Row],[Date of Call]],"DDDD")</f>
        <v>Sunday</v>
      </c>
      <c r="J697" t="str" cm="1">
        <f t="array" ref="J697">_xlfn.IFS(calls[[#This Row],[Duration]]&lt;=10,"UNDER 10 MINS",calls[[#This Row],[Duration]]&lt;=30,"10 TO 30 MINS",calls[[#This Row],[Duration]]&lt;=60,"30 TO 60 MINS",calls[[#This Row],[Duration]]&lt;=120,"1 TO 2 HRS",TRUE,"MORE THAN 2 HRS")</f>
        <v>30 TO 60 MINS</v>
      </c>
      <c r="K697">
        <f>ROUND(calls[[#This Row],[Satisfaction Rating]],0)</f>
        <v>3</v>
      </c>
    </row>
    <row r="698" spans="1:11" x14ac:dyDescent="0.3">
      <c r="A698" s="41" t="s">
        <v>1749</v>
      </c>
      <c r="B698" s="10" t="s">
        <v>1089</v>
      </c>
      <c r="C698" s="10">
        <v>73</v>
      </c>
      <c r="D698" s="39" t="s">
        <v>1053</v>
      </c>
      <c r="E698" s="40">
        <v>45165</v>
      </c>
      <c r="F698" s="10">
        <v>100</v>
      </c>
      <c r="G698" s="42">
        <v>2.8</v>
      </c>
      <c r="H698">
        <f>IF(MONTH(calls[[#This Row],[Date of Call]])&lt;=6,YEAR(calls[[#This Row],[Date of Call]]),YEAR(calls[[#This Row],[Date of Call]])+1)</f>
        <v>2024</v>
      </c>
      <c r="I698" t="str">
        <f>TEXT(calls[[#This Row],[Date of Call]],"DDDD")</f>
        <v>Sunday</v>
      </c>
      <c r="J698" t="str" cm="1">
        <f t="array" ref="J698">_xlfn.IFS(calls[[#This Row],[Duration]]&lt;=10,"UNDER 10 MINS",calls[[#This Row],[Duration]]&lt;=30,"10 TO 30 MINS",calls[[#This Row],[Duration]]&lt;=60,"30 TO 60 MINS",calls[[#This Row],[Duration]]&lt;=120,"1 TO 2 HRS",TRUE,"MORE THAN 2 HRS")</f>
        <v>1 TO 2 HRS</v>
      </c>
      <c r="K698">
        <f>ROUND(calls[[#This Row],[Satisfaction Rating]],0)</f>
        <v>3</v>
      </c>
    </row>
    <row r="699" spans="1:11" x14ac:dyDescent="0.3">
      <c r="A699" s="41" t="s">
        <v>1750</v>
      </c>
      <c r="B699" s="10" t="s">
        <v>1051</v>
      </c>
      <c r="C699" s="10">
        <v>117</v>
      </c>
      <c r="D699" s="39" t="s">
        <v>1057</v>
      </c>
      <c r="E699" s="40">
        <v>45165</v>
      </c>
      <c r="F699" s="10">
        <v>90</v>
      </c>
      <c r="G699" s="42">
        <v>4.0999999999999996</v>
      </c>
      <c r="H699">
        <f>IF(MONTH(calls[[#This Row],[Date of Call]])&lt;=6,YEAR(calls[[#This Row],[Date of Call]]),YEAR(calls[[#This Row],[Date of Call]])+1)</f>
        <v>2024</v>
      </c>
      <c r="I699" t="str">
        <f>TEXT(calls[[#This Row],[Date of Call]],"DDDD")</f>
        <v>Sunday</v>
      </c>
      <c r="J699" t="str" cm="1">
        <f t="array" ref="J699">_xlfn.IFS(calls[[#This Row],[Duration]]&lt;=10,"UNDER 10 MINS",calls[[#This Row],[Duration]]&lt;=30,"10 TO 30 MINS",calls[[#This Row],[Duration]]&lt;=60,"30 TO 60 MINS",calls[[#This Row],[Duration]]&lt;=120,"1 TO 2 HRS",TRUE,"MORE THAN 2 HRS")</f>
        <v>1 TO 2 HRS</v>
      </c>
      <c r="K699">
        <f>ROUND(calls[[#This Row],[Satisfaction Rating]],0)</f>
        <v>4</v>
      </c>
    </row>
    <row r="700" spans="1:11" x14ac:dyDescent="0.3">
      <c r="A700" s="41" t="s">
        <v>1751</v>
      </c>
      <c r="B700" s="10" t="s">
        <v>1042</v>
      </c>
      <c r="C700" s="10">
        <v>38</v>
      </c>
      <c r="D700" s="39" t="s">
        <v>1038</v>
      </c>
      <c r="E700" s="40">
        <v>45165</v>
      </c>
      <c r="F700" s="10">
        <v>110</v>
      </c>
      <c r="G700" s="42">
        <v>3.5</v>
      </c>
      <c r="H700">
        <f>IF(MONTH(calls[[#This Row],[Date of Call]])&lt;=6,YEAR(calls[[#This Row],[Date of Call]]),YEAR(calls[[#This Row],[Date of Call]])+1)</f>
        <v>2024</v>
      </c>
      <c r="I700" t="str">
        <f>TEXT(calls[[#This Row],[Date of Call]],"DDDD")</f>
        <v>Sunday</v>
      </c>
      <c r="J700" t="str" cm="1">
        <f t="array" ref="J700">_xlfn.IFS(calls[[#This Row],[Duration]]&lt;=10,"UNDER 10 MINS",calls[[#This Row],[Duration]]&lt;=30,"10 TO 30 MINS",calls[[#This Row],[Duration]]&lt;=60,"30 TO 60 MINS",calls[[#This Row],[Duration]]&lt;=120,"1 TO 2 HRS",TRUE,"MORE THAN 2 HRS")</f>
        <v>30 TO 60 MINS</v>
      </c>
      <c r="K700">
        <f>ROUND(calls[[#This Row],[Satisfaction Rating]],0)</f>
        <v>4</v>
      </c>
    </row>
    <row r="701" spans="1:11" x14ac:dyDescent="0.3">
      <c r="A701" s="41" t="s">
        <v>1752</v>
      </c>
      <c r="B701" s="10" t="s">
        <v>1071</v>
      </c>
      <c r="C701" s="10">
        <v>109</v>
      </c>
      <c r="D701" s="39" t="s">
        <v>1057</v>
      </c>
      <c r="E701" s="40">
        <v>45167</v>
      </c>
      <c r="F701" s="10">
        <v>68</v>
      </c>
      <c r="G701" s="42">
        <v>2.2999999999999998</v>
      </c>
      <c r="H701">
        <f>IF(MONTH(calls[[#This Row],[Date of Call]])&lt;=6,YEAR(calls[[#This Row],[Date of Call]]),YEAR(calls[[#This Row],[Date of Call]])+1)</f>
        <v>2024</v>
      </c>
      <c r="I701" t="str">
        <f>TEXT(calls[[#This Row],[Date of Call]],"DDDD")</f>
        <v>Tuesday</v>
      </c>
      <c r="J701" t="str" cm="1">
        <f t="array" ref="J701">_xlfn.IFS(calls[[#This Row],[Duration]]&lt;=10,"UNDER 10 MINS",calls[[#This Row],[Duration]]&lt;=30,"10 TO 30 MINS",calls[[#This Row],[Duration]]&lt;=60,"30 TO 60 MINS",calls[[#This Row],[Duration]]&lt;=120,"1 TO 2 HRS",TRUE,"MORE THAN 2 HRS")</f>
        <v>1 TO 2 HRS</v>
      </c>
      <c r="K701">
        <f>ROUND(calls[[#This Row],[Satisfaction Rating]],0)</f>
        <v>2</v>
      </c>
    </row>
    <row r="702" spans="1:11" x14ac:dyDescent="0.3">
      <c r="A702" s="41" t="s">
        <v>1753</v>
      </c>
      <c r="B702" s="10" t="s">
        <v>1047</v>
      </c>
      <c r="C702" s="10">
        <v>70</v>
      </c>
      <c r="D702" s="39" t="s">
        <v>1043</v>
      </c>
      <c r="E702" s="40">
        <v>45168</v>
      </c>
      <c r="F702" s="10">
        <v>210</v>
      </c>
      <c r="G702" s="42">
        <v>4.0999999999999996</v>
      </c>
      <c r="H702">
        <f>IF(MONTH(calls[[#This Row],[Date of Call]])&lt;=6,YEAR(calls[[#This Row],[Date of Call]]),YEAR(calls[[#This Row],[Date of Call]])+1)</f>
        <v>2024</v>
      </c>
      <c r="I702" t="str">
        <f>TEXT(calls[[#This Row],[Date of Call]],"DDDD")</f>
        <v>Wednesday</v>
      </c>
      <c r="J702" t="str" cm="1">
        <f t="array" ref="J702">_xlfn.IFS(calls[[#This Row],[Duration]]&lt;=10,"UNDER 10 MINS",calls[[#This Row],[Duration]]&lt;=30,"10 TO 30 MINS",calls[[#This Row],[Duration]]&lt;=60,"30 TO 60 MINS",calls[[#This Row],[Duration]]&lt;=120,"1 TO 2 HRS",TRUE,"MORE THAN 2 HRS")</f>
        <v>1 TO 2 HRS</v>
      </c>
      <c r="K702">
        <f>ROUND(calls[[#This Row],[Satisfaction Rating]],0)</f>
        <v>4</v>
      </c>
    </row>
    <row r="703" spans="1:11" x14ac:dyDescent="0.3">
      <c r="A703" s="41" t="s">
        <v>1754</v>
      </c>
      <c r="B703" s="10" t="s">
        <v>1040</v>
      </c>
      <c r="C703" s="10">
        <v>51</v>
      </c>
      <c r="D703" s="39" t="s">
        <v>1038</v>
      </c>
      <c r="E703" s="40">
        <v>45168</v>
      </c>
      <c r="F703" s="10">
        <v>111</v>
      </c>
      <c r="G703" s="42">
        <v>4.3</v>
      </c>
      <c r="H703">
        <f>IF(MONTH(calls[[#This Row],[Date of Call]])&lt;=6,YEAR(calls[[#This Row],[Date of Call]]),YEAR(calls[[#This Row],[Date of Call]])+1)</f>
        <v>2024</v>
      </c>
      <c r="I703" t="str">
        <f>TEXT(calls[[#This Row],[Date of Call]],"DDDD")</f>
        <v>Wednesday</v>
      </c>
      <c r="J703" t="str" cm="1">
        <f t="array" ref="J703">_xlfn.IFS(calls[[#This Row],[Duration]]&lt;=10,"UNDER 10 MINS",calls[[#This Row],[Duration]]&lt;=30,"10 TO 30 MINS",calls[[#This Row],[Duration]]&lt;=60,"30 TO 60 MINS",calls[[#This Row],[Duration]]&lt;=120,"1 TO 2 HRS",TRUE,"MORE THAN 2 HRS")</f>
        <v>30 TO 60 MINS</v>
      </c>
      <c r="K703">
        <f>ROUND(calls[[#This Row],[Satisfaction Rating]],0)</f>
        <v>4</v>
      </c>
    </row>
    <row r="704" spans="1:11" x14ac:dyDescent="0.3">
      <c r="A704" s="41" t="s">
        <v>1755</v>
      </c>
      <c r="B704" s="10" t="s">
        <v>1040</v>
      </c>
      <c r="C704" s="10">
        <v>100</v>
      </c>
      <c r="D704" s="39" t="s">
        <v>1043</v>
      </c>
      <c r="E704" s="40">
        <v>45169</v>
      </c>
      <c r="F704" s="10">
        <v>45</v>
      </c>
      <c r="G704" s="42">
        <v>4.9000000000000004</v>
      </c>
      <c r="H704">
        <f>IF(MONTH(calls[[#This Row],[Date of Call]])&lt;=6,YEAR(calls[[#This Row],[Date of Call]]),YEAR(calls[[#This Row],[Date of Call]])+1)</f>
        <v>2024</v>
      </c>
      <c r="I704" t="str">
        <f>TEXT(calls[[#This Row],[Date of Call]],"DDDD")</f>
        <v>Thursday</v>
      </c>
      <c r="J704" t="str" cm="1">
        <f t="array" ref="J704">_xlfn.IFS(calls[[#This Row],[Duration]]&lt;=10,"UNDER 10 MINS",calls[[#This Row],[Duration]]&lt;=30,"10 TO 30 MINS",calls[[#This Row],[Duration]]&lt;=60,"30 TO 60 MINS",calls[[#This Row],[Duration]]&lt;=120,"1 TO 2 HRS",TRUE,"MORE THAN 2 HRS")</f>
        <v>1 TO 2 HRS</v>
      </c>
      <c r="K704">
        <f>ROUND(calls[[#This Row],[Satisfaction Rating]],0)</f>
        <v>5</v>
      </c>
    </row>
    <row r="705" spans="1:11" x14ac:dyDescent="0.3">
      <c r="A705" s="41" t="s">
        <v>1756</v>
      </c>
      <c r="B705" s="10" t="s">
        <v>1060</v>
      </c>
      <c r="C705" s="10">
        <v>124</v>
      </c>
      <c r="D705" s="39" t="s">
        <v>1038</v>
      </c>
      <c r="E705" s="40">
        <v>45170</v>
      </c>
      <c r="F705" s="10">
        <v>132</v>
      </c>
      <c r="G705" s="42">
        <v>4</v>
      </c>
      <c r="H705">
        <f>IF(MONTH(calls[[#This Row],[Date of Call]])&lt;=6,YEAR(calls[[#This Row],[Date of Call]]),YEAR(calls[[#This Row],[Date of Call]])+1)</f>
        <v>2024</v>
      </c>
      <c r="I705" t="str">
        <f>TEXT(calls[[#This Row],[Date of Call]],"DDDD")</f>
        <v>Friday</v>
      </c>
      <c r="J705" t="str" cm="1">
        <f t="array" ref="J705">_xlfn.IFS(calls[[#This Row],[Duration]]&lt;=10,"UNDER 10 MINS",calls[[#This Row],[Duration]]&lt;=30,"10 TO 30 MINS",calls[[#This Row],[Duration]]&lt;=60,"30 TO 60 MINS",calls[[#This Row],[Duration]]&lt;=120,"1 TO 2 HRS",TRUE,"MORE THAN 2 HRS")</f>
        <v>MORE THAN 2 HRS</v>
      </c>
      <c r="K705">
        <f>ROUND(calls[[#This Row],[Satisfaction Rating]],0)</f>
        <v>4</v>
      </c>
    </row>
    <row r="706" spans="1:11" x14ac:dyDescent="0.3">
      <c r="A706" s="41" t="s">
        <v>1757</v>
      </c>
      <c r="B706" s="10" t="s">
        <v>1037</v>
      </c>
      <c r="C706" s="10">
        <v>143</v>
      </c>
      <c r="D706" s="39" t="s">
        <v>1057</v>
      </c>
      <c r="E706" s="40">
        <v>45170</v>
      </c>
      <c r="F706" s="10">
        <v>20</v>
      </c>
      <c r="G706" s="42">
        <v>4.7</v>
      </c>
      <c r="H706">
        <f>IF(MONTH(calls[[#This Row],[Date of Call]])&lt;=6,YEAR(calls[[#This Row],[Date of Call]]),YEAR(calls[[#This Row],[Date of Call]])+1)</f>
        <v>2024</v>
      </c>
      <c r="I706" t="str">
        <f>TEXT(calls[[#This Row],[Date of Call]],"DDDD")</f>
        <v>Friday</v>
      </c>
      <c r="J706" t="str" cm="1">
        <f t="array" ref="J706">_xlfn.IFS(calls[[#This Row],[Duration]]&lt;=10,"UNDER 10 MINS",calls[[#This Row],[Duration]]&lt;=30,"10 TO 30 MINS",calls[[#This Row],[Duration]]&lt;=60,"30 TO 60 MINS",calls[[#This Row],[Duration]]&lt;=120,"1 TO 2 HRS",TRUE,"MORE THAN 2 HRS")</f>
        <v>MORE THAN 2 HRS</v>
      </c>
      <c r="K706">
        <f>ROUND(calls[[#This Row],[Satisfaction Rating]],0)</f>
        <v>5</v>
      </c>
    </row>
    <row r="707" spans="1:11" x14ac:dyDescent="0.3">
      <c r="A707" s="41" t="s">
        <v>1758</v>
      </c>
      <c r="B707" s="10" t="s">
        <v>1056</v>
      </c>
      <c r="C707" s="10">
        <v>96</v>
      </c>
      <c r="D707" s="39" t="s">
        <v>1053</v>
      </c>
      <c r="E707" s="40">
        <v>45170</v>
      </c>
      <c r="F707" s="10">
        <v>36</v>
      </c>
      <c r="G707" s="42">
        <v>3.4</v>
      </c>
      <c r="H707">
        <f>IF(MONTH(calls[[#This Row],[Date of Call]])&lt;=6,YEAR(calls[[#This Row],[Date of Call]]),YEAR(calls[[#This Row],[Date of Call]])+1)</f>
        <v>2024</v>
      </c>
      <c r="I707" t="str">
        <f>TEXT(calls[[#This Row],[Date of Call]],"DDDD")</f>
        <v>Friday</v>
      </c>
      <c r="J707" t="str" cm="1">
        <f t="array" ref="J707">_xlfn.IFS(calls[[#This Row],[Duration]]&lt;=10,"UNDER 10 MINS",calls[[#This Row],[Duration]]&lt;=30,"10 TO 30 MINS",calls[[#This Row],[Duration]]&lt;=60,"30 TO 60 MINS",calls[[#This Row],[Duration]]&lt;=120,"1 TO 2 HRS",TRUE,"MORE THAN 2 HRS")</f>
        <v>1 TO 2 HRS</v>
      </c>
      <c r="K707">
        <f>ROUND(calls[[#This Row],[Satisfaction Rating]],0)</f>
        <v>3</v>
      </c>
    </row>
    <row r="708" spans="1:11" x14ac:dyDescent="0.3">
      <c r="A708" s="41" t="s">
        <v>1759</v>
      </c>
      <c r="B708" s="10" t="s">
        <v>1089</v>
      </c>
      <c r="C708" s="10">
        <v>84</v>
      </c>
      <c r="D708" s="39" t="s">
        <v>1043</v>
      </c>
      <c r="E708" s="40">
        <v>45172</v>
      </c>
      <c r="F708" s="10">
        <v>72</v>
      </c>
      <c r="G708" s="42">
        <v>4</v>
      </c>
      <c r="H708">
        <f>IF(MONTH(calls[[#This Row],[Date of Call]])&lt;=6,YEAR(calls[[#This Row],[Date of Call]]),YEAR(calls[[#This Row],[Date of Call]])+1)</f>
        <v>2024</v>
      </c>
      <c r="I708" t="str">
        <f>TEXT(calls[[#This Row],[Date of Call]],"DDDD")</f>
        <v>Sunday</v>
      </c>
      <c r="J708" t="str" cm="1">
        <f t="array" ref="J708">_xlfn.IFS(calls[[#This Row],[Duration]]&lt;=10,"UNDER 10 MINS",calls[[#This Row],[Duration]]&lt;=30,"10 TO 30 MINS",calls[[#This Row],[Duration]]&lt;=60,"30 TO 60 MINS",calls[[#This Row],[Duration]]&lt;=120,"1 TO 2 HRS",TRUE,"MORE THAN 2 HRS")</f>
        <v>1 TO 2 HRS</v>
      </c>
      <c r="K708">
        <f>ROUND(calls[[#This Row],[Satisfaction Rating]],0)</f>
        <v>4</v>
      </c>
    </row>
    <row r="709" spans="1:11" x14ac:dyDescent="0.3">
      <c r="A709" s="41" t="s">
        <v>1760</v>
      </c>
      <c r="B709" s="10" t="s">
        <v>1068</v>
      </c>
      <c r="C709" s="10">
        <v>111</v>
      </c>
      <c r="D709" s="39" t="s">
        <v>1043</v>
      </c>
      <c r="E709" s="40">
        <v>45172</v>
      </c>
      <c r="F709" s="10">
        <v>63</v>
      </c>
      <c r="G709" s="42">
        <v>4.5</v>
      </c>
      <c r="H709">
        <f>IF(MONTH(calls[[#This Row],[Date of Call]])&lt;=6,YEAR(calls[[#This Row],[Date of Call]]),YEAR(calls[[#This Row],[Date of Call]])+1)</f>
        <v>2024</v>
      </c>
      <c r="I709" t="str">
        <f>TEXT(calls[[#This Row],[Date of Call]],"DDDD")</f>
        <v>Sunday</v>
      </c>
      <c r="J709" t="str" cm="1">
        <f t="array" ref="J709">_xlfn.IFS(calls[[#This Row],[Duration]]&lt;=10,"UNDER 10 MINS",calls[[#This Row],[Duration]]&lt;=30,"10 TO 30 MINS",calls[[#This Row],[Duration]]&lt;=60,"30 TO 60 MINS",calls[[#This Row],[Duration]]&lt;=120,"1 TO 2 HRS",TRUE,"MORE THAN 2 HRS")</f>
        <v>1 TO 2 HRS</v>
      </c>
      <c r="K709">
        <f>ROUND(calls[[#This Row],[Satisfaction Rating]],0)</f>
        <v>5</v>
      </c>
    </row>
    <row r="710" spans="1:11" x14ac:dyDescent="0.3">
      <c r="A710" s="41" t="s">
        <v>1761</v>
      </c>
      <c r="B710" s="10" t="s">
        <v>1068</v>
      </c>
      <c r="C710" s="10">
        <v>103</v>
      </c>
      <c r="D710" s="39" t="s">
        <v>1038</v>
      </c>
      <c r="E710" s="40">
        <v>45173</v>
      </c>
      <c r="F710" s="10">
        <v>44</v>
      </c>
      <c r="G710" s="42">
        <v>4.5</v>
      </c>
      <c r="H710">
        <f>IF(MONTH(calls[[#This Row],[Date of Call]])&lt;=6,YEAR(calls[[#This Row],[Date of Call]]),YEAR(calls[[#This Row],[Date of Call]])+1)</f>
        <v>2024</v>
      </c>
      <c r="I710" t="str">
        <f>TEXT(calls[[#This Row],[Date of Call]],"DDDD")</f>
        <v>Monday</v>
      </c>
      <c r="J710" t="str" cm="1">
        <f t="array" ref="J710">_xlfn.IFS(calls[[#This Row],[Duration]]&lt;=10,"UNDER 10 MINS",calls[[#This Row],[Duration]]&lt;=30,"10 TO 30 MINS",calls[[#This Row],[Duration]]&lt;=60,"30 TO 60 MINS",calls[[#This Row],[Duration]]&lt;=120,"1 TO 2 HRS",TRUE,"MORE THAN 2 HRS")</f>
        <v>1 TO 2 HRS</v>
      </c>
      <c r="K710">
        <f>ROUND(calls[[#This Row],[Satisfaction Rating]],0)</f>
        <v>5</v>
      </c>
    </row>
    <row r="711" spans="1:11" x14ac:dyDescent="0.3">
      <c r="A711" s="41" t="s">
        <v>1762</v>
      </c>
      <c r="B711" s="10" t="s">
        <v>1037</v>
      </c>
      <c r="C711" s="10">
        <v>61</v>
      </c>
      <c r="D711" s="39" t="s">
        <v>1048</v>
      </c>
      <c r="E711" s="40">
        <v>45173</v>
      </c>
      <c r="F711" s="10">
        <v>132</v>
      </c>
      <c r="G711" s="42">
        <v>4.9000000000000004</v>
      </c>
      <c r="H711">
        <f>IF(MONTH(calls[[#This Row],[Date of Call]])&lt;=6,YEAR(calls[[#This Row],[Date of Call]]),YEAR(calls[[#This Row],[Date of Call]])+1)</f>
        <v>2024</v>
      </c>
      <c r="I711" t="str">
        <f>TEXT(calls[[#This Row],[Date of Call]],"DDDD")</f>
        <v>Monday</v>
      </c>
      <c r="J711" t="str" cm="1">
        <f t="array" ref="J711">_xlfn.IFS(calls[[#This Row],[Duration]]&lt;=10,"UNDER 10 MINS",calls[[#This Row],[Duration]]&lt;=30,"10 TO 30 MINS",calls[[#This Row],[Duration]]&lt;=60,"30 TO 60 MINS",calls[[#This Row],[Duration]]&lt;=120,"1 TO 2 HRS",TRUE,"MORE THAN 2 HRS")</f>
        <v>1 TO 2 HRS</v>
      </c>
      <c r="K711">
        <f>ROUND(calls[[#This Row],[Satisfaction Rating]],0)</f>
        <v>5</v>
      </c>
    </row>
    <row r="712" spans="1:11" x14ac:dyDescent="0.3">
      <c r="A712" s="41" t="s">
        <v>1763</v>
      </c>
      <c r="B712" s="10" t="s">
        <v>1079</v>
      </c>
      <c r="C712" s="10">
        <v>113</v>
      </c>
      <c r="D712" s="39" t="s">
        <v>1053</v>
      </c>
      <c r="E712" s="40">
        <v>45173</v>
      </c>
      <c r="F712" s="10">
        <v>46</v>
      </c>
      <c r="G712" s="42">
        <v>4.4000000000000004</v>
      </c>
      <c r="H712">
        <f>IF(MONTH(calls[[#This Row],[Date of Call]])&lt;=6,YEAR(calls[[#This Row],[Date of Call]]),YEAR(calls[[#This Row],[Date of Call]])+1)</f>
        <v>2024</v>
      </c>
      <c r="I712" t="str">
        <f>TEXT(calls[[#This Row],[Date of Call]],"DDDD")</f>
        <v>Monday</v>
      </c>
      <c r="J712" t="str" cm="1">
        <f t="array" ref="J712">_xlfn.IFS(calls[[#This Row],[Duration]]&lt;=10,"UNDER 10 MINS",calls[[#This Row],[Duration]]&lt;=30,"10 TO 30 MINS",calls[[#This Row],[Duration]]&lt;=60,"30 TO 60 MINS",calls[[#This Row],[Duration]]&lt;=120,"1 TO 2 HRS",TRUE,"MORE THAN 2 HRS")</f>
        <v>1 TO 2 HRS</v>
      </c>
      <c r="K712">
        <f>ROUND(calls[[#This Row],[Satisfaction Rating]],0)</f>
        <v>4</v>
      </c>
    </row>
    <row r="713" spans="1:11" x14ac:dyDescent="0.3">
      <c r="A713" s="41" t="s">
        <v>1764</v>
      </c>
      <c r="B713" s="10" t="s">
        <v>1079</v>
      </c>
      <c r="C713" s="10">
        <v>96</v>
      </c>
      <c r="D713" s="39" t="s">
        <v>1053</v>
      </c>
      <c r="E713" s="40">
        <v>45173</v>
      </c>
      <c r="F713" s="10">
        <v>96</v>
      </c>
      <c r="G713" s="42">
        <v>2.9</v>
      </c>
      <c r="H713">
        <f>IF(MONTH(calls[[#This Row],[Date of Call]])&lt;=6,YEAR(calls[[#This Row],[Date of Call]]),YEAR(calls[[#This Row],[Date of Call]])+1)</f>
        <v>2024</v>
      </c>
      <c r="I713" t="str">
        <f>TEXT(calls[[#This Row],[Date of Call]],"DDDD")</f>
        <v>Monday</v>
      </c>
      <c r="J713" t="str" cm="1">
        <f t="array" ref="J713">_xlfn.IFS(calls[[#This Row],[Duration]]&lt;=10,"UNDER 10 MINS",calls[[#This Row],[Duration]]&lt;=30,"10 TO 30 MINS",calls[[#This Row],[Duration]]&lt;=60,"30 TO 60 MINS",calls[[#This Row],[Duration]]&lt;=120,"1 TO 2 HRS",TRUE,"MORE THAN 2 HRS")</f>
        <v>1 TO 2 HRS</v>
      </c>
      <c r="K713">
        <f>ROUND(calls[[#This Row],[Satisfaction Rating]],0)</f>
        <v>3</v>
      </c>
    </row>
    <row r="714" spans="1:11" x14ac:dyDescent="0.3">
      <c r="A714" s="41" t="s">
        <v>1765</v>
      </c>
      <c r="B714" s="10" t="s">
        <v>1062</v>
      </c>
      <c r="C714" s="10">
        <v>131</v>
      </c>
      <c r="D714" s="39" t="s">
        <v>1038</v>
      </c>
      <c r="E714" s="40">
        <v>45174</v>
      </c>
      <c r="F714" s="10">
        <v>75</v>
      </c>
      <c r="G714" s="42">
        <v>4.4000000000000004</v>
      </c>
      <c r="H714">
        <f>IF(MONTH(calls[[#This Row],[Date of Call]])&lt;=6,YEAR(calls[[#This Row],[Date of Call]]),YEAR(calls[[#This Row],[Date of Call]])+1)</f>
        <v>2024</v>
      </c>
      <c r="I714" t="str">
        <f>TEXT(calls[[#This Row],[Date of Call]],"DDDD")</f>
        <v>Tuesday</v>
      </c>
      <c r="J714" t="str" cm="1">
        <f t="array" ref="J714">_xlfn.IFS(calls[[#This Row],[Duration]]&lt;=10,"UNDER 10 MINS",calls[[#This Row],[Duration]]&lt;=30,"10 TO 30 MINS",calls[[#This Row],[Duration]]&lt;=60,"30 TO 60 MINS",calls[[#This Row],[Duration]]&lt;=120,"1 TO 2 HRS",TRUE,"MORE THAN 2 HRS")</f>
        <v>MORE THAN 2 HRS</v>
      </c>
      <c r="K714">
        <f>ROUND(calls[[#This Row],[Satisfaction Rating]],0)</f>
        <v>4</v>
      </c>
    </row>
    <row r="715" spans="1:11" x14ac:dyDescent="0.3">
      <c r="A715" s="41" t="s">
        <v>1766</v>
      </c>
      <c r="B715" s="10" t="s">
        <v>1051</v>
      </c>
      <c r="C715" s="10">
        <v>52</v>
      </c>
      <c r="D715" s="39" t="s">
        <v>1053</v>
      </c>
      <c r="E715" s="40">
        <v>45175</v>
      </c>
      <c r="F715" s="10">
        <v>88</v>
      </c>
      <c r="G715" s="42">
        <v>4.3</v>
      </c>
      <c r="H715">
        <f>IF(MONTH(calls[[#This Row],[Date of Call]])&lt;=6,YEAR(calls[[#This Row],[Date of Call]]),YEAR(calls[[#This Row],[Date of Call]])+1)</f>
        <v>2024</v>
      </c>
      <c r="I715" t="str">
        <f>TEXT(calls[[#This Row],[Date of Call]],"DDDD")</f>
        <v>Wednesday</v>
      </c>
      <c r="J715" t="str" cm="1">
        <f t="array" ref="J715">_xlfn.IFS(calls[[#This Row],[Duration]]&lt;=10,"UNDER 10 MINS",calls[[#This Row],[Duration]]&lt;=30,"10 TO 30 MINS",calls[[#This Row],[Duration]]&lt;=60,"30 TO 60 MINS",calls[[#This Row],[Duration]]&lt;=120,"1 TO 2 HRS",TRUE,"MORE THAN 2 HRS")</f>
        <v>30 TO 60 MINS</v>
      </c>
      <c r="K715">
        <f>ROUND(calls[[#This Row],[Satisfaction Rating]],0)</f>
        <v>4</v>
      </c>
    </row>
    <row r="716" spans="1:11" x14ac:dyDescent="0.3">
      <c r="A716" s="41" t="s">
        <v>1767</v>
      </c>
      <c r="B716" s="10" t="s">
        <v>1040</v>
      </c>
      <c r="C716" s="10">
        <v>100</v>
      </c>
      <c r="D716" s="39" t="s">
        <v>1038</v>
      </c>
      <c r="E716" s="40">
        <v>45175</v>
      </c>
      <c r="F716" s="10">
        <v>24</v>
      </c>
      <c r="G716" s="42">
        <v>4.7</v>
      </c>
      <c r="H716">
        <f>IF(MONTH(calls[[#This Row],[Date of Call]])&lt;=6,YEAR(calls[[#This Row],[Date of Call]]),YEAR(calls[[#This Row],[Date of Call]])+1)</f>
        <v>2024</v>
      </c>
      <c r="I716" t="str">
        <f>TEXT(calls[[#This Row],[Date of Call]],"DDDD")</f>
        <v>Wednesday</v>
      </c>
      <c r="J716" t="str" cm="1">
        <f t="array" ref="J716">_xlfn.IFS(calls[[#This Row],[Duration]]&lt;=10,"UNDER 10 MINS",calls[[#This Row],[Duration]]&lt;=30,"10 TO 30 MINS",calls[[#This Row],[Duration]]&lt;=60,"30 TO 60 MINS",calls[[#This Row],[Duration]]&lt;=120,"1 TO 2 HRS",TRUE,"MORE THAN 2 HRS")</f>
        <v>1 TO 2 HRS</v>
      </c>
      <c r="K716">
        <f>ROUND(calls[[#This Row],[Satisfaction Rating]],0)</f>
        <v>5</v>
      </c>
    </row>
    <row r="717" spans="1:11" x14ac:dyDescent="0.3">
      <c r="A717" s="41" t="s">
        <v>1768</v>
      </c>
      <c r="B717" s="10" t="s">
        <v>1045</v>
      </c>
      <c r="C717" s="10">
        <v>58</v>
      </c>
      <c r="D717" s="39" t="s">
        <v>1057</v>
      </c>
      <c r="E717" s="40">
        <v>45175</v>
      </c>
      <c r="F717" s="10">
        <v>96</v>
      </c>
      <c r="G717" s="42">
        <v>3.2</v>
      </c>
      <c r="H717">
        <f>IF(MONTH(calls[[#This Row],[Date of Call]])&lt;=6,YEAR(calls[[#This Row],[Date of Call]]),YEAR(calls[[#This Row],[Date of Call]])+1)</f>
        <v>2024</v>
      </c>
      <c r="I717" t="str">
        <f>TEXT(calls[[#This Row],[Date of Call]],"DDDD")</f>
        <v>Wednesday</v>
      </c>
      <c r="J717" t="str" cm="1">
        <f t="array" ref="J717">_xlfn.IFS(calls[[#This Row],[Duration]]&lt;=10,"UNDER 10 MINS",calls[[#This Row],[Duration]]&lt;=30,"10 TO 30 MINS",calls[[#This Row],[Duration]]&lt;=60,"30 TO 60 MINS",calls[[#This Row],[Duration]]&lt;=120,"1 TO 2 HRS",TRUE,"MORE THAN 2 HRS")</f>
        <v>30 TO 60 MINS</v>
      </c>
      <c r="K717">
        <f>ROUND(calls[[#This Row],[Satisfaction Rating]],0)</f>
        <v>3</v>
      </c>
    </row>
    <row r="718" spans="1:11" x14ac:dyDescent="0.3">
      <c r="A718" s="41" t="s">
        <v>1769</v>
      </c>
      <c r="B718" s="10" t="s">
        <v>1047</v>
      </c>
      <c r="C718" s="10">
        <v>144</v>
      </c>
      <c r="D718" s="39" t="s">
        <v>1057</v>
      </c>
      <c r="E718" s="40">
        <v>45176</v>
      </c>
      <c r="F718" s="10">
        <v>124</v>
      </c>
      <c r="G718" s="42">
        <v>2.2999999999999998</v>
      </c>
      <c r="H718">
        <f>IF(MONTH(calls[[#This Row],[Date of Call]])&lt;=6,YEAR(calls[[#This Row],[Date of Call]]),YEAR(calls[[#This Row],[Date of Call]])+1)</f>
        <v>2024</v>
      </c>
      <c r="I718" t="str">
        <f>TEXT(calls[[#This Row],[Date of Call]],"DDDD")</f>
        <v>Thursday</v>
      </c>
      <c r="J718" t="str" cm="1">
        <f t="array" ref="J718">_xlfn.IFS(calls[[#This Row],[Duration]]&lt;=10,"UNDER 10 MINS",calls[[#This Row],[Duration]]&lt;=30,"10 TO 30 MINS",calls[[#This Row],[Duration]]&lt;=60,"30 TO 60 MINS",calls[[#This Row],[Duration]]&lt;=120,"1 TO 2 HRS",TRUE,"MORE THAN 2 HRS")</f>
        <v>MORE THAN 2 HRS</v>
      </c>
      <c r="K718">
        <f>ROUND(calls[[#This Row],[Satisfaction Rating]],0)</f>
        <v>2</v>
      </c>
    </row>
    <row r="719" spans="1:11" x14ac:dyDescent="0.3">
      <c r="A719" s="41" t="s">
        <v>1770</v>
      </c>
      <c r="B719" s="10" t="s">
        <v>1045</v>
      </c>
      <c r="C719" s="10">
        <v>53</v>
      </c>
      <c r="D719" s="39" t="s">
        <v>1048</v>
      </c>
      <c r="E719" s="40">
        <v>45177</v>
      </c>
      <c r="F719" s="10">
        <v>130</v>
      </c>
      <c r="G719" s="42">
        <v>3.6</v>
      </c>
      <c r="H719">
        <f>IF(MONTH(calls[[#This Row],[Date of Call]])&lt;=6,YEAR(calls[[#This Row],[Date of Call]]),YEAR(calls[[#This Row],[Date of Call]])+1)</f>
        <v>2024</v>
      </c>
      <c r="I719" t="str">
        <f>TEXT(calls[[#This Row],[Date of Call]],"DDDD")</f>
        <v>Friday</v>
      </c>
      <c r="J719" t="str" cm="1">
        <f t="array" ref="J719">_xlfn.IFS(calls[[#This Row],[Duration]]&lt;=10,"UNDER 10 MINS",calls[[#This Row],[Duration]]&lt;=30,"10 TO 30 MINS",calls[[#This Row],[Duration]]&lt;=60,"30 TO 60 MINS",calls[[#This Row],[Duration]]&lt;=120,"1 TO 2 HRS",TRUE,"MORE THAN 2 HRS")</f>
        <v>30 TO 60 MINS</v>
      </c>
      <c r="K719">
        <f>ROUND(calls[[#This Row],[Satisfaction Rating]],0)</f>
        <v>4</v>
      </c>
    </row>
    <row r="720" spans="1:11" x14ac:dyDescent="0.3">
      <c r="A720" s="41" t="s">
        <v>1771</v>
      </c>
      <c r="B720" s="10" t="s">
        <v>1079</v>
      </c>
      <c r="C720" s="10">
        <v>97</v>
      </c>
      <c r="D720" s="39" t="s">
        <v>1043</v>
      </c>
      <c r="E720" s="40">
        <v>45177</v>
      </c>
      <c r="F720" s="10">
        <v>45</v>
      </c>
      <c r="G720" s="42">
        <v>4.5999999999999996</v>
      </c>
      <c r="H720">
        <f>IF(MONTH(calls[[#This Row],[Date of Call]])&lt;=6,YEAR(calls[[#This Row],[Date of Call]]),YEAR(calls[[#This Row],[Date of Call]])+1)</f>
        <v>2024</v>
      </c>
      <c r="I720" t="str">
        <f>TEXT(calls[[#This Row],[Date of Call]],"DDDD")</f>
        <v>Friday</v>
      </c>
      <c r="J720" t="str" cm="1">
        <f t="array" ref="J720">_xlfn.IFS(calls[[#This Row],[Duration]]&lt;=10,"UNDER 10 MINS",calls[[#This Row],[Duration]]&lt;=30,"10 TO 30 MINS",calls[[#This Row],[Duration]]&lt;=60,"30 TO 60 MINS",calls[[#This Row],[Duration]]&lt;=120,"1 TO 2 HRS",TRUE,"MORE THAN 2 HRS")</f>
        <v>1 TO 2 HRS</v>
      </c>
      <c r="K720">
        <f>ROUND(calls[[#This Row],[Satisfaction Rating]],0)</f>
        <v>5</v>
      </c>
    </row>
    <row r="721" spans="1:11" x14ac:dyDescent="0.3">
      <c r="A721" s="41" t="s">
        <v>1772</v>
      </c>
      <c r="B721" s="10" t="s">
        <v>1042</v>
      </c>
      <c r="C721" s="10">
        <v>64</v>
      </c>
      <c r="D721" s="39" t="s">
        <v>1057</v>
      </c>
      <c r="E721" s="40">
        <v>45177</v>
      </c>
      <c r="F721" s="10">
        <v>66</v>
      </c>
      <c r="G721" s="42">
        <v>4</v>
      </c>
      <c r="H721">
        <f>IF(MONTH(calls[[#This Row],[Date of Call]])&lt;=6,YEAR(calls[[#This Row],[Date of Call]]),YEAR(calls[[#This Row],[Date of Call]])+1)</f>
        <v>2024</v>
      </c>
      <c r="I721" t="str">
        <f>TEXT(calls[[#This Row],[Date of Call]],"DDDD")</f>
        <v>Friday</v>
      </c>
      <c r="J721" t="str" cm="1">
        <f t="array" ref="J721">_xlfn.IFS(calls[[#This Row],[Duration]]&lt;=10,"UNDER 10 MINS",calls[[#This Row],[Duration]]&lt;=30,"10 TO 30 MINS",calls[[#This Row],[Duration]]&lt;=60,"30 TO 60 MINS",calls[[#This Row],[Duration]]&lt;=120,"1 TO 2 HRS",TRUE,"MORE THAN 2 HRS")</f>
        <v>1 TO 2 HRS</v>
      </c>
      <c r="K721">
        <f>ROUND(calls[[#This Row],[Satisfaction Rating]],0)</f>
        <v>4</v>
      </c>
    </row>
    <row r="722" spans="1:11" x14ac:dyDescent="0.3">
      <c r="A722" s="41" t="s">
        <v>1773</v>
      </c>
      <c r="B722" s="10" t="s">
        <v>1037</v>
      </c>
      <c r="C722" s="10">
        <v>106</v>
      </c>
      <c r="D722" s="39" t="s">
        <v>1038</v>
      </c>
      <c r="E722" s="40">
        <v>45177</v>
      </c>
      <c r="F722" s="10">
        <v>58</v>
      </c>
      <c r="G722" s="42">
        <v>4.7</v>
      </c>
      <c r="H722">
        <f>IF(MONTH(calls[[#This Row],[Date of Call]])&lt;=6,YEAR(calls[[#This Row],[Date of Call]]),YEAR(calls[[#This Row],[Date of Call]])+1)</f>
        <v>2024</v>
      </c>
      <c r="I722" t="str">
        <f>TEXT(calls[[#This Row],[Date of Call]],"DDDD")</f>
        <v>Friday</v>
      </c>
      <c r="J722" t="str" cm="1">
        <f t="array" ref="J722">_xlfn.IFS(calls[[#This Row],[Duration]]&lt;=10,"UNDER 10 MINS",calls[[#This Row],[Duration]]&lt;=30,"10 TO 30 MINS",calls[[#This Row],[Duration]]&lt;=60,"30 TO 60 MINS",calls[[#This Row],[Duration]]&lt;=120,"1 TO 2 HRS",TRUE,"MORE THAN 2 HRS")</f>
        <v>1 TO 2 HRS</v>
      </c>
      <c r="K722">
        <f>ROUND(calls[[#This Row],[Satisfaction Rating]],0)</f>
        <v>5</v>
      </c>
    </row>
    <row r="723" spans="1:11" x14ac:dyDescent="0.3">
      <c r="A723" s="41" t="s">
        <v>1774</v>
      </c>
      <c r="B723" s="10" t="s">
        <v>1089</v>
      </c>
      <c r="C723" s="10">
        <v>36</v>
      </c>
      <c r="D723" s="39" t="s">
        <v>1057</v>
      </c>
      <c r="E723" s="40">
        <v>45178</v>
      </c>
      <c r="F723" s="10">
        <v>152</v>
      </c>
      <c r="G723" s="42">
        <v>4.3</v>
      </c>
      <c r="H723">
        <f>IF(MONTH(calls[[#This Row],[Date of Call]])&lt;=6,YEAR(calls[[#This Row],[Date of Call]]),YEAR(calls[[#This Row],[Date of Call]])+1)</f>
        <v>2024</v>
      </c>
      <c r="I723" t="str">
        <f>TEXT(calls[[#This Row],[Date of Call]],"DDDD")</f>
        <v>Saturday</v>
      </c>
      <c r="J723" t="str" cm="1">
        <f t="array" ref="J723">_xlfn.IFS(calls[[#This Row],[Duration]]&lt;=10,"UNDER 10 MINS",calls[[#This Row],[Duration]]&lt;=30,"10 TO 30 MINS",calls[[#This Row],[Duration]]&lt;=60,"30 TO 60 MINS",calls[[#This Row],[Duration]]&lt;=120,"1 TO 2 HRS",TRUE,"MORE THAN 2 HRS")</f>
        <v>30 TO 60 MINS</v>
      </c>
      <c r="K723">
        <f>ROUND(calls[[#This Row],[Satisfaction Rating]],0)</f>
        <v>4</v>
      </c>
    </row>
    <row r="724" spans="1:11" x14ac:dyDescent="0.3">
      <c r="A724" s="41" t="s">
        <v>1775</v>
      </c>
      <c r="B724" s="10" t="s">
        <v>1047</v>
      </c>
      <c r="C724" s="10">
        <v>74</v>
      </c>
      <c r="D724" s="39" t="s">
        <v>1053</v>
      </c>
      <c r="E724" s="40">
        <v>45178</v>
      </c>
      <c r="F724" s="10">
        <v>75</v>
      </c>
      <c r="G724" s="42">
        <v>2.8</v>
      </c>
      <c r="H724">
        <f>IF(MONTH(calls[[#This Row],[Date of Call]])&lt;=6,YEAR(calls[[#This Row],[Date of Call]]),YEAR(calls[[#This Row],[Date of Call]])+1)</f>
        <v>2024</v>
      </c>
      <c r="I724" t="str">
        <f>TEXT(calls[[#This Row],[Date of Call]],"DDDD")</f>
        <v>Saturday</v>
      </c>
      <c r="J724" t="str" cm="1">
        <f t="array" ref="J724">_xlfn.IFS(calls[[#This Row],[Duration]]&lt;=10,"UNDER 10 MINS",calls[[#This Row],[Duration]]&lt;=30,"10 TO 30 MINS",calls[[#This Row],[Duration]]&lt;=60,"30 TO 60 MINS",calls[[#This Row],[Duration]]&lt;=120,"1 TO 2 HRS",TRUE,"MORE THAN 2 HRS")</f>
        <v>1 TO 2 HRS</v>
      </c>
      <c r="K724">
        <f>ROUND(calls[[#This Row],[Satisfaction Rating]],0)</f>
        <v>3</v>
      </c>
    </row>
    <row r="725" spans="1:11" x14ac:dyDescent="0.3">
      <c r="A725" s="41" t="s">
        <v>1776</v>
      </c>
      <c r="B725" s="10" t="s">
        <v>1071</v>
      </c>
      <c r="C725" s="10">
        <v>143</v>
      </c>
      <c r="D725" s="39" t="s">
        <v>1043</v>
      </c>
      <c r="E725" s="40">
        <v>45178</v>
      </c>
      <c r="F725" s="10">
        <v>78</v>
      </c>
      <c r="G725" s="42">
        <v>4</v>
      </c>
      <c r="H725">
        <f>IF(MONTH(calls[[#This Row],[Date of Call]])&lt;=6,YEAR(calls[[#This Row],[Date of Call]]),YEAR(calls[[#This Row],[Date of Call]])+1)</f>
        <v>2024</v>
      </c>
      <c r="I725" t="str">
        <f>TEXT(calls[[#This Row],[Date of Call]],"DDDD")</f>
        <v>Saturday</v>
      </c>
      <c r="J725" t="str" cm="1">
        <f t="array" ref="J725">_xlfn.IFS(calls[[#This Row],[Duration]]&lt;=10,"UNDER 10 MINS",calls[[#This Row],[Duration]]&lt;=30,"10 TO 30 MINS",calls[[#This Row],[Duration]]&lt;=60,"30 TO 60 MINS",calls[[#This Row],[Duration]]&lt;=120,"1 TO 2 HRS",TRUE,"MORE THAN 2 HRS")</f>
        <v>MORE THAN 2 HRS</v>
      </c>
      <c r="K725">
        <f>ROUND(calls[[#This Row],[Satisfaction Rating]],0)</f>
        <v>4</v>
      </c>
    </row>
    <row r="726" spans="1:11" x14ac:dyDescent="0.3">
      <c r="A726" s="41" t="s">
        <v>1777</v>
      </c>
      <c r="B726" s="10" t="s">
        <v>1037</v>
      </c>
      <c r="C726" s="10">
        <v>94</v>
      </c>
      <c r="D726" s="39" t="s">
        <v>1048</v>
      </c>
      <c r="E726" s="40">
        <v>45178</v>
      </c>
      <c r="F726" s="10">
        <v>69</v>
      </c>
      <c r="G726" s="42">
        <v>3.9</v>
      </c>
      <c r="H726">
        <f>IF(MONTH(calls[[#This Row],[Date of Call]])&lt;=6,YEAR(calls[[#This Row],[Date of Call]]),YEAR(calls[[#This Row],[Date of Call]])+1)</f>
        <v>2024</v>
      </c>
      <c r="I726" t="str">
        <f>TEXT(calls[[#This Row],[Date of Call]],"DDDD")</f>
        <v>Saturday</v>
      </c>
      <c r="J726" t="str" cm="1">
        <f t="array" ref="J726">_xlfn.IFS(calls[[#This Row],[Duration]]&lt;=10,"UNDER 10 MINS",calls[[#This Row],[Duration]]&lt;=30,"10 TO 30 MINS",calls[[#This Row],[Duration]]&lt;=60,"30 TO 60 MINS",calls[[#This Row],[Duration]]&lt;=120,"1 TO 2 HRS",TRUE,"MORE THAN 2 HRS")</f>
        <v>1 TO 2 HRS</v>
      </c>
      <c r="K726">
        <f>ROUND(calls[[#This Row],[Satisfaction Rating]],0)</f>
        <v>4</v>
      </c>
    </row>
    <row r="727" spans="1:11" x14ac:dyDescent="0.3">
      <c r="A727" s="41" t="s">
        <v>1778</v>
      </c>
      <c r="B727" s="10" t="s">
        <v>1076</v>
      </c>
      <c r="C727" s="10">
        <v>124</v>
      </c>
      <c r="D727" s="39" t="s">
        <v>1038</v>
      </c>
      <c r="E727" s="40">
        <v>45179</v>
      </c>
      <c r="F727" s="10">
        <v>46</v>
      </c>
      <c r="G727" s="42">
        <v>3.1</v>
      </c>
      <c r="H727">
        <f>IF(MONTH(calls[[#This Row],[Date of Call]])&lt;=6,YEAR(calls[[#This Row],[Date of Call]]),YEAR(calls[[#This Row],[Date of Call]])+1)</f>
        <v>2024</v>
      </c>
      <c r="I727" t="str">
        <f>TEXT(calls[[#This Row],[Date of Call]],"DDDD")</f>
        <v>Sunday</v>
      </c>
      <c r="J727" t="str" cm="1">
        <f t="array" ref="J727">_xlfn.IFS(calls[[#This Row],[Duration]]&lt;=10,"UNDER 10 MINS",calls[[#This Row],[Duration]]&lt;=30,"10 TO 30 MINS",calls[[#This Row],[Duration]]&lt;=60,"30 TO 60 MINS",calls[[#This Row],[Duration]]&lt;=120,"1 TO 2 HRS",TRUE,"MORE THAN 2 HRS")</f>
        <v>MORE THAN 2 HRS</v>
      </c>
      <c r="K727">
        <f>ROUND(calls[[#This Row],[Satisfaction Rating]],0)</f>
        <v>3</v>
      </c>
    </row>
    <row r="728" spans="1:11" x14ac:dyDescent="0.3">
      <c r="A728" s="41" t="s">
        <v>1779</v>
      </c>
      <c r="B728" s="10" t="s">
        <v>1089</v>
      </c>
      <c r="C728" s="10">
        <v>156</v>
      </c>
      <c r="D728" s="39" t="s">
        <v>1057</v>
      </c>
      <c r="E728" s="40">
        <v>45179</v>
      </c>
      <c r="F728" s="10">
        <v>64</v>
      </c>
      <c r="G728" s="42">
        <v>2.7</v>
      </c>
      <c r="H728">
        <f>IF(MONTH(calls[[#This Row],[Date of Call]])&lt;=6,YEAR(calls[[#This Row],[Date of Call]]),YEAR(calls[[#This Row],[Date of Call]])+1)</f>
        <v>2024</v>
      </c>
      <c r="I728" t="str">
        <f>TEXT(calls[[#This Row],[Date of Call]],"DDDD")</f>
        <v>Sunday</v>
      </c>
      <c r="J728" t="str" cm="1">
        <f t="array" ref="J728">_xlfn.IFS(calls[[#This Row],[Duration]]&lt;=10,"UNDER 10 MINS",calls[[#This Row],[Duration]]&lt;=30,"10 TO 30 MINS",calls[[#This Row],[Duration]]&lt;=60,"30 TO 60 MINS",calls[[#This Row],[Duration]]&lt;=120,"1 TO 2 HRS",TRUE,"MORE THAN 2 HRS")</f>
        <v>MORE THAN 2 HRS</v>
      </c>
      <c r="K728">
        <f>ROUND(calls[[#This Row],[Satisfaction Rating]],0)</f>
        <v>3</v>
      </c>
    </row>
    <row r="729" spans="1:11" x14ac:dyDescent="0.3">
      <c r="A729" s="41" t="s">
        <v>1780</v>
      </c>
      <c r="B729" s="10" t="s">
        <v>1056</v>
      </c>
      <c r="C729" s="10">
        <v>107</v>
      </c>
      <c r="D729" s="39" t="s">
        <v>1043</v>
      </c>
      <c r="E729" s="40">
        <v>45179</v>
      </c>
      <c r="F729" s="10">
        <v>38</v>
      </c>
      <c r="G729" s="42">
        <v>4.7</v>
      </c>
      <c r="H729">
        <f>IF(MONTH(calls[[#This Row],[Date of Call]])&lt;=6,YEAR(calls[[#This Row],[Date of Call]]),YEAR(calls[[#This Row],[Date of Call]])+1)</f>
        <v>2024</v>
      </c>
      <c r="I729" t="str">
        <f>TEXT(calls[[#This Row],[Date of Call]],"DDDD")</f>
        <v>Sunday</v>
      </c>
      <c r="J729" t="str" cm="1">
        <f t="array" ref="J729">_xlfn.IFS(calls[[#This Row],[Duration]]&lt;=10,"UNDER 10 MINS",calls[[#This Row],[Duration]]&lt;=30,"10 TO 30 MINS",calls[[#This Row],[Duration]]&lt;=60,"30 TO 60 MINS",calls[[#This Row],[Duration]]&lt;=120,"1 TO 2 HRS",TRUE,"MORE THAN 2 HRS")</f>
        <v>1 TO 2 HRS</v>
      </c>
      <c r="K729">
        <f>ROUND(calls[[#This Row],[Satisfaction Rating]],0)</f>
        <v>5</v>
      </c>
    </row>
    <row r="730" spans="1:11" x14ac:dyDescent="0.3">
      <c r="A730" s="41" t="s">
        <v>1781</v>
      </c>
      <c r="B730" s="10" t="s">
        <v>1037</v>
      </c>
      <c r="C730" s="10">
        <v>58</v>
      </c>
      <c r="D730" s="39" t="s">
        <v>1043</v>
      </c>
      <c r="E730" s="40">
        <v>45181</v>
      </c>
      <c r="F730" s="10">
        <v>90</v>
      </c>
      <c r="G730" s="42">
        <v>4.3</v>
      </c>
      <c r="H730">
        <f>IF(MONTH(calls[[#This Row],[Date of Call]])&lt;=6,YEAR(calls[[#This Row],[Date of Call]]),YEAR(calls[[#This Row],[Date of Call]])+1)</f>
        <v>2024</v>
      </c>
      <c r="I730" t="str">
        <f>TEXT(calls[[#This Row],[Date of Call]],"DDDD")</f>
        <v>Tuesday</v>
      </c>
      <c r="J730" t="str" cm="1">
        <f t="array" ref="J730">_xlfn.IFS(calls[[#This Row],[Duration]]&lt;=10,"UNDER 10 MINS",calls[[#This Row],[Duration]]&lt;=30,"10 TO 30 MINS",calls[[#This Row],[Duration]]&lt;=60,"30 TO 60 MINS",calls[[#This Row],[Duration]]&lt;=120,"1 TO 2 HRS",TRUE,"MORE THAN 2 HRS")</f>
        <v>30 TO 60 MINS</v>
      </c>
      <c r="K730">
        <f>ROUND(calls[[#This Row],[Satisfaction Rating]],0)</f>
        <v>4</v>
      </c>
    </row>
    <row r="731" spans="1:11" x14ac:dyDescent="0.3">
      <c r="A731" s="41" t="s">
        <v>1782</v>
      </c>
      <c r="B731" s="10" t="s">
        <v>1060</v>
      </c>
      <c r="C731" s="10">
        <v>66</v>
      </c>
      <c r="D731" s="39" t="s">
        <v>1043</v>
      </c>
      <c r="E731" s="40">
        <v>45181</v>
      </c>
      <c r="F731" s="10">
        <v>32</v>
      </c>
      <c r="G731" s="42">
        <v>3.8</v>
      </c>
      <c r="H731">
        <f>IF(MONTH(calls[[#This Row],[Date of Call]])&lt;=6,YEAR(calls[[#This Row],[Date of Call]]),YEAR(calls[[#This Row],[Date of Call]])+1)</f>
        <v>2024</v>
      </c>
      <c r="I731" t="str">
        <f>TEXT(calls[[#This Row],[Date of Call]],"DDDD")</f>
        <v>Tuesday</v>
      </c>
      <c r="J731" t="str" cm="1">
        <f t="array" ref="J731">_xlfn.IFS(calls[[#This Row],[Duration]]&lt;=10,"UNDER 10 MINS",calls[[#This Row],[Duration]]&lt;=30,"10 TO 30 MINS",calls[[#This Row],[Duration]]&lt;=60,"30 TO 60 MINS",calls[[#This Row],[Duration]]&lt;=120,"1 TO 2 HRS",TRUE,"MORE THAN 2 HRS")</f>
        <v>1 TO 2 HRS</v>
      </c>
      <c r="K731">
        <f>ROUND(calls[[#This Row],[Satisfaction Rating]],0)</f>
        <v>4</v>
      </c>
    </row>
    <row r="732" spans="1:11" x14ac:dyDescent="0.3">
      <c r="A732" s="41" t="s">
        <v>1783</v>
      </c>
      <c r="B732" s="10" t="s">
        <v>1062</v>
      </c>
      <c r="C732" s="10">
        <v>75</v>
      </c>
      <c r="D732" s="39" t="s">
        <v>1057</v>
      </c>
      <c r="E732" s="40">
        <v>45181</v>
      </c>
      <c r="F732" s="10">
        <v>120</v>
      </c>
      <c r="G732" s="42">
        <v>4.4000000000000004</v>
      </c>
      <c r="H732">
        <f>IF(MONTH(calls[[#This Row],[Date of Call]])&lt;=6,YEAR(calls[[#This Row],[Date of Call]]),YEAR(calls[[#This Row],[Date of Call]])+1)</f>
        <v>2024</v>
      </c>
      <c r="I732" t="str">
        <f>TEXT(calls[[#This Row],[Date of Call]],"DDDD")</f>
        <v>Tuesday</v>
      </c>
      <c r="J732" t="str" cm="1">
        <f t="array" ref="J732">_xlfn.IFS(calls[[#This Row],[Duration]]&lt;=10,"UNDER 10 MINS",calls[[#This Row],[Duration]]&lt;=30,"10 TO 30 MINS",calls[[#This Row],[Duration]]&lt;=60,"30 TO 60 MINS",calls[[#This Row],[Duration]]&lt;=120,"1 TO 2 HRS",TRUE,"MORE THAN 2 HRS")</f>
        <v>1 TO 2 HRS</v>
      </c>
      <c r="K732">
        <f>ROUND(calls[[#This Row],[Satisfaction Rating]],0)</f>
        <v>4</v>
      </c>
    </row>
    <row r="733" spans="1:11" x14ac:dyDescent="0.3">
      <c r="A733" s="41" t="s">
        <v>1784</v>
      </c>
      <c r="B733" s="10" t="s">
        <v>1056</v>
      </c>
      <c r="C733" s="10">
        <v>8</v>
      </c>
      <c r="D733" s="39" t="s">
        <v>1043</v>
      </c>
      <c r="E733" s="40">
        <v>45181</v>
      </c>
      <c r="F733" s="10">
        <v>31</v>
      </c>
      <c r="G733" s="42">
        <v>3.9</v>
      </c>
      <c r="H733">
        <f>IF(MONTH(calls[[#This Row],[Date of Call]])&lt;=6,YEAR(calls[[#This Row],[Date of Call]]),YEAR(calls[[#This Row],[Date of Call]])+1)</f>
        <v>2024</v>
      </c>
      <c r="I733" t="str">
        <f>TEXT(calls[[#This Row],[Date of Call]],"DDDD")</f>
        <v>Tuesday</v>
      </c>
      <c r="J733" t="str" cm="1">
        <f t="array" ref="J733">_xlfn.IFS(calls[[#This Row],[Duration]]&lt;=10,"UNDER 10 MINS",calls[[#This Row],[Duration]]&lt;=30,"10 TO 30 MINS",calls[[#This Row],[Duration]]&lt;=60,"30 TO 60 MINS",calls[[#This Row],[Duration]]&lt;=120,"1 TO 2 HRS",TRUE,"MORE THAN 2 HRS")</f>
        <v>UNDER 10 MINS</v>
      </c>
      <c r="K733">
        <f>ROUND(calls[[#This Row],[Satisfaction Rating]],0)</f>
        <v>4</v>
      </c>
    </row>
    <row r="734" spans="1:11" x14ac:dyDescent="0.3">
      <c r="A734" s="41" t="s">
        <v>1785</v>
      </c>
      <c r="B734" s="10" t="s">
        <v>1042</v>
      </c>
      <c r="C734" s="10">
        <v>76</v>
      </c>
      <c r="D734" s="39" t="s">
        <v>1057</v>
      </c>
      <c r="E734" s="40">
        <v>45182</v>
      </c>
      <c r="F734" s="10">
        <v>108</v>
      </c>
      <c r="G734" s="42">
        <v>4.9000000000000004</v>
      </c>
      <c r="H734">
        <f>IF(MONTH(calls[[#This Row],[Date of Call]])&lt;=6,YEAR(calls[[#This Row],[Date of Call]]),YEAR(calls[[#This Row],[Date of Call]])+1)</f>
        <v>2024</v>
      </c>
      <c r="I734" t="str">
        <f>TEXT(calls[[#This Row],[Date of Call]],"DDDD")</f>
        <v>Wednesday</v>
      </c>
      <c r="J734" t="str" cm="1">
        <f t="array" ref="J734">_xlfn.IFS(calls[[#This Row],[Duration]]&lt;=10,"UNDER 10 MINS",calls[[#This Row],[Duration]]&lt;=30,"10 TO 30 MINS",calls[[#This Row],[Duration]]&lt;=60,"30 TO 60 MINS",calls[[#This Row],[Duration]]&lt;=120,"1 TO 2 HRS",TRUE,"MORE THAN 2 HRS")</f>
        <v>1 TO 2 HRS</v>
      </c>
      <c r="K734">
        <f>ROUND(calls[[#This Row],[Satisfaction Rating]],0)</f>
        <v>5</v>
      </c>
    </row>
    <row r="735" spans="1:11" x14ac:dyDescent="0.3">
      <c r="A735" s="41" t="s">
        <v>1786</v>
      </c>
      <c r="B735" s="10" t="s">
        <v>1037</v>
      </c>
      <c r="C735" s="10">
        <v>110</v>
      </c>
      <c r="D735" s="39" t="s">
        <v>1057</v>
      </c>
      <c r="E735" s="40">
        <v>45182</v>
      </c>
      <c r="F735" s="10">
        <v>180</v>
      </c>
      <c r="G735" s="42">
        <v>4.2</v>
      </c>
      <c r="H735">
        <f>IF(MONTH(calls[[#This Row],[Date of Call]])&lt;=6,YEAR(calls[[#This Row],[Date of Call]]),YEAR(calls[[#This Row],[Date of Call]])+1)</f>
        <v>2024</v>
      </c>
      <c r="I735" t="str">
        <f>TEXT(calls[[#This Row],[Date of Call]],"DDDD")</f>
        <v>Wednesday</v>
      </c>
      <c r="J735" t="str" cm="1">
        <f t="array" ref="J735">_xlfn.IFS(calls[[#This Row],[Duration]]&lt;=10,"UNDER 10 MINS",calls[[#This Row],[Duration]]&lt;=30,"10 TO 30 MINS",calls[[#This Row],[Duration]]&lt;=60,"30 TO 60 MINS",calls[[#This Row],[Duration]]&lt;=120,"1 TO 2 HRS",TRUE,"MORE THAN 2 HRS")</f>
        <v>1 TO 2 HRS</v>
      </c>
      <c r="K735">
        <f>ROUND(calls[[#This Row],[Satisfaction Rating]],0)</f>
        <v>4</v>
      </c>
    </row>
    <row r="736" spans="1:11" x14ac:dyDescent="0.3">
      <c r="A736" s="41" t="s">
        <v>1787</v>
      </c>
      <c r="B736" s="10" t="s">
        <v>1060</v>
      </c>
      <c r="C736" s="10">
        <v>50</v>
      </c>
      <c r="D736" s="39" t="s">
        <v>1048</v>
      </c>
      <c r="E736" s="40">
        <v>45183</v>
      </c>
      <c r="F736" s="10">
        <v>124</v>
      </c>
      <c r="G736" s="42">
        <v>4</v>
      </c>
      <c r="H736">
        <f>IF(MONTH(calls[[#This Row],[Date of Call]])&lt;=6,YEAR(calls[[#This Row],[Date of Call]]),YEAR(calls[[#This Row],[Date of Call]])+1)</f>
        <v>2024</v>
      </c>
      <c r="I736" t="str">
        <f>TEXT(calls[[#This Row],[Date of Call]],"DDDD")</f>
        <v>Thursday</v>
      </c>
      <c r="J736" t="str" cm="1">
        <f t="array" ref="J736">_xlfn.IFS(calls[[#This Row],[Duration]]&lt;=10,"UNDER 10 MINS",calls[[#This Row],[Duration]]&lt;=30,"10 TO 30 MINS",calls[[#This Row],[Duration]]&lt;=60,"30 TO 60 MINS",calls[[#This Row],[Duration]]&lt;=120,"1 TO 2 HRS",TRUE,"MORE THAN 2 HRS")</f>
        <v>30 TO 60 MINS</v>
      </c>
      <c r="K736">
        <f>ROUND(calls[[#This Row],[Satisfaction Rating]],0)</f>
        <v>4</v>
      </c>
    </row>
    <row r="737" spans="1:11" x14ac:dyDescent="0.3">
      <c r="A737" s="41" t="s">
        <v>1788</v>
      </c>
      <c r="B737" s="10" t="s">
        <v>1051</v>
      </c>
      <c r="C737" s="10">
        <v>78</v>
      </c>
      <c r="D737" s="39" t="s">
        <v>1048</v>
      </c>
      <c r="E737" s="40">
        <v>45183</v>
      </c>
      <c r="F737" s="10">
        <v>23</v>
      </c>
      <c r="G737" s="42">
        <v>4.2</v>
      </c>
      <c r="H737">
        <f>IF(MONTH(calls[[#This Row],[Date of Call]])&lt;=6,YEAR(calls[[#This Row],[Date of Call]]),YEAR(calls[[#This Row],[Date of Call]])+1)</f>
        <v>2024</v>
      </c>
      <c r="I737" t="str">
        <f>TEXT(calls[[#This Row],[Date of Call]],"DDDD")</f>
        <v>Thursday</v>
      </c>
      <c r="J737" t="str" cm="1">
        <f t="array" ref="J737">_xlfn.IFS(calls[[#This Row],[Duration]]&lt;=10,"UNDER 10 MINS",calls[[#This Row],[Duration]]&lt;=30,"10 TO 30 MINS",calls[[#This Row],[Duration]]&lt;=60,"30 TO 60 MINS",calls[[#This Row],[Duration]]&lt;=120,"1 TO 2 HRS",TRUE,"MORE THAN 2 HRS")</f>
        <v>1 TO 2 HRS</v>
      </c>
      <c r="K737">
        <f>ROUND(calls[[#This Row],[Satisfaction Rating]],0)</f>
        <v>4</v>
      </c>
    </row>
    <row r="738" spans="1:11" x14ac:dyDescent="0.3">
      <c r="A738" s="41" t="s">
        <v>1789</v>
      </c>
      <c r="B738" s="10" t="s">
        <v>1079</v>
      </c>
      <c r="C738" s="10">
        <v>59</v>
      </c>
      <c r="D738" s="39" t="s">
        <v>1038</v>
      </c>
      <c r="E738" s="40">
        <v>45184</v>
      </c>
      <c r="F738" s="10">
        <v>24</v>
      </c>
      <c r="G738" s="42">
        <v>4.8</v>
      </c>
      <c r="H738">
        <f>IF(MONTH(calls[[#This Row],[Date of Call]])&lt;=6,YEAR(calls[[#This Row],[Date of Call]]),YEAR(calls[[#This Row],[Date of Call]])+1)</f>
        <v>2024</v>
      </c>
      <c r="I738" t="str">
        <f>TEXT(calls[[#This Row],[Date of Call]],"DDDD")</f>
        <v>Friday</v>
      </c>
      <c r="J738" t="str" cm="1">
        <f t="array" ref="J738">_xlfn.IFS(calls[[#This Row],[Duration]]&lt;=10,"UNDER 10 MINS",calls[[#This Row],[Duration]]&lt;=30,"10 TO 30 MINS",calls[[#This Row],[Duration]]&lt;=60,"30 TO 60 MINS",calls[[#This Row],[Duration]]&lt;=120,"1 TO 2 HRS",TRUE,"MORE THAN 2 HRS")</f>
        <v>30 TO 60 MINS</v>
      </c>
      <c r="K738">
        <f>ROUND(calls[[#This Row],[Satisfaction Rating]],0)</f>
        <v>5</v>
      </c>
    </row>
    <row r="739" spans="1:11" x14ac:dyDescent="0.3">
      <c r="A739" s="41" t="s">
        <v>1790</v>
      </c>
      <c r="B739" s="10" t="s">
        <v>1051</v>
      </c>
      <c r="C739" s="10">
        <v>126</v>
      </c>
      <c r="D739" s="39" t="s">
        <v>1043</v>
      </c>
      <c r="E739" s="40">
        <v>45185</v>
      </c>
      <c r="F739" s="10">
        <v>52</v>
      </c>
      <c r="G739" s="42">
        <v>1.1000000000000001</v>
      </c>
      <c r="H739">
        <f>IF(MONTH(calls[[#This Row],[Date of Call]])&lt;=6,YEAR(calls[[#This Row],[Date of Call]]),YEAR(calls[[#This Row],[Date of Call]])+1)</f>
        <v>2024</v>
      </c>
      <c r="I739" t="str">
        <f>TEXT(calls[[#This Row],[Date of Call]],"DDDD")</f>
        <v>Saturday</v>
      </c>
      <c r="J739" t="str" cm="1">
        <f t="array" ref="J739">_xlfn.IFS(calls[[#This Row],[Duration]]&lt;=10,"UNDER 10 MINS",calls[[#This Row],[Duration]]&lt;=30,"10 TO 30 MINS",calls[[#This Row],[Duration]]&lt;=60,"30 TO 60 MINS",calls[[#This Row],[Duration]]&lt;=120,"1 TO 2 HRS",TRUE,"MORE THAN 2 HRS")</f>
        <v>MORE THAN 2 HRS</v>
      </c>
      <c r="K739">
        <f>ROUND(calls[[#This Row],[Satisfaction Rating]],0)</f>
        <v>1</v>
      </c>
    </row>
    <row r="740" spans="1:11" x14ac:dyDescent="0.3">
      <c r="A740" s="41" t="s">
        <v>1791</v>
      </c>
      <c r="B740" s="10" t="s">
        <v>1042</v>
      </c>
      <c r="C740" s="10">
        <v>43</v>
      </c>
      <c r="D740" s="39" t="s">
        <v>1038</v>
      </c>
      <c r="E740" s="40">
        <v>45186</v>
      </c>
      <c r="F740" s="10">
        <v>168</v>
      </c>
      <c r="G740" s="42">
        <v>4</v>
      </c>
      <c r="H740">
        <f>IF(MONTH(calls[[#This Row],[Date of Call]])&lt;=6,YEAR(calls[[#This Row],[Date of Call]]),YEAR(calls[[#This Row],[Date of Call]])+1)</f>
        <v>2024</v>
      </c>
      <c r="I740" t="str">
        <f>TEXT(calls[[#This Row],[Date of Call]],"DDDD")</f>
        <v>Sunday</v>
      </c>
      <c r="J740" t="str" cm="1">
        <f t="array" ref="J740">_xlfn.IFS(calls[[#This Row],[Duration]]&lt;=10,"UNDER 10 MINS",calls[[#This Row],[Duration]]&lt;=30,"10 TO 30 MINS",calls[[#This Row],[Duration]]&lt;=60,"30 TO 60 MINS",calls[[#This Row],[Duration]]&lt;=120,"1 TO 2 HRS",TRUE,"MORE THAN 2 HRS")</f>
        <v>30 TO 60 MINS</v>
      </c>
      <c r="K740">
        <f>ROUND(calls[[#This Row],[Satisfaction Rating]],0)</f>
        <v>4</v>
      </c>
    </row>
    <row r="741" spans="1:11" x14ac:dyDescent="0.3">
      <c r="A741" s="41" t="s">
        <v>1792</v>
      </c>
      <c r="B741" s="10" t="s">
        <v>1089</v>
      </c>
      <c r="C741" s="10">
        <v>79</v>
      </c>
      <c r="D741" s="39" t="s">
        <v>1057</v>
      </c>
      <c r="E741" s="40">
        <v>45188</v>
      </c>
      <c r="F741" s="10">
        <v>125</v>
      </c>
      <c r="G741" s="42">
        <v>4.8</v>
      </c>
      <c r="H741">
        <f>IF(MONTH(calls[[#This Row],[Date of Call]])&lt;=6,YEAR(calls[[#This Row],[Date of Call]]),YEAR(calls[[#This Row],[Date of Call]])+1)</f>
        <v>2024</v>
      </c>
      <c r="I741" t="str">
        <f>TEXT(calls[[#This Row],[Date of Call]],"DDDD")</f>
        <v>Tuesday</v>
      </c>
      <c r="J741" t="str" cm="1">
        <f t="array" ref="J741">_xlfn.IFS(calls[[#This Row],[Duration]]&lt;=10,"UNDER 10 MINS",calls[[#This Row],[Duration]]&lt;=30,"10 TO 30 MINS",calls[[#This Row],[Duration]]&lt;=60,"30 TO 60 MINS",calls[[#This Row],[Duration]]&lt;=120,"1 TO 2 HRS",TRUE,"MORE THAN 2 HRS")</f>
        <v>1 TO 2 HRS</v>
      </c>
      <c r="K741">
        <f>ROUND(calls[[#This Row],[Satisfaction Rating]],0)</f>
        <v>5</v>
      </c>
    </row>
    <row r="742" spans="1:11" x14ac:dyDescent="0.3">
      <c r="A742" s="41" t="s">
        <v>1793</v>
      </c>
      <c r="B742" s="10" t="s">
        <v>1037</v>
      </c>
      <c r="C742" s="10">
        <v>71</v>
      </c>
      <c r="D742" s="39" t="s">
        <v>1038</v>
      </c>
      <c r="E742" s="40">
        <v>45189</v>
      </c>
      <c r="F742" s="10">
        <v>50</v>
      </c>
      <c r="G742" s="42">
        <v>4.2</v>
      </c>
      <c r="H742">
        <f>IF(MONTH(calls[[#This Row],[Date of Call]])&lt;=6,YEAR(calls[[#This Row],[Date of Call]]),YEAR(calls[[#This Row],[Date of Call]])+1)</f>
        <v>2024</v>
      </c>
      <c r="I742" t="str">
        <f>TEXT(calls[[#This Row],[Date of Call]],"DDDD")</f>
        <v>Wednesday</v>
      </c>
      <c r="J742" t="str" cm="1">
        <f t="array" ref="J742">_xlfn.IFS(calls[[#This Row],[Duration]]&lt;=10,"UNDER 10 MINS",calls[[#This Row],[Duration]]&lt;=30,"10 TO 30 MINS",calls[[#This Row],[Duration]]&lt;=60,"30 TO 60 MINS",calls[[#This Row],[Duration]]&lt;=120,"1 TO 2 HRS",TRUE,"MORE THAN 2 HRS")</f>
        <v>1 TO 2 HRS</v>
      </c>
      <c r="K742">
        <f>ROUND(calls[[#This Row],[Satisfaction Rating]],0)</f>
        <v>4</v>
      </c>
    </row>
    <row r="743" spans="1:11" x14ac:dyDescent="0.3">
      <c r="A743" s="41" t="s">
        <v>1794</v>
      </c>
      <c r="B743" s="10" t="s">
        <v>1068</v>
      </c>
      <c r="C743" s="10">
        <v>94</v>
      </c>
      <c r="D743" s="39" t="s">
        <v>1043</v>
      </c>
      <c r="E743" s="40">
        <v>45190</v>
      </c>
      <c r="F743" s="10">
        <v>220</v>
      </c>
      <c r="G743" s="42">
        <v>4.5999999999999996</v>
      </c>
      <c r="H743">
        <f>IF(MONTH(calls[[#This Row],[Date of Call]])&lt;=6,YEAR(calls[[#This Row],[Date of Call]]),YEAR(calls[[#This Row],[Date of Call]])+1)</f>
        <v>2024</v>
      </c>
      <c r="I743" t="str">
        <f>TEXT(calls[[#This Row],[Date of Call]],"DDDD")</f>
        <v>Thursday</v>
      </c>
      <c r="J743" t="str" cm="1">
        <f t="array" ref="J743">_xlfn.IFS(calls[[#This Row],[Duration]]&lt;=10,"UNDER 10 MINS",calls[[#This Row],[Duration]]&lt;=30,"10 TO 30 MINS",calls[[#This Row],[Duration]]&lt;=60,"30 TO 60 MINS",calls[[#This Row],[Duration]]&lt;=120,"1 TO 2 HRS",TRUE,"MORE THAN 2 HRS")</f>
        <v>1 TO 2 HRS</v>
      </c>
      <c r="K743">
        <f>ROUND(calls[[#This Row],[Satisfaction Rating]],0)</f>
        <v>5</v>
      </c>
    </row>
    <row r="744" spans="1:11" x14ac:dyDescent="0.3">
      <c r="A744" s="41" t="s">
        <v>1795</v>
      </c>
      <c r="B744" s="10" t="s">
        <v>1056</v>
      </c>
      <c r="C744" s="10">
        <v>108</v>
      </c>
      <c r="D744" s="39" t="s">
        <v>1038</v>
      </c>
      <c r="E744" s="40">
        <v>45190</v>
      </c>
      <c r="F744" s="10">
        <v>180</v>
      </c>
      <c r="G744" s="42">
        <v>4</v>
      </c>
      <c r="H744">
        <f>IF(MONTH(calls[[#This Row],[Date of Call]])&lt;=6,YEAR(calls[[#This Row],[Date of Call]]),YEAR(calls[[#This Row],[Date of Call]])+1)</f>
        <v>2024</v>
      </c>
      <c r="I744" t="str">
        <f>TEXT(calls[[#This Row],[Date of Call]],"DDDD")</f>
        <v>Thursday</v>
      </c>
      <c r="J744" t="str" cm="1">
        <f t="array" ref="J744">_xlfn.IFS(calls[[#This Row],[Duration]]&lt;=10,"UNDER 10 MINS",calls[[#This Row],[Duration]]&lt;=30,"10 TO 30 MINS",calls[[#This Row],[Duration]]&lt;=60,"30 TO 60 MINS",calls[[#This Row],[Duration]]&lt;=120,"1 TO 2 HRS",TRUE,"MORE THAN 2 HRS")</f>
        <v>1 TO 2 HRS</v>
      </c>
      <c r="K744">
        <f>ROUND(calls[[#This Row],[Satisfaction Rating]],0)</f>
        <v>4</v>
      </c>
    </row>
    <row r="745" spans="1:11" x14ac:dyDescent="0.3">
      <c r="A745" s="41" t="s">
        <v>1796</v>
      </c>
      <c r="B745" s="10" t="s">
        <v>1042</v>
      </c>
      <c r="C745" s="10">
        <v>76</v>
      </c>
      <c r="D745" s="39" t="s">
        <v>1043</v>
      </c>
      <c r="E745" s="40">
        <v>45190</v>
      </c>
      <c r="F745" s="10">
        <v>110</v>
      </c>
      <c r="G745" s="42">
        <v>3.9</v>
      </c>
      <c r="H745">
        <f>IF(MONTH(calls[[#This Row],[Date of Call]])&lt;=6,YEAR(calls[[#This Row],[Date of Call]]),YEAR(calls[[#This Row],[Date of Call]])+1)</f>
        <v>2024</v>
      </c>
      <c r="I745" t="str">
        <f>TEXT(calls[[#This Row],[Date of Call]],"DDDD")</f>
        <v>Thursday</v>
      </c>
      <c r="J745" t="str" cm="1">
        <f t="array" ref="J745">_xlfn.IFS(calls[[#This Row],[Duration]]&lt;=10,"UNDER 10 MINS",calls[[#This Row],[Duration]]&lt;=30,"10 TO 30 MINS",calls[[#This Row],[Duration]]&lt;=60,"30 TO 60 MINS",calls[[#This Row],[Duration]]&lt;=120,"1 TO 2 HRS",TRUE,"MORE THAN 2 HRS")</f>
        <v>1 TO 2 HRS</v>
      </c>
      <c r="K745">
        <f>ROUND(calls[[#This Row],[Satisfaction Rating]],0)</f>
        <v>4</v>
      </c>
    </row>
    <row r="746" spans="1:11" x14ac:dyDescent="0.3">
      <c r="A746" s="41" t="s">
        <v>1797</v>
      </c>
      <c r="B746" s="10" t="s">
        <v>1079</v>
      </c>
      <c r="C746" s="10">
        <v>136</v>
      </c>
      <c r="D746" s="39" t="s">
        <v>1038</v>
      </c>
      <c r="E746" s="40">
        <v>45190</v>
      </c>
      <c r="F746" s="10">
        <v>36</v>
      </c>
      <c r="G746" s="42">
        <v>2.8</v>
      </c>
      <c r="H746">
        <f>IF(MONTH(calls[[#This Row],[Date of Call]])&lt;=6,YEAR(calls[[#This Row],[Date of Call]]),YEAR(calls[[#This Row],[Date of Call]])+1)</f>
        <v>2024</v>
      </c>
      <c r="I746" t="str">
        <f>TEXT(calls[[#This Row],[Date of Call]],"DDDD")</f>
        <v>Thursday</v>
      </c>
      <c r="J746" t="str" cm="1">
        <f t="array" ref="J746">_xlfn.IFS(calls[[#This Row],[Duration]]&lt;=10,"UNDER 10 MINS",calls[[#This Row],[Duration]]&lt;=30,"10 TO 30 MINS",calls[[#This Row],[Duration]]&lt;=60,"30 TO 60 MINS",calls[[#This Row],[Duration]]&lt;=120,"1 TO 2 HRS",TRUE,"MORE THAN 2 HRS")</f>
        <v>MORE THAN 2 HRS</v>
      </c>
      <c r="K746">
        <f>ROUND(calls[[#This Row],[Satisfaction Rating]],0)</f>
        <v>3</v>
      </c>
    </row>
    <row r="747" spans="1:11" x14ac:dyDescent="0.3">
      <c r="A747" s="41" t="s">
        <v>1798</v>
      </c>
      <c r="B747" s="10" t="s">
        <v>1040</v>
      </c>
      <c r="C747" s="10">
        <v>129</v>
      </c>
      <c r="D747" s="39" t="s">
        <v>1048</v>
      </c>
      <c r="E747" s="40">
        <v>45191</v>
      </c>
      <c r="F747" s="10">
        <v>93</v>
      </c>
      <c r="G747" s="42">
        <v>4.7</v>
      </c>
      <c r="H747">
        <f>IF(MONTH(calls[[#This Row],[Date of Call]])&lt;=6,YEAR(calls[[#This Row],[Date of Call]]),YEAR(calls[[#This Row],[Date of Call]])+1)</f>
        <v>2024</v>
      </c>
      <c r="I747" t="str">
        <f>TEXT(calls[[#This Row],[Date of Call]],"DDDD")</f>
        <v>Friday</v>
      </c>
      <c r="J747" t="str" cm="1">
        <f t="array" ref="J747">_xlfn.IFS(calls[[#This Row],[Duration]]&lt;=10,"UNDER 10 MINS",calls[[#This Row],[Duration]]&lt;=30,"10 TO 30 MINS",calls[[#This Row],[Duration]]&lt;=60,"30 TO 60 MINS",calls[[#This Row],[Duration]]&lt;=120,"1 TO 2 HRS",TRUE,"MORE THAN 2 HRS")</f>
        <v>MORE THAN 2 HRS</v>
      </c>
      <c r="K747">
        <f>ROUND(calls[[#This Row],[Satisfaction Rating]],0)</f>
        <v>5</v>
      </c>
    </row>
    <row r="748" spans="1:11" x14ac:dyDescent="0.3">
      <c r="A748" s="41" t="s">
        <v>1799</v>
      </c>
      <c r="B748" s="10" t="s">
        <v>1056</v>
      </c>
      <c r="C748" s="10">
        <v>120</v>
      </c>
      <c r="D748" s="39" t="s">
        <v>1038</v>
      </c>
      <c r="E748" s="40">
        <v>45191</v>
      </c>
      <c r="F748" s="10">
        <v>38</v>
      </c>
      <c r="G748" s="42">
        <v>4.2</v>
      </c>
      <c r="H748">
        <f>IF(MONTH(calls[[#This Row],[Date of Call]])&lt;=6,YEAR(calls[[#This Row],[Date of Call]]),YEAR(calls[[#This Row],[Date of Call]])+1)</f>
        <v>2024</v>
      </c>
      <c r="I748" t="str">
        <f>TEXT(calls[[#This Row],[Date of Call]],"DDDD")</f>
        <v>Friday</v>
      </c>
      <c r="J748" t="str" cm="1">
        <f t="array" ref="J748">_xlfn.IFS(calls[[#This Row],[Duration]]&lt;=10,"UNDER 10 MINS",calls[[#This Row],[Duration]]&lt;=30,"10 TO 30 MINS",calls[[#This Row],[Duration]]&lt;=60,"30 TO 60 MINS",calls[[#This Row],[Duration]]&lt;=120,"1 TO 2 HRS",TRUE,"MORE THAN 2 HRS")</f>
        <v>1 TO 2 HRS</v>
      </c>
      <c r="K748">
        <f>ROUND(calls[[#This Row],[Satisfaction Rating]],0)</f>
        <v>4</v>
      </c>
    </row>
    <row r="749" spans="1:11" x14ac:dyDescent="0.3">
      <c r="A749" s="41" t="s">
        <v>1800</v>
      </c>
      <c r="B749" s="10" t="s">
        <v>1042</v>
      </c>
      <c r="C749" s="10">
        <v>108</v>
      </c>
      <c r="D749" s="39" t="s">
        <v>1048</v>
      </c>
      <c r="E749" s="40">
        <v>45192</v>
      </c>
      <c r="F749" s="10">
        <v>66</v>
      </c>
      <c r="G749" s="42">
        <v>3.9</v>
      </c>
      <c r="H749">
        <f>IF(MONTH(calls[[#This Row],[Date of Call]])&lt;=6,YEAR(calls[[#This Row],[Date of Call]]),YEAR(calls[[#This Row],[Date of Call]])+1)</f>
        <v>2024</v>
      </c>
      <c r="I749" t="str">
        <f>TEXT(calls[[#This Row],[Date of Call]],"DDDD")</f>
        <v>Saturday</v>
      </c>
      <c r="J749" t="str" cm="1">
        <f t="array" ref="J749">_xlfn.IFS(calls[[#This Row],[Duration]]&lt;=10,"UNDER 10 MINS",calls[[#This Row],[Duration]]&lt;=30,"10 TO 30 MINS",calls[[#This Row],[Duration]]&lt;=60,"30 TO 60 MINS",calls[[#This Row],[Duration]]&lt;=120,"1 TO 2 HRS",TRUE,"MORE THAN 2 HRS")</f>
        <v>1 TO 2 HRS</v>
      </c>
      <c r="K749">
        <f>ROUND(calls[[#This Row],[Satisfaction Rating]],0)</f>
        <v>4</v>
      </c>
    </row>
    <row r="750" spans="1:11" x14ac:dyDescent="0.3">
      <c r="A750" s="41" t="s">
        <v>1801</v>
      </c>
      <c r="B750" s="10" t="s">
        <v>1051</v>
      </c>
      <c r="C750" s="10">
        <v>79</v>
      </c>
      <c r="D750" s="39" t="s">
        <v>1038</v>
      </c>
      <c r="E750" s="40">
        <v>45192</v>
      </c>
      <c r="F750" s="10">
        <v>215</v>
      </c>
      <c r="G750" s="42">
        <v>4.5999999999999996</v>
      </c>
      <c r="H750">
        <f>IF(MONTH(calls[[#This Row],[Date of Call]])&lt;=6,YEAR(calls[[#This Row],[Date of Call]]),YEAR(calls[[#This Row],[Date of Call]])+1)</f>
        <v>2024</v>
      </c>
      <c r="I750" t="str">
        <f>TEXT(calls[[#This Row],[Date of Call]],"DDDD")</f>
        <v>Saturday</v>
      </c>
      <c r="J750" t="str" cm="1">
        <f t="array" ref="J750">_xlfn.IFS(calls[[#This Row],[Duration]]&lt;=10,"UNDER 10 MINS",calls[[#This Row],[Duration]]&lt;=30,"10 TO 30 MINS",calls[[#This Row],[Duration]]&lt;=60,"30 TO 60 MINS",calls[[#This Row],[Duration]]&lt;=120,"1 TO 2 HRS",TRUE,"MORE THAN 2 HRS")</f>
        <v>1 TO 2 HRS</v>
      </c>
      <c r="K750">
        <f>ROUND(calls[[#This Row],[Satisfaction Rating]],0)</f>
        <v>5</v>
      </c>
    </row>
    <row r="751" spans="1:11" x14ac:dyDescent="0.3">
      <c r="A751" s="41" t="s">
        <v>1802</v>
      </c>
      <c r="B751" s="10" t="s">
        <v>1051</v>
      </c>
      <c r="C751" s="10">
        <v>45</v>
      </c>
      <c r="D751" s="39" t="s">
        <v>1048</v>
      </c>
      <c r="E751" s="40">
        <v>45192</v>
      </c>
      <c r="F751" s="10">
        <v>92</v>
      </c>
      <c r="G751" s="42">
        <v>4.3</v>
      </c>
      <c r="H751">
        <f>IF(MONTH(calls[[#This Row],[Date of Call]])&lt;=6,YEAR(calls[[#This Row],[Date of Call]]),YEAR(calls[[#This Row],[Date of Call]])+1)</f>
        <v>2024</v>
      </c>
      <c r="I751" t="str">
        <f>TEXT(calls[[#This Row],[Date of Call]],"DDDD")</f>
        <v>Saturday</v>
      </c>
      <c r="J751" t="str" cm="1">
        <f t="array" ref="J751">_xlfn.IFS(calls[[#This Row],[Duration]]&lt;=10,"UNDER 10 MINS",calls[[#This Row],[Duration]]&lt;=30,"10 TO 30 MINS",calls[[#This Row],[Duration]]&lt;=60,"30 TO 60 MINS",calls[[#This Row],[Duration]]&lt;=120,"1 TO 2 HRS",TRUE,"MORE THAN 2 HRS")</f>
        <v>30 TO 60 MINS</v>
      </c>
      <c r="K751">
        <f>ROUND(calls[[#This Row],[Satisfaction Rating]],0)</f>
        <v>4</v>
      </c>
    </row>
    <row r="752" spans="1:11" x14ac:dyDescent="0.3">
      <c r="A752" s="41" t="s">
        <v>1803</v>
      </c>
      <c r="B752" s="10" t="s">
        <v>1047</v>
      </c>
      <c r="C752" s="10">
        <v>96</v>
      </c>
      <c r="D752" s="39" t="s">
        <v>1038</v>
      </c>
      <c r="E752" s="40">
        <v>45192</v>
      </c>
      <c r="F752" s="10">
        <v>80</v>
      </c>
      <c r="G752" s="42">
        <v>3.6</v>
      </c>
      <c r="H752">
        <f>IF(MONTH(calls[[#This Row],[Date of Call]])&lt;=6,YEAR(calls[[#This Row],[Date of Call]]),YEAR(calls[[#This Row],[Date of Call]])+1)</f>
        <v>2024</v>
      </c>
      <c r="I752" t="str">
        <f>TEXT(calls[[#This Row],[Date of Call]],"DDDD")</f>
        <v>Saturday</v>
      </c>
      <c r="J752" t="str" cm="1">
        <f t="array" ref="J752">_xlfn.IFS(calls[[#This Row],[Duration]]&lt;=10,"UNDER 10 MINS",calls[[#This Row],[Duration]]&lt;=30,"10 TO 30 MINS",calls[[#This Row],[Duration]]&lt;=60,"30 TO 60 MINS",calls[[#This Row],[Duration]]&lt;=120,"1 TO 2 HRS",TRUE,"MORE THAN 2 HRS")</f>
        <v>1 TO 2 HRS</v>
      </c>
      <c r="K752">
        <f>ROUND(calls[[#This Row],[Satisfaction Rating]],0)</f>
        <v>4</v>
      </c>
    </row>
    <row r="753" spans="1:11" x14ac:dyDescent="0.3">
      <c r="A753" s="41" t="s">
        <v>1804</v>
      </c>
      <c r="B753" s="10" t="s">
        <v>1047</v>
      </c>
      <c r="C753" s="10">
        <v>81</v>
      </c>
      <c r="D753" s="39" t="s">
        <v>1038</v>
      </c>
      <c r="E753" s="40">
        <v>45193</v>
      </c>
      <c r="F753" s="10">
        <v>123</v>
      </c>
      <c r="G753" s="42">
        <v>4.9000000000000004</v>
      </c>
      <c r="H753">
        <f>IF(MONTH(calls[[#This Row],[Date of Call]])&lt;=6,YEAR(calls[[#This Row],[Date of Call]]),YEAR(calls[[#This Row],[Date of Call]])+1)</f>
        <v>2024</v>
      </c>
      <c r="I753" t="str">
        <f>TEXT(calls[[#This Row],[Date of Call]],"DDDD")</f>
        <v>Sunday</v>
      </c>
      <c r="J753" t="str" cm="1">
        <f t="array" ref="J753">_xlfn.IFS(calls[[#This Row],[Duration]]&lt;=10,"UNDER 10 MINS",calls[[#This Row],[Duration]]&lt;=30,"10 TO 30 MINS",calls[[#This Row],[Duration]]&lt;=60,"30 TO 60 MINS",calls[[#This Row],[Duration]]&lt;=120,"1 TO 2 HRS",TRUE,"MORE THAN 2 HRS")</f>
        <v>1 TO 2 HRS</v>
      </c>
      <c r="K753">
        <f>ROUND(calls[[#This Row],[Satisfaction Rating]],0)</f>
        <v>5</v>
      </c>
    </row>
    <row r="754" spans="1:11" x14ac:dyDescent="0.3">
      <c r="A754" s="41" t="s">
        <v>1805</v>
      </c>
      <c r="B754" s="10" t="s">
        <v>1079</v>
      </c>
      <c r="C754" s="10">
        <v>95</v>
      </c>
      <c r="D754" s="39" t="s">
        <v>1053</v>
      </c>
      <c r="E754" s="40">
        <v>45193</v>
      </c>
      <c r="F754" s="10">
        <v>23</v>
      </c>
      <c r="G754" s="42">
        <v>2.4</v>
      </c>
      <c r="H754">
        <f>IF(MONTH(calls[[#This Row],[Date of Call]])&lt;=6,YEAR(calls[[#This Row],[Date of Call]]),YEAR(calls[[#This Row],[Date of Call]])+1)</f>
        <v>2024</v>
      </c>
      <c r="I754" t="str">
        <f>TEXT(calls[[#This Row],[Date of Call]],"DDDD")</f>
        <v>Sunday</v>
      </c>
      <c r="J754" t="str" cm="1">
        <f t="array" ref="J754">_xlfn.IFS(calls[[#This Row],[Duration]]&lt;=10,"UNDER 10 MINS",calls[[#This Row],[Duration]]&lt;=30,"10 TO 30 MINS",calls[[#This Row],[Duration]]&lt;=60,"30 TO 60 MINS",calls[[#This Row],[Duration]]&lt;=120,"1 TO 2 HRS",TRUE,"MORE THAN 2 HRS")</f>
        <v>1 TO 2 HRS</v>
      </c>
      <c r="K754">
        <f>ROUND(calls[[#This Row],[Satisfaction Rating]],0)</f>
        <v>2</v>
      </c>
    </row>
    <row r="755" spans="1:11" x14ac:dyDescent="0.3">
      <c r="A755" s="41" t="s">
        <v>1806</v>
      </c>
      <c r="B755" s="10" t="s">
        <v>1076</v>
      </c>
      <c r="C755" s="10">
        <v>159</v>
      </c>
      <c r="D755" s="39" t="s">
        <v>1043</v>
      </c>
      <c r="E755" s="40">
        <v>45193</v>
      </c>
      <c r="F755" s="10">
        <v>63</v>
      </c>
      <c r="G755" s="42">
        <v>4.2</v>
      </c>
      <c r="H755">
        <f>IF(MONTH(calls[[#This Row],[Date of Call]])&lt;=6,YEAR(calls[[#This Row],[Date of Call]]),YEAR(calls[[#This Row],[Date of Call]])+1)</f>
        <v>2024</v>
      </c>
      <c r="I755" t="str">
        <f>TEXT(calls[[#This Row],[Date of Call]],"DDDD")</f>
        <v>Sunday</v>
      </c>
      <c r="J755" t="str" cm="1">
        <f t="array" ref="J755">_xlfn.IFS(calls[[#This Row],[Duration]]&lt;=10,"UNDER 10 MINS",calls[[#This Row],[Duration]]&lt;=30,"10 TO 30 MINS",calls[[#This Row],[Duration]]&lt;=60,"30 TO 60 MINS",calls[[#This Row],[Duration]]&lt;=120,"1 TO 2 HRS",TRUE,"MORE THAN 2 HRS")</f>
        <v>MORE THAN 2 HRS</v>
      </c>
      <c r="K755">
        <f>ROUND(calls[[#This Row],[Satisfaction Rating]],0)</f>
        <v>4</v>
      </c>
    </row>
    <row r="756" spans="1:11" x14ac:dyDescent="0.3">
      <c r="A756" s="41" t="s">
        <v>1807</v>
      </c>
      <c r="B756" s="10" t="s">
        <v>1109</v>
      </c>
      <c r="C756" s="10">
        <v>109</v>
      </c>
      <c r="D756" s="39" t="s">
        <v>1057</v>
      </c>
      <c r="E756" s="40">
        <v>45193</v>
      </c>
      <c r="F756" s="10">
        <v>52</v>
      </c>
      <c r="G756" s="42">
        <v>3.9</v>
      </c>
      <c r="H756">
        <f>IF(MONTH(calls[[#This Row],[Date of Call]])&lt;=6,YEAR(calls[[#This Row],[Date of Call]]),YEAR(calls[[#This Row],[Date of Call]])+1)</f>
        <v>2024</v>
      </c>
      <c r="I756" t="str">
        <f>TEXT(calls[[#This Row],[Date of Call]],"DDDD")</f>
        <v>Sunday</v>
      </c>
      <c r="J756" t="str" cm="1">
        <f t="array" ref="J756">_xlfn.IFS(calls[[#This Row],[Duration]]&lt;=10,"UNDER 10 MINS",calls[[#This Row],[Duration]]&lt;=30,"10 TO 30 MINS",calls[[#This Row],[Duration]]&lt;=60,"30 TO 60 MINS",calls[[#This Row],[Duration]]&lt;=120,"1 TO 2 HRS",TRUE,"MORE THAN 2 HRS")</f>
        <v>1 TO 2 HRS</v>
      </c>
      <c r="K756">
        <f>ROUND(calls[[#This Row],[Satisfaction Rating]],0)</f>
        <v>4</v>
      </c>
    </row>
    <row r="757" spans="1:11" x14ac:dyDescent="0.3">
      <c r="A757" s="41" t="s">
        <v>1808</v>
      </c>
      <c r="B757" s="10" t="s">
        <v>1051</v>
      </c>
      <c r="C757" s="10">
        <v>107</v>
      </c>
      <c r="D757" s="39" t="s">
        <v>1057</v>
      </c>
      <c r="E757" s="40">
        <v>45193</v>
      </c>
      <c r="F757" s="10">
        <v>60</v>
      </c>
      <c r="G757" s="42">
        <v>4.2</v>
      </c>
      <c r="H757">
        <f>IF(MONTH(calls[[#This Row],[Date of Call]])&lt;=6,YEAR(calls[[#This Row],[Date of Call]]),YEAR(calls[[#This Row],[Date of Call]])+1)</f>
        <v>2024</v>
      </c>
      <c r="I757" t="str">
        <f>TEXT(calls[[#This Row],[Date of Call]],"DDDD")</f>
        <v>Sunday</v>
      </c>
      <c r="J757" t="str" cm="1">
        <f t="array" ref="J757">_xlfn.IFS(calls[[#This Row],[Duration]]&lt;=10,"UNDER 10 MINS",calls[[#This Row],[Duration]]&lt;=30,"10 TO 30 MINS",calls[[#This Row],[Duration]]&lt;=60,"30 TO 60 MINS",calls[[#This Row],[Duration]]&lt;=120,"1 TO 2 HRS",TRUE,"MORE THAN 2 HRS")</f>
        <v>1 TO 2 HRS</v>
      </c>
      <c r="K757">
        <f>ROUND(calls[[#This Row],[Satisfaction Rating]],0)</f>
        <v>4</v>
      </c>
    </row>
    <row r="758" spans="1:11" x14ac:dyDescent="0.3">
      <c r="A758" s="41" t="s">
        <v>1809</v>
      </c>
      <c r="B758" s="10" t="s">
        <v>1047</v>
      </c>
      <c r="C758" s="10">
        <v>67</v>
      </c>
      <c r="D758" s="39" t="s">
        <v>1048</v>
      </c>
      <c r="E758" s="40">
        <v>45194</v>
      </c>
      <c r="F758" s="10">
        <v>87</v>
      </c>
      <c r="G758" s="42">
        <v>3.9</v>
      </c>
      <c r="H758">
        <f>IF(MONTH(calls[[#This Row],[Date of Call]])&lt;=6,YEAR(calls[[#This Row],[Date of Call]]),YEAR(calls[[#This Row],[Date of Call]])+1)</f>
        <v>2024</v>
      </c>
      <c r="I758" t="str">
        <f>TEXT(calls[[#This Row],[Date of Call]],"DDDD")</f>
        <v>Monday</v>
      </c>
      <c r="J758" t="str" cm="1">
        <f t="array" ref="J758">_xlfn.IFS(calls[[#This Row],[Duration]]&lt;=10,"UNDER 10 MINS",calls[[#This Row],[Duration]]&lt;=30,"10 TO 30 MINS",calls[[#This Row],[Duration]]&lt;=60,"30 TO 60 MINS",calls[[#This Row],[Duration]]&lt;=120,"1 TO 2 HRS",TRUE,"MORE THAN 2 HRS")</f>
        <v>1 TO 2 HRS</v>
      </c>
      <c r="K758">
        <f>ROUND(calls[[#This Row],[Satisfaction Rating]],0)</f>
        <v>4</v>
      </c>
    </row>
    <row r="759" spans="1:11" x14ac:dyDescent="0.3">
      <c r="A759" s="41" t="s">
        <v>1810</v>
      </c>
      <c r="B759" s="10" t="s">
        <v>1062</v>
      </c>
      <c r="C759" s="10">
        <v>96</v>
      </c>
      <c r="D759" s="39" t="s">
        <v>1038</v>
      </c>
      <c r="E759" s="40">
        <v>45195</v>
      </c>
      <c r="F759" s="10">
        <v>42</v>
      </c>
      <c r="G759" s="42">
        <v>4.5</v>
      </c>
      <c r="H759">
        <f>IF(MONTH(calls[[#This Row],[Date of Call]])&lt;=6,YEAR(calls[[#This Row],[Date of Call]]),YEAR(calls[[#This Row],[Date of Call]])+1)</f>
        <v>2024</v>
      </c>
      <c r="I759" t="str">
        <f>TEXT(calls[[#This Row],[Date of Call]],"DDDD")</f>
        <v>Tuesday</v>
      </c>
      <c r="J759" t="str" cm="1">
        <f t="array" ref="J759">_xlfn.IFS(calls[[#This Row],[Duration]]&lt;=10,"UNDER 10 MINS",calls[[#This Row],[Duration]]&lt;=30,"10 TO 30 MINS",calls[[#This Row],[Duration]]&lt;=60,"30 TO 60 MINS",calls[[#This Row],[Duration]]&lt;=120,"1 TO 2 HRS",TRUE,"MORE THAN 2 HRS")</f>
        <v>1 TO 2 HRS</v>
      </c>
      <c r="K759">
        <f>ROUND(calls[[#This Row],[Satisfaction Rating]],0)</f>
        <v>5</v>
      </c>
    </row>
    <row r="760" spans="1:11" x14ac:dyDescent="0.3">
      <c r="A760" s="41" t="s">
        <v>1811</v>
      </c>
      <c r="B760" s="10" t="s">
        <v>1071</v>
      </c>
      <c r="C760" s="10">
        <v>142</v>
      </c>
      <c r="D760" s="39" t="s">
        <v>1043</v>
      </c>
      <c r="E760" s="40">
        <v>45196</v>
      </c>
      <c r="F760" s="10">
        <v>37</v>
      </c>
      <c r="G760" s="42">
        <v>3.8</v>
      </c>
      <c r="H760">
        <f>IF(MONTH(calls[[#This Row],[Date of Call]])&lt;=6,YEAR(calls[[#This Row],[Date of Call]]),YEAR(calls[[#This Row],[Date of Call]])+1)</f>
        <v>2024</v>
      </c>
      <c r="I760" t="str">
        <f>TEXT(calls[[#This Row],[Date of Call]],"DDDD")</f>
        <v>Wednesday</v>
      </c>
      <c r="J760" t="str" cm="1">
        <f t="array" ref="J760">_xlfn.IFS(calls[[#This Row],[Duration]]&lt;=10,"UNDER 10 MINS",calls[[#This Row],[Duration]]&lt;=30,"10 TO 30 MINS",calls[[#This Row],[Duration]]&lt;=60,"30 TO 60 MINS",calls[[#This Row],[Duration]]&lt;=120,"1 TO 2 HRS",TRUE,"MORE THAN 2 HRS")</f>
        <v>MORE THAN 2 HRS</v>
      </c>
      <c r="K760">
        <f>ROUND(calls[[#This Row],[Satisfaction Rating]],0)</f>
        <v>4</v>
      </c>
    </row>
    <row r="761" spans="1:11" x14ac:dyDescent="0.3">
      <c r="A761" s="41" t="s">
        <v>1812</v>
      </c>
      <c r="B761" s="10" t="s">
        <v>1071</v>
      </c>
      <c r="C761" s="10">
        <v>71</v>
      </c>
      <c r="D761" s="39" t="s">
        <v>1053</v>
      </c>
      <c r="E761" s="40">
        <v>45196</v>
      </c>
      <c r="F761" s="10">
        <v>135</v>
      </c>
      <c r="G761" s="42">
        <v>3.9</v>
      </c>
      <c r="H761">
        <f>IF(MONTH(calls[[#This Row],[Date of Call]])&lt;=6,YEAR(calls[[#This Row],[Date of Call]]),YEAR(calls[[#This Row],[Date of Call]])+1)</f>
        <v>2024</v>
      </c>
      <c r="I761" t="str">
        <f>TEXT(calls[[#This Row],[Date of Call]],"DDDD")</f>
        <v>Wednesday</v>
      </c>
      <c r="J761" t="str" cm="1">
        <f t="array" ref="J761">_xlfn.IFS(calls[[#This Row],[Duration]]&lt;=10,"UNDER 10 MINS",calls[[#This Row],[Duration]]&lt;=30,"10 TO 30 MINS",calls[[#This Row],[Duration]]&lt;=60,"30 TO 60 MINS",calls[[#This Row],[Duration]]&lt;=120,"1 TO 2 HRS",TRUE,"MORE THAN 2 HRS")</f>
        <v>1 TO 2 HRS</v>
      </c>
      <c r="K761">
        <f>ROUND(calls[[#This Row],[Satisfaction Rating]],0)</f>
        <v>4</v>
      </c>
    </row>
    <row r="762" spans="1:11" x14ac:dyDescent="0.3">
      <c r="A762" s="41" t="s">
        <v>1813</v>
      </c>
      <c r="B762" s="10" t="s">
        <v>1062</v>
      </c>
      <c r="C762" s="10">
        <v>152</v>
      </c>
      <c r="D762" s="39" t="s">
        <v>1053</v>
      </c>
      <c r="E762" s="40">
        <v>45196</v>
      </c>
      <c r="F762" s="10">
        <v>88</v>
      </c>
      <c r="G762" s="42">
        <v>4.7</v>
      </c>
      <c r="H762">
        <f>IF(MONTH(calls[[#This Row],[Date of Call]])&lt;=6,YEAR(calls[[#This Row],[Date of Call]]),YEAR(calls[[#This Row],[Date of Call]])+1)</f>
        <v>2024</v>
      </c>
      <c r="I762" t="str">
        <f>TEXT(calls[[#This Row],[Date of Call]],"DDDD")</f>
        <v>Wednesday</v>
      </c>
      <c r="J762" t="str" cm="1">
        <f t="array" ref="J762">_xlfn.IFS(calls[[#This Row],[Duration]]&lt;=10,"UNDER 10 MINS",calls[[#This Row],[Duration]]&lt;=30,"10 TO 30 MINS",calls[[#This Row],[Duration]]&lt;=60,"30 TO 60 MINS",calls[[#This Row],[Duration]]&lt;=120,"1 TO 2 HRS",TRUE,"MORE THAN 2 HRS")</f>
        <v>MORE THAN 2 HRS</v>
      </c>
      <c r="K762">
        <f>ROUND(calls[[#This Row],[Satisfaction Rating]],0)</f>
        <v>5</v>
      </c>
    </row>
    <row r="763" spans="1:11" x14ac:dyDescent="0.3">
      <c r="A763" s="41" t="s">
        <v>1814</v>
      </c>
      <c r="B763" s="10" t="s">
        <v>1089</v>
      </c>
      <c r="C763" s="10">
        <v>108</v>
      </c>
      <c r="D763" s="39" t="s">
        <v>1043</v>
      </c>
      <c r="E763" s="40">
        <v>45196</v>
      </c>
      <c r="F763" s="10">
        <v>190</v>
      </c>
      <c r="G763" s="42">
        <v>3.2</v>
      </c>
      <c r="H763">
        <f>IF(MONTH(calls[[#This Row],[Date of Call]])&lt;=6,YEAR(calls[[#This Row],[Date of Call]]),YEAR(calls[[#This Row],[Date of Call]])+1)</f>
        <v>2024</v>
      </c>
      <c r="I763" t="str">
        <f>TEXT(calls[[#This Row],[Date of Call]],"DDDD")</f>
        <v>Wednesday</v>
      </c>
      <c r="J763" t="str" cm="1">
        <f t="array" ref="J763">_xlfn.IFS(calls[[#This Row],[Duration]]&lt;=10,"UNDER 10 MINS",calls[[#This Row],[Duration]]&lt;=30,"10 TO 30 MINS",calls[[#This Row],[Duration]]&lt;=60,"30 TO 60 MINS",calls[[#This Row],[Duration]]&lt;=120,"1 TO 2 HRS",TRUE,"MORE THAN 2 HRS")</f>
        <v>1 TO 2 HRS</v>
      </c>
      <c r="K763">
        <f>ROUND(calls[[#This Row],[Satisfaction Rating]],0)</f>
        <v>3</v>
      </c>
    </row>
    <row r="764" spans="1:11" x14ac:dyDescent="0.3">
      <c r="A764" s="41" t="s">
        <v>1815</v>
      </c>
      <c r="B764" s="10" t="s">
        <v>1089</v>
      </c>
      <c r="C764" s="10">
        <v>156</v>
      </c>
      <c r="D764" s="39" t="s">
        <v>1053</v>
      </c>
      <c r="E764" s="40">
        <v>45196</v>
      </c>
      <c r="F764" s="10">
        <v>81</v>
      </c>
      <c r="G764" s="42">
        <v>5</v>
      </c>
      <c r="H764">
        <f>IF(MONTH(calls[[#This Row],[Date of Call]])&lt;=6,YEAR(calls[[#This Row],[Date of Call]]),YEAR(calls[[#This Row],[Date of Call]])+1)</f>
        <v>2024</v>
      </c>
      <c r="I764" t="str">
        <f>TEXT(calls[[#This Row],[Date of Call]],"DDDD")</f>
        <v>Wednesday</v>
      </c>
      <c r="J764" t="str" cm="1">
        <f t="array" ref="J764">_xlfn.IFS(calls[[#This Row],[Duration]]&lt;=10,"UNDER 10 MINS",calls[[#This Row],[Duration]]&lt;=30,"10 TO 30 MINS",calls[[#This Row],[Duration]]&lt;=60,"30 TO 60 MINS",calls[[#This Row],[Duration]]&lt;=120,"1 TO 2 HRS",TRUE,"MORE THAN 2 HRS")</f>
        <v>MORE THAN 2 HRS</v>
      </c>
      <c r="K764">
        <f>ROUND(calls[[#This Row],[Satisfaction Rating]],0)</f>
        <v>5</v>
      </c>
    </row>
    <row r="765" spans="1:11" x14ac:dyDescent="0.3">
      <c r="A765" s="41" t="s">
        <v>1816</v>
      </c>
      <c r="B765" s="10" t="s">
        <v>1071</v>
      </c>
      <c r="C765" s="10">
        <v>126</v>
      </c>
      <c r="D765" s="39" t="s">
        <v>1043</v>
      </c>
      <c r="E765" s="40">
        <v>45196</v>
      </c>
      <c r="F765" s="10">
        <v>44</v>
      </c>
      <c r="G765" s="42">
        <v>3.7</v>
      </c>
      <c r="H765">
        <f>IF(MONTH(calls[[#This Row],[Date of Call]])&lt;=6,YEAR(calls[[#This Row],[Date of Call]]),YEAR(calls[[#This Row],[Date of Call]])+1)</f>
        <v>2024</v>
      </c>
      <c r="I765" t="str">
        <f>TEXT(calls[[#This Row],[Date of Call]],"DDDD")</f>
        <v>Wednesday</v>
      </c>
      <c r="J765" t="str" cm="1">
        <f t="array" ref="J765">_xlfn.IFS(calls[[#This Row],[Duration]]&lt;=10,"UNDER 10 MINS",calls[[#This Row],[Duration]]&lt;=30,"10 TO 30 MINS",calls[[#This Row],[Duration]]&lt;=60,"30 TO 60 MINS",calls[[#This Row],[Duration]]&lt;=120,"1 TO 2 HRS",TRUE,"MORE THAN 2 HRS")</f>
        <v>MORE THAN 2 HRS</v>
      </c>
      <c r="K765">
        <f>ROUND(calls[[#This Row],[Satisfaction Rating]],0)</f>
        <v>4</v>
      </c>
    </row>
    <row r="766" spans="1:11" x14ac:dyDescent="0.3">
      <c r="A766" s="41" t="s">
        <v>1817</v>
      </c>
      <c r="B766" s="10" t="s">
        <v>1042</v>
      </c>
      <c r="C766" s="10">
        <v>135</v>
      </c>
      <c r="D766" s="39" t="s">
        <v>1053</v>
      </c>
      <c r="E766" s="40">
        <v>45197</v>
      </c>
      <c r="F766" s="10">
        <v>92</v>
      </c>
      <c r="G766" s="42">
        <v>3.9</v>
      </c>
      <c r="H766">
        <f>IF(MONTH(calls[[#This Row],[Date of Call]])&lt;=6,YEAR(calls[[#This Row],[Date of Call]]),YEAR(calls[[#This Row],[Date of Call]])+1)</f>
        <v>2024</v>
      </c>
      <c r="I766" t="str">
        <f>TEXT(calls[[#This Row],[Date of Call]],"DDDD")</f>
        <v>Thursday</v>
      </c>
      <c r="J766" t="str" cm="1">
        <f t="array" ref="J766">_xlfn.IFS(calls[[#This Row],[Duration]]&lt;=10,"UNDER 10 MINS",calls[[#This Row],[Duration]]&lt;=30,"10 TO 30 MINS",calls[[#This Row],[Duration]]&lt;=60,"30 TO 60 MINS",calls[[#This Row],[Duration]]&lt;=120,"1 TO 2 HRS",TRUE,"MORE THAN 2 HRS")</f>
        <v>MORE THAN 2 HRS</v>
      </c>
      <c r="K766">
        <f>ROUND(calls[[#This Row],[Satisfaction Rating]],0)</f>
        <v>4</v>
      </c>
    </row>
    <row r="767" spans="1:11" x14ac:dyDescent="0.3">
      <c r="A767" s="41" t="s">
        <v>1818</v>
      </c>
      <c r="B767" s="10" t="s">
        <v>1071</v>
      </c>
      <c r="C767" s="10">
        <v>110</v>
      </c>
      <c r="D767" s="39" t="s">
        <v>1038</v>
      </c>
      <c r="E767" s="40">
        <v>45198</v>
      </c>
      <c r="F767" s="10">
        <v>90</v>
      </c>
      <c r="G767" s="42">
        <v>3.1</v>
      </c>
      <c r="H767">
        <f>IF(MONTH(calls[[#This Row],[Date of Call]])&lt;=6,YEAR(calls[[#This Row],[Date of Call]]),YEAR(calls[[#This Row],[Date of Call]])+1)</f>
        <v>2024</v>
      </c>
      <c r="I767" t="str">
        <f>TEXT(calls[[#This Row],[Date of Call]],"DDDD")</f>
        <v>Friday</v>
      </c>
      <c r="J767" t="str" cm="1">
        <f t="array" ref="J767">_xlfn.IFS(calls[[#This Row],[Duration]]&lt;=10,"UNDER 10 MINS",calls[[#This Row],[Duration]]&lt;=30,"10 TO 30 MINS",calls[[#This Row],[Duration]]&lt;=60,"30 TO 60 MINS",calls[[#This Row],[Duration]]&lt;=120,"1 TO 2 HRS",TRUE,"MORE THAN 2 HRS")</f>
        <v>1 TO 2 HRS</v>
      </c>
      <c r="K767">
        <f>ROUND(calls[[#This Row],[Satisfaction Rating]],0)</f>
        <v>3</v>
      </c>
    </row>
    <row r="768" spans="1:11" x14ac:dyDescent="0.3">
      <c r="A768" s="41" t="s">
        <v>1819</v>
      </c>
      <c r="B768" s="10" t="s">
        <v>1076</v>
      </c>
      <c r="C768" s="10">
        <v>64</v>
      </c>
      <c r="D768" s="39" t="s">
        <v>1053</v>
      </c>
      <c r="E768" s="40">
        <v>45198</v>
      </c>
      <c r="F768" s="10">
        <v>112</v>
      </c>
      <c r="G768" s="42">
        <v>2</v>
      </c>
      <c r="H768">
        <f>IF(MONTH(calls[[#This Row],[Date of Call]])&lt;=6,YEAR(calls[[#This Row],[Date of Call]]),YEAR(calls[[#This Row],[Date of Call]])+1)</f>
        <v>2024</v>
      </c>
      <c r="I768" t="str">
        <f>TEXT(calls[[#This Row],[Date of Call]],"DDDD")</f>
        <v>Friday</v>
      </c>
      <c r="J768" t="str" cm="1">
        <f t="array" ref="J768">_xlfn.IFS(calls[[#This Row],[Duration]]&lt;=10,"UNDER 10 MINS",calls[[#This Row],[Duration]]&lt;=30,"10 TO 30 MINS",calls[[#This Row],[Duration]]&lt;=60,"30 TO 60 MINS",calls[[#This Row],[Duration]]&lt;=120,"1 TO 2 HRS",TRUE,"MORE THAN 2 HRS")</f>
        <v>1 TO 2 HRS</v>
      </c>
      <c r="K768">
        <f>ROUND(calls[[#This Row],[Satisfaction Rating]],0)</f>
        <v>2</v>
      </c>
    </row>
    <row r="769" spans="1:11" x14ac:dyDescent="0.3">
      <c r="A769" s="41" t="s">
        <v>1820</v>
      </c>
      <c r="B769" s="10" t="s">
        <v>1068</v>
      </c>
      <c r="C769" s="10">
        <v>127</v>
      </c>
      <c r="D769" s="39" t="s">
        <v>1043</v>
      </c>
      <c r="E769" s="40">
        <v>45198</v>
      </c>
      <c r="F769" s="10">
        <v>112</v>
      </c>
      <c r="G769" s="42">
        <v>4.5999999999999996</v>
      </c>
      <c r="H769">
        <f>IF(MONTH(calls[[#This Row],[Date of Call]])&lt;=6,YEAR(calls[[#This Row],[Date of Call]]),YEAR(calls[[#This Row],[Date of Call]])+1)</f>
        <v>2024</v>
      </c>
      <c r="I769" t="str">
        <f>TEXT(calls[[#This Row],[Date of Call]],"DDDD")</f>
        <v>Friday</v>
      </c>
      <c r="J769" t="str" cm="1">
        <f t="array" ref="J769">_xlfn.IFS(calls[[#This Row],[Duration]]&lt;=10,"UNDER 10 MINS",calls[[#This Row],[Duration]]&lt;=30,"10 TO 30 MINS",calls[[#This Row],[Duration]]&lt;=60,"30 TO 60 MINS",calls[[#This Row],[Duration]]&lt;=120,"1 TO 2 HRS",TRUE,"MORE THAN 2 HRS")</f>
        <v>MORE THAN 2 HRS</v>
      </c>
      <c r="K769">
        <f>ROUND(calls[[#This Row],[Satisfaction Rating]],0)</f>
        <v>5</v>
      </c>
    </row>
    <row r="770" spans="1:11" x14ac:dyDescent="0.3">
      <c r="A770" s="41" t="s">
        <v>1821</v>
      </c>
      <c r="B770" s="10" t="s">
        <v>1109</v>
      </c>
      <c r="C770" s="10">
        <v>124</v>
      </c>
      <c r="D770" s="39" t="s">
        <v>1048</v>
      </c>
      <c r="E770" s="40">
        <v>45198</v>
      </c>
      <c r="F770" s="10">
        <v>48</v>
      </c>
      <c r="G770" s="42">
        <v>3.7</v>
      </c>
      <c r="H770">
        <f>IF(MONTH(calls[[#This Row],[Date of Call]])&lt;=6,YEAR(calls[[#This Row],[Date of Call]]),YEAR(calls[[#This Row],[Date of Call]])+1)</f>
        <v>2024</v>
      </c>
      <c r="I770" t="str">
        <f>TEXT(calls[[#This Row],[Date of Call]],"DDDD")</f>
        <v>Friday</v>
      </c>
      <c r="J770" t="str" cm="1">
        <f t="array" ref="J770">_xlfn.IFS(calls[[#This Row],[Duration]]&lt;=10,"UNDER 10 MINS",calls[[#This Row],[Duration]]&lt;=30,"10 TO 30 MINS",calls[[#This Row],[Duration]]&lt;=60,"30 TO 60 MINS",calls[[#This Row],[Duration]]&lt;=120,"1 TO 2 HRS",TRUE,"MORE THAN 2 HRS")</f>
        <v>MORE THAN 2 HRS</v>
      </c>
      <c r="K770">
        <f>ROUND(calls[[#This Row],[Satisfaction Rating]],0)</f>
        <v>4</v>
      </c>
    </row>
    <row r="771" spans="1:11" x14ac:dyDescent="0.3">
      <c r="A771" s="41" t="s">
        <v>1822</v>
      </c>
      <c r="B771" s="10" t="s">
        <v>1076</v>
      </c>
      <c r="C771" s="10">
        <v>125</v>
      </c>
      <c r="D771" s="39" t="s">
        <v>1043</v>
      </c>
      <c r="E771" s="40">
        <v>45198</v>
      </c>
      <c r="F771" s="10">
        <v>116</v>
      </c>
      <c r="G771" s="42">
        <v>4.4000000000000004</v>
      </c>
      <c r="H771">
        <f>IF(MONTH(calls[[#This Row],[Date of Call]])&lt;=6,YEAR(calls[[#This Row],[Date of Call]]),YEAR(calls[[#This Row],[Date of Call]])+1)</f>
        <v>2024</v>
      </c>
      <c r="I771" t="str">
        <f>TEXT(calls[[#This Row],[Date of Call]],"DDDD")</f>
        <v>Friday</v>
      </c>
      <c r="J771" t="str" cm="1">
        <f t="array" ref="J771">_xlfn.IFS(calls[[#This Row],[Duration]]&lt;=10,"UNDER 10 MINS",calls[[#This Row],[Duration]]&lt;=30,"10 TO 30 MINS",calls[[#This Row],[Duration]]&lt;=60,"30 TO 60 MINS",calls[[#This Row],[Duration]]&lt;=120,"1 TO 2 HRS",TRUE,"MORE THAN 2 HRS")</f>
        <v>MORE THAN 2 HRS</v>
      </c>
      <c r="K771">
        <f>ROUND(calls[[#This Row],[Satisfaction Rating]],0)</f>
        <v>4</v>
      </c>
    </row>
    <row r="772" spans="1:11" x14ac:dyDescent="0.3">
      <c r="A772" s="41" t="s">
        <v>1823</v>
      </c>
      <c r="B772" s="10" t="s">
        <v>1040</v>
      </c>
      <c r="C772" s="10">
        <v>70</v>
      </c>
      <c r="D772" s="39" t="s">
        <v>1043</v>
      </c>
      <c r="E772" s="40">
        <v>45198</v>
      </c>
      <c r="F772" s="10">
        <v>29</v>
      </c>
      <c r="G772" s="42">
        <v>2.1</v>
      </c>
      <c r="H772">
        <f>IF(MONTH(calls[[#This Row],[Date of Call]])&lt;=6,YEAR(calls[[#This Row],[Date of Call]]),YEAR(calls[[#This Row],[Date of Call]])+1)</f>
        <v>2024</v>
      </c>
      <c r="I772" t="str">
        <f>TEXT(calls[[#This Row],[Date of Call]],"DDDD")</f>
        <v>Friday</v>
      </c>
      <c r="J772" t="str" cm="1">
        <f t="array" ref="J772">_xlfn.IFS(calls[[#This Row],[Duration]]&lt;=10,"UNDER 10 MINS",calls[[#This Row],[Duration]]&lt;=30,"10 TO 30 MINS",calls[[#This Row],[Duration]]&lt;=60,"30 TO 60 MINS",calls[[#This Row],[Duration]]&lt;=120,"1 TO 2 HRS",TRUE,"MORE THAN 2 HRS")</f>
        <v>1 TO 2 HRS</v>
      </c>
      <c r="K772">
        <f>ROUND(calls[[#This Row],[Satisfaction Rating]],0)</f>
        <v>2</v>
      </c>
    </row>
    <row r="773" spans="1:11" x14ac:dyDescent="0.3">
      <c r="A773" s="41" t="s">
        <v>1824</v>
      </c>
      <c r="B773" s="10" t="s">
        <v>1068</v>
      </c>
      <c r="C773" s="10">
        <v>93</v>
      </c>
      <c r="D773" s="39" t="s">
        <v>1053</v>
      </c>
      <c r="E773" s="40">
        <v>45199</v>
      </c>
      <c r="F773" s="10">
        <v>170</v>
      </c>
      <c r="G773" s="42">
        <v>2.2000000000000002</v>
      </c>
      <c r="H773">
        <f>IF(MONTH(calls[[#This Row],[Date of Call]])&lt;=6,YEAR(calls[[#This Row],[Date of Call]]),YEAR(calls[[#This Row],[Date of Call]])+1)</f>
        <v>2024</v>
      </c>
      <c r="I773" t="str">
        <f>TEXT(calls[[#This Row],[Date of Call]],"DDDD")</f>
        <v>Saturday</v>
      </c>
      <c r="J773" t="str" cm="1">
        <f t="array" ref="J773">_xlfn.IFS(calls[[#This Row],[Duration]]&lt;=10,"UNDER 10 MINS",calls[[#This Row],[Duration]]&lt;=30,"10 TO 30 MINS",calls[[#This Row],[Duration]]&lt;=60,"30 TO 60 MINS",calls[[#This Row],[Duration]]&lt;=120,"1 TO 2 HRS",TRUE,"MORE THAN 2 HRS")</f>
        <v>1 TO 2 HRS</v>
      </c>
      <c r="K773">
        <f>ROUND(calls[[#This Row],[Satisfaction Rating]],0)</f>
        <v>2</v>
      </c>
    </row>
    <row r="774" spans="1:11" x14ac:dyDescent="0.3">
      <c r="A774" s="41" t="s">
        <v>1825</v>
      </c>
      <c r="B774" s="10" t="s">
        <v>1040</v>
      </c>
      <c r="C774" s="10">
        <v>120</v>
      </c>
      <c r="D774" s="39" t="s">
        <v>1057</v>
      </c>
      <c r="E774" s="40">
        <v>45199</v>
      </c>
      <c r="F774" s="10">
        <v>68</v>
      </c>
      <c r="G774" s="42">
        <v>3.4</v>
      </c>
      <c r="H774">
        <f>IF(MONTH(calls[[#This Row],[Date of Call]])&lt;=6,YEAR(calls[[#This Row],[Date of Call]]),YEAR(calls[[#This Row],[Date of Call]])+1)</f>
        <v>2024</v>
      </c>
      <c r="I774" t="str">
        <f>TEXT(calls[[#This Row],[Date of Call]],"DDDD")</f>
        <v>Saturday</v>
      </c>
      <c r="J774" t="str" cm="1">
        <f t="array" ref="J774">_xlfn.IFS(calls[[#This Row],[Duration]]&lt;=10,"UNDER 10 MINS",calls[[#This Row],[Duration]]&lt;=30,"10 TO 30 MINS",calls[[#This Row],[Duration]]&lt;=60,"30 TO 60 MINS",calls[[#This Row],[Duration]]&lt;=120,"1 TO 2 HRS",TRUE,"MORE THAN 2 HRS")</f>
        <v>1 TO 2 HRS</v>
      </c>
      <c r="K774">
        <f>ROUND(calls[[#This Row],[Satisfaction Rating]],0)</f>
        <v>3</v>
      </c>
    </row>
    <row r="775" spans="1:11" x14ac:dyDescent="0.3">
      <c r="A775" s="41" t="s">
        <v>1826</v>
      </c>
      <c r="B775" s="10" t="s">
        <v>1047</v>
      </c>
      <c r="C775" s="10">
        <v>96</v>
      </c>
      <c r="D775" s="39" t="s">
        <v>1038</v>
      </c>
      <c r="E775" s="40">
        <v>45199</v>
      </c>
      <c r="F775" s="10">
        <v>195</v>
      </c>
      <c r="G775" s="42">
        <v>2.7</v>
      </c>
      <c r="H775">
        <f>IF(MONTH(calls[[#This Row],[Date of Call]])&lt;=6,YEAR(calls[[#This Row],[Date of Call]]),YEAR(calls[[#This Row],[Date of Call]])+1)</f>
        <v>2024</v>
      </c>
      <c r="I775" t="str">
        <f>TEXT(calls[[#This Row],[Date of Call]],"DDDD")</f>
        <v>Saturday</v>
      </c>
      <c r="J775" t="str" cm="1">
        <f t="array" ref="J775">_xlfn.IFS(calls[[#This Row],[Duration]]&lt;=10,"UNDER 10 MINS",calls[[#This Row],[Duration]]&lt;=30,"10 TO 30 MINS",calls[[#This Row],[Duration]]&lt;=60,"30 TO 60 MINS",calls[[#This Row],[Duration]]&lt;=120,"1 TO 2 HRS",TRUE,"MORE THAN 2 HRS")</f>
        <v>1 TO 2 HRS</v>
      </c>
      <c r="K775">
        <f>ROUND(calls[[#This Row],[Satisfaction Rating]],0)</f>
        <v>3</v>
      </c>
    </row>
    <row r="776" spans="1:11" x14ac:dyDescent="0.3">
      <c r="A776" s="41" t="s">
        <v>1827</v>
      </c>
      <c r="B776" s="10" t="s">
        <v>1045</v>
      </c>
      <c r="C776" s="10">
        <v>67</v>
      </c>
      <c r="D776" s="39" t="s">
        <v>1038</v>
      </c>
      <c r="E776" s="40">
        <v>45199</v>
      </c>
      <c r="F776" s="10">
        <v>96</v>
      </c>
      <c r="G776" s="42">
        <v>3.7</v>
      </c>
      <c r="H776">
        <f>IF(MONTH(calls[[#This Row],[Date of Call]])&lt;=6,YEAR(calls[[#This Row],[Date of Call]]),YEAR(calls[[#This Row],[Date of Call]])+1)</f>
        <v>2024</v>
      </c>
      <c r="I776" t="str">
        <f>TEXT(calls[[#This Row],[Date of Call]],"DDDD")</f>
        <v>Saturday</v>
      </c>
      <c r="J776" t="str" cm="1">
        <f t="array" ref="J776">_xlfn.IFS(calls[[#This Row],[Duration]]&lt;=10,"UNDER 10 MINS",calls[[#This Row],[Duration]]&lt;=30,"10 TO 30 MINS",calls[[#This Row],[Duration]]&lt;=60,"30 TO 60 MINS",calls[[#This Row],[Duration]]&lt;=120,"1 TO 2 HRS",TRUE,"MORE THAN 2 HRS")</f>
        <v>1 TO 2 HRS</v>
      </c>
      <c r="K776">
        <f>ROUND(calls[[#This Row],[Satisfaction Rating]],0)</f>
        <v>4</v>
      </c>
    </row>
    <row r="777" spans="1:11" x14ac:dyDescent="0.3">
      <c r="A777" s="41" t="s">
        <v>1828</v>
      </c>
      <c r="B777" s="10" t="s">
        <v>1076</v>
      </c>
      <c r="C777" s="10">
        <v>119</v>
      </c>
      <c r="D777" s="39" t="s">
        <v>1038</v>
      </c>
      <c r="E777" s="40">
        <v>45199</v>
      </c>
      <c r="F777" s="10">
        <v>96</v>
      </c>
      <c r="G777" s="42">
        <v>3.1</v>
      </c>
      <c r="H777">
        <f>IF(MONTH(calls[[#This Row],[Date of Call]])&lt;=6,YEAR(calls[[#This Row],[Date of Call]]),YEAR(calls[[#This Row],[Date of Call]])+1)</f>
        <v>2024</v>
      </c>
      <c r="I777" t="str">
        <f>TEXT(calls[[#This Row],[Date of Call]],"DDDD")</f>
        <v>Saturday</v>
      </c>
      <c r="J777" t="str" cm="1">
        <f t="array" ref="J777">_xlfn.IFS(calls[[#This Row],[Duration]]&lt;=10,"UNDER 10 MINS",calls[[#This Row],[Duration]]&lt;=30,"10 TO 30 MINS",calls[[#This Row],[Duration]]&lt;=60,"30 TO 60 MINS",calls[[#This Row],[Duration]]&lt;=120,"1 TO 2 HRS",TRUE,"MORE THAN 2 HRS")</f>
        <v>1 TO 2 HRS</v>
      </c>
      <c r="K777">
        <f>ROUND(calls[[#This Row],[Satisfaction Rating]],0)</f>
        <v>3</v>
      </c>
    </row>
    <row r="778" spans="1:11" x14ac:dyDescent="0.3">
      <c r="A778" s="41" t="s">
        <v>1829</v>
      </c>
      <c r="B778" s="10" t="s">
        <v>1109</v>
      </c>
      <c r="C778" s="10">
        <v>61</v>
      </c>
      <c r="D778" s="39" t="s">
        <v>1048</v>
      </c>
      <c r="E778" s="40">
        <v>45199</v>
      </c>
      <c r="F778" s="10">
        <v>117</v>
      </c>
      <c r="G778" s="42">
        <v>4.0999999999999996</v>
      </c>
      <c r="H778">
        <f>IF(MONTH(calls[[#This Row],[Date of Call]])&lt;=6,YEAR(calls[[#This Row],[Date of Call]]),YEAR(calls[[#This Row],[Date of Call]])+1)</f>
        <v>2024</v>
      </c>
      <c r="I778" t="str">
        <f>TEXT(calls[[#This Row],[Date of Call]],"DDDD")</f>
        <v>Saturday</v>
      </c>
      <c r="J778" t="str" cm="1">
        <f t="array" ref="J778">_xlfn.IFS(calls[[#This Row],[Duration]]&lt;=10,"UNDER 10 MINS",calls[[#This Row],[Duration]]&lt;=30,"10 TO 30 MINS",calls[[#This Row],[Duration]]&lt;=60,"30 TO 60 MINS",calls[[#This Row],[Duration]]&lt;=120,"1 TO 2 HRS",TRUE,"MORE THAN 2 HRS")</f>
        <v>1 TO 2 HRS</v>
      </c>
      <c r="K778">
        <f>ROUND(calls[[#This Row],[Satisfaction Rating]],0)</f>
        <v>4</v>
      </c>
    </row>
    <row r="779" spans="1:11" x14ac:dyDescent="0.3">
      <c r="A779" s="41" t="s">
        <v>1830</v>
      </c>
      <c r="B779" s="10" t="s">
        <v>1047</v>
      </c>
      <c r="C779" s="10">
        <v>29</v>
      </c>
      <c r="D779" s="39" t="s">
        <v>1053</v>
      </c>
      <c r="E779" s="40">
        <v>45199</v>
      </c>
      <c r="F779" s="10">
        <v>80</v>
      </c>
      <c r="G779" s="42">
        <v>4.8</v>
      </c>
      <c r="H779">
        <f>IF(MONTH(calls[[#This Row],[Date of Call]])&lt;=6,YEAR(calls[[#This Row],[Date of Call]]),YEAR(calls[[#This Row],[Date of Call]])+1)</f>
        <v>2024</v>
      </c>
      <c r="I779" t="str">
        <f>TEXT(calls[[#This Row],[Date of Call]],"DDDD")</f>
        <v>Saturday</v>
      </c>
      <c r="J779" t="str" cm="1">
        <f t="array" ref="J779">_xlfn.IFS(calls[[#This Row],[Duration]]&lt;=10,"UNDER 10 MINS",calls[[#This Row],[Duration]]&lt;=30,"10 TO 30 MINS",calls[[#This Row],[Duration]]&lt;=60,"30 TO 60 MINS",calls[[#This Row],[Duration]]&lt;=120,"1 TO 2 HRS",TRUE,"MORE THAN 2 HRS")</f>
        <v>10 TO 30 MINS</v>
      </c>
      <c r="K779">
        <f>ROUND(calls[[#This Row],[Satisfaction Rating]],0)</f>
        <v>5</v>
      </c>
    </row>
    <row r="780" spans="1:11" x14ac:dyDescent="0.3">
      <c r="A780" s="41" t="s">
        <v>1831</v>
      </c>
      <c r="B780" s="10" t="s">
        <v>1062</v>
      </c>
      <c r="C780" s="10">
        <v>134</v>
      </c>
      <c r="D780" s="39" t="s">
        <v>1057</v>
      </c>
      <c r="E780" s="40">
        <v>45199</v>
      </c>
      <c r="F780" s="10">
        <v>117</v>
      </c>
      <c r="G780" s="42">
        <v>4</v>
      </c>
      <c r="H780">
        <f>IF(MONTH(calls[[#This Row],[Date of Call]])&lt;=6,YEAR(calls[[#This Row],[Date of Call]]),YEAR(calls[[#This Row],[Date of Call]])+1)</f>
        <v>2024</v>
      </c>
      <c r="I780" t="str">
        <f>TEXT(calls[[#This Row],[Date of Call]],"DDDD")</f>
        <v>Saturday</v>
      </c>
      <c r="J780" t="str" cm="1">
        <f t="array" ref="J780">_xlfn.IFS(calls[[#This Row],[Duration]]&lt;=10,"UNDER 10 MINS",calls[[#This Row],[Duration]]&lt;=30,"10 TO 30 MINS",calls[[#This Row],[Duration]]&lt;=60,"30 TO 60 MINS",calls[[#This Row],[Duration]]&lt;=120,"1 TO 2 HRS",TRUE,"MORE THAN 2 HRS")</f>
        <v>MORE THAN 2 HRS</v>
      </c>
      <c r="K780">
        <f>ROUND(calls[[#This Row],[Satisfaction Rating]],0)</f>
        <v>4</v>
      </c>
    </row>
    <row r="781" spans="1:11" x14ac:dyDescent="0.3">
      <c r="A781" s="41" t="s">
        <v>1832</v>
      </c>
      <c r="B781" s="10" t="s">
        <v>1071</v>
      </c>
      <c r="C781" s="10">
        <v>113</v>
      </c>
      <c r="D781" s="39" t="s">
        <v>1038</v>
      </c>
      <c r="E781" s="40">
        <v>45200</v>
      </c>
      <c r="F781" s="10">
        <v>40</v>
      </c>
      <c r="G781" s="42">
        <v>3</v>
      </c>
      <c r="H781">
        <f>IF(MONTH(calls[[#This Row],[Date of Call]])&lt;=6,YEAR(calls[[#This Row],[Date of Call]]),YEAR(calls[[#This Row],[Date of Call]])+1)</f>
        <v>2024</v>
      </c>
      <c r="I781" t="str">
        <f>TEXT(calls[[#This Row],[Date of Call]],"DDDD")</f>
        <v>Sunday</v>
      </c>
      <c r="J781" t="str" cm="1">
        <f t="array" ref="J781">_xlfn.IFS(calls[[#This Row],[Duration]]&lt;=10,"UNDER 10 MINS",calls[[#This Row],[Duration]]&lt;=30,"10 TO 30 MINS",calls[[#This Row],[Duration]]&lt;=60,"30 TO 60 MINS",calls[[#This Row],[Duration]]&lt;=120,"1 TO 2 HRS",TRUE,"MORE THAN 2 HRS")</f>
        <v>1 TO 2 HRS</v>
      </c>
      <c r="K781">
        <f>ROUND(calls[[#This Row],[Satisfaction Rating]],0)</f>
        <v>3</v>
      </c>
    </row>
    <row r="782" spans="1:11" x14ac:dyDescent="0.3">
      <c r="A782" s="41" t="s">
        <v>1833</v>
      </c>
      <c r="B782" s="10" t="s">
        <v>1089</v>
      </c>
      <c r="C782" s="10">
        <v>12</v>
      </c>
      <c r="D782" s="39" t="s">
        <v>1057</v>
      </c>
      <c r="E782" s="40">
        <v>45200</v>
      </c>
      <c r="F782" s="10">
        <v>117</v>
      </c>
      <c r="G782" s="42">
        <v>4.8</v>
      </c>
      <c r="H782">
        <f>IF(MONTH(calls[[#This Row],[Date of Call]])&lt;=6,YEAR(calls[[#This Row],[Date of Call]]),YEAR(calls[[#This Row],[Date of Call]])+1)</f>
        <v>2024</v>
      </c>
      <c r="I782" t="str">
        <f>TEXT(calls[[#This Row],[Date of Call]],"DDDD")</f>
        <v>Sunday</v>
      </c>
      <c r="J782" t="str" cm="1">
        <f t="array" ref="J782">_xlfn.IFS(calls[[#This Row],[Duration]]&lt;=10,"UNDER 10 MINS",calls[[#This Row],[Duration]]&lt;=30,"10 TO 30 MINS",calls[[#This Row],[Duration]]&lt;=60,"30 TO 60 MINS",calls[[#This Row],[Duration]]&lt;=120,"1 TO 2 HRS",TRUE,"MORE THAN 2 HRS")</f>
        <v>10 TO 30 MINS</v>
      </c>
      <c r="K782">
        <f>ROUND(calls[[#This Row],[Satisfaction Rating]],0)</f>
        <v>5</v>
      </c>
    </row>
    <row r="783" spans="1:11" x14ac:dyDescent="0.3">
      <c r="A783" s="41" t="s">
        <v>1834</v>
      </c>
      <c r="B783" s="10" t="s">
        <v>1060</v>
      </c>
      <c r="C783" s="10">
        <v>78</v>
      </c>
      <c r="D783" s="39" t="s">
        <v>1053</v>
      </c>
      <c r="E783" s="40">
        <v>45200</v>
      </c>
      <c r="F783" s="10">
        <v>135</v>
      </c>
      <c r="G783" s="42">
        <v>4.0999999999999996</v>
      </c>
      <c r="H783">
        <f>IF(MONTH(calls[[#This Row],[Date of Call]])&lt;=6,YEAR(calls[[#This Row],[Date of Call]]),YEAR(calls[[#This Row],[Date of Call]])+1)</f>
        <v>2024</v>
      </c>
      <c r="I783" t="str">
        <f>TEXT(calls[[#This Row],[Date of Call]],"DDDD")</f>
        <v>Sunday</v>
      </c>
      <c r="J783" t="str" cm="1">
        <f t="array" ref="J783">_xlfn.IFS(calls[[#This Row],[Duration]]&lt;=10,"UNDER 10 MINS",calls[[#This Row],[Duration]]&lt;=30,"10 TO 30 MINS",calls[[#This Row],[Duration]]&lt;=60,"30 TO 60 MINS",calls[[#This Row],[Duration]]&lt;=120,"1 TO 2 HRS",TRUE,"MORE THAN 2 HRS")</f>
        <v>1 TO 2 HRS</v>
      </c>
      <c r="K783">
        <f>ROUND(calls[[#This Row],[Satisfaction Rating]],0)</f>
        <v>4</v>
      </c>
    </row>
    <row r="784" spans="1:11" x14ac:dyDescent="0.3">
      <c r="A784" s="41" t="s">
        <v>1835</v>
      </c>
      <c r="B784" s="10" t="s">
        <v>1076</v>
      </c>
      <c r="C784" s="10">
        <v>82</v>
      </c>
      <c r="D784" s="39" t="s">
        <v>1043</v>
      </c>
      <c r="E784" s="40">
        <v>45200</v>
      </c>
      <c r="F784" s="10">
        <v>99</v>
      </c>
      <c r="G784" s="42">
        <v>4.2</v>
      </c>
      <c r="H784">
        <f>IF(MONTH(calls[[#This Row],[Date of Call]])&lt;=6,YEAR(calls[[#This Row],[Date of Call]]),YEAR(calls[[#This Row],[Date of Call]])+1)</f>
        <v>2024</v>
      </c>
      <c r="I784" t="str">
        <f>TEXT(calls[[#This Row],[Date of Call]],"DDDD")</f>
        <v>Sunday</v>
      </c>
      <c r="J784" t="str" cm="1">
        <f t="array" ref="J784">_xlfn.IFS(calls[[#This Row],[Duration]]&lt;=10,"UNDER 10 MINS",calls[[#This Row],[Duration]]&lt;=30,"10 TO 30 MINS",calls[[#This Row],[Duration]]&lt;=60,"30 TO 60 MINS",calls[[#This Row],[Duration]]&lt;=120,"1 TO 2 HRS",TRUE,"MORE THAN 2 HRS")</f>
        <v>1 TO 2 HRS</v>
      </c>
      <c r="K784">
        <f>ROUND(calls[[#This Row],[Satisfaction Rating]],0)</f>
        <v>4</v>
      </c>
    </row>
    <row r="785" spans="1:11" x14ac:dyDescent="0.3">
      <c r="A785" s="41" t="s">
        <v>1836</v>
      </c>
      <c r="B785" s="10" t="s">
        <v>1056</v>
      </c>
      <c r="C785" s="10">
        <v>149</v>
      </c>
      <c r="D785" s="39" t="s">
        <v>1048</v>
      </c>
      <c r="E785" s="40">
        <v>45200</v>
      </c>
      <c r="F785" s="10">
        <v>130</v>
      </c>
      <c r="G785" s="42">
        <v>3.3</v>
      </c>
      <c r="H785">
        <f>IF(MONTH(calls[[#This Row],[Date of Call]])&lt;=6,YEAR(calls[[#This Row],[Date of Call]]),YEAR(calls[[#This Row],[Date of Call]])+1)</f>
        <v>2024</v>
      </c>
      <c r="I785" t="str">
        <f>TEXT(calls[[#This Row],[Date of Call]],"DDDD")</f>
        <v>Sunday</v>
      </c>
      <c r="J785" t="str" cm="1">
        <f t="array" ref="J785">_xlfn.IFS(calls[[#This Row],[Duration]]&lt;=10,"UNDER 10 MINS",calls[[#This Row],[Duration]]&lt;=30,"10 TO 30 MINS",calls[[#This Row],[Duration]]&lt;=60,"30 TO 60 MINS",calls[[#This Row],[Duration]]&lt;=120,"1 TO 2 HRS",TRUE,"MORE THAN 2 HRS")</f>
        <v>MORE THAN 2 HRS</v>
      </c>
      <c r="K785">
        <f>ROUND(calls[[#This Row],[Satisfaction Rating]],0)</f>
        <v>3</v>
      </c>
    </row>
    <row r="786" spans="1:11" x14ac:dyDescent="0.3">
      <c r="A786" s="41" t="s">
        <v>1837</v>
      </c>
      <c r="B786" s="10" t="s">
        <v>1051</v>
      </c>
      <c r="C786" s="10">
        <v>56</v>
      </c>
      <c r="D786" s="39" t="s">
        <v>1057</v>
      </c>
      <c r="E786" s="40">
        <v>45200</v>
      </c>
      <c r="F786" s="10">
        <v>96</v>
      </c>
      <c r="G786" s="42">
        <v>4.7</v>
      </c>
      <c r="H786">
        <f>IF(MONTH(calls[[#This Row],[Date of Call]])&lt;=6,YEAR(calls[[#This Row],[Date of Call]]),YEAR(calls[[#This Row],[Date of Call]])+1)</f>
        <v>2024</v>
      </c>
      <c r="I786" t="str">
        <f>TEXT(calls[[#This Row],[Date of Call]],"DDDD")</f>
        <v>Sunday</v>
      </c>
      <c r="J786" t="str" cm="1">
        <f t="array" ref="J786">_xlfn.IFS(calls[[#This Row],[Duration]]&lt;=10,"UNDER 10 MINS",calls[[#This Row],[Duration]]&lt;=30,"10 TO 30 MINS",calls[[#This Row],[Duration]]&lt;=60,"30 TO 60 MINS",calls[[#This Row],[Duration]]&lt;=120,"1 TO 2 HRS",TRUE,"MORE THAN 2 HRS")</f>
        <v>30 TO 60 MINS</v>
      </c>
      <c r="K786">
        <f>ROUND(calls[[#This Row],[Satisfaction Rating]],0)</f>
        <v>5</v>
      </c>
    </row>
    <row r="787" spans="1:11" x14ac:dyDescent="0.3">
      <c r="A787" s="41" t="s">
        <v>1838</v>
      </c>
      <c r="B787" s="10" t="s">
        <v>1047</v>
      </c>
      <c r="C787" s="10">
        <v>80</v>
      </c>
      <c r="D787" s="39" t="s">
        <v>1048</v>
      </c>
      <c r="E787" s="40">
        <v>45200</v>
      </c>
      <c r="F787" s="10">
        <v>128</v>
      </c>
      <c r="G787" s="42">
        <v>3.7</v>
      </c>
      <c r="H787">
        <f>IF(MONTH(calls[[#This Row],[Date of Call]])&lt;=6,YEAR(calls[[#This Row],[Date of Call]]),YEAR(calls[[#This Row],[Date of Call]])+1)</f>
        <v>2024</v>
      </c>
      <c r="I787" t="str">
        <f>TEXT(calls[[#This Row],[Date of Call]],"DDDD")</f>
        <v>Sunday</v>
      </c>
      <c r="J787" t="str" cm="1">
        <f t="array" ref="J787">_xlfn.IFS(calls[[#This Row],[Duration]]&lt;=10,"UNDER 10 MINS",calls[[#This Row],[Duration]]&lt;=30,"10 TO 30 MINS",calls[[#This Row],[Duration]]&lt;=60,"30 TO 60 MINS",calls[[#This Row],[Duration]]&lt;=120,"1 TO 2 HRS",TRUE,"MORE THAN 2 HRS")</f>
        <v>1 TO 2 HRS</v>
      </c>
      <c r="K787">
        <f>ROUND(calls[[#This Row],[Satisfaction Rating]],0)</f>
        <v>4</v>
      </c>
    </row>
    <row r="788" spans="1:11" x14ac:dyDescent="0.3">
      <c r="A788" s="41" t="s">
        <v>1839</v>
      </c>
      <c r="B788" s="10" t="s">
        <v>1109</v>
      </c>
      <c r="C788" s="10">
        <v>131</v>
      </c>
      <c r="D788" s="39" t="s">
        <v>1038</v>
      </c>
      <c r="E788" s="40">
        <v>45200</v>
      </c>
      <c r="F788" s="10">
        <v>69</v>
      </c>
      <c r="G788" s="42">
        <v>4.7</v>
      </c>
      <c r="H788">
        <f>IF(MONTH(calls[[#This Row],[Date of Call]])&lt;=6,YEAR(calls[[#This Row],[Date of Call]]),YEAR(calls[[#This Row],[Date of Call]])+1)</f>
        <v>2024</v>
      </c>
      <c r="I788" t="str">
        <f>TEXT(calls[[#This Row],[Date of Call]],"DDDD")</f>
        <v>Sunday</v>
      </c>
      <c r="J788" t="str" cm="1">
        <f t="array" ref="J788">_xlfn.IFS(calls[[#This Row],[Duration]]&lt;=10,"UNDER 10 MINS",calls[[#This Row],[Duration]]&lt;=30,"10 TO 30 MINS",calls[[#This Row],[Duration]]&lt;=60,"30 TO 60 MINS",calls[[#This Row],[Duration]]&lt;=120,"1 TO 2 HRS",TRUE,"MORE THAN 2 HRS")</f>
        <v>MORE THAN 2 HRS</v>
      </c>
      <c r="K788">
        <f>ROUND(calls[[#This Row],[Satisfaction Rating]],0)</f>
        <v>5</v>
      </c>
    </row>
    <row r="789" spans="1:11" x14ac:dyDescent="0.3">
      <c r="A789" s="41" t="s">
        <v>1840</v>
      </c>
      <c r="B789" s="10" t="s">
        <v>1109</v>
      </c>
      <c r="C789" s="10">
        <v>109</v>
      </c>
      <c r="D789" s="39" t="s">
        <v>1038</v>
      </c>
      <c r="E789" s="40">
        <v>45200</v>
      </c>
      <c r="F789" s="10">
        <v>44</v>
      </c>
      <c r="G789" s="42">
        <v>4.5999999999999996</v>
      </c>
      <c r="H789">
        <f>IF(MONTH(calls[[#This Row],[Date of Call]])&lt;=6,YEAR(calls[[#This Row],[Date of Call]]),YEAR(calls[[#This Row],[Date of Call]])+1)</f>
        <v>2024</v>
      </c>
      <c r="I789" t="str">
        <f>TEXT(calls[[#This Row],[Date of Call]],"DDDD")</f>
        <v>Sunday</v>
      </c>
      <c r="J789" t="str" cm="1">
        <f t="array" ref="J789">_xlfn.IFS(calls[[#This Row],[Duration]]&lt;=10,"UNDER 10 MINS",calls[[#This Row],[Duration]]&lt;=30,"10 TO 30 MINS",calls[[#This Row],[Duration]]&lt;=60,"30 TO 60 MINS",calls[[#This Row],[Duration]]&lt;=120,"1 TO 2 HRS",TRUE,"MORE THAN 2 HRS")</f>
        <v>1 TO 2 HRS</v>
      </c>
      <c r="K789">
        <f>ROUND(calls[[#This Row],[Satisfaction Rating]],0)</f>
        <v>5</v>
      </c>
    </row>
    <row r="790" spans="1:11" x14ac:dyDescent="0.3">
      <c r="A790" s="41" t="s">
        <v>1841</v>
      </c>
      <c r="B790" s="10" t="s">
        <v>1051</v>
      </c>
      <c r="C790" s="10">
        <v>142</v>
      </c>
      <c r="D790" s="39" t="s">
        <v>1038</v>
      </c>
      <c r="E790" s="40">
        <v>45200</v>
      </c>
      <c r="F790" s="10">
        <v>44</v>
      </c>
      <c r="G790" s="42">
        <v>4.8</v>
      </c>
      <c r="H790">
        <f>IF(MONTH(calls[[#This Row],[Date of Call]])&lt;=6,YEAR(calls[[#This Row],[Date of Call]]),YEAR(calls[[#This Row],[Date of Call]])+1)</f>
        <v>2024</v>
      </c>
      <c r="I790" t="str">
        <f>TEXT(calls[[#This Row],[Date of Call]],"DDDD")</f>
        <v>Sunday</v>
      </c>
      <c r="J790" t="str" cm="1">
        <f t="array" ref="J790">_xlfn.IFS(calls[[#This Row],[Duration]]&lt;=10,"UNDER 10 MINS",calls[[#This Row],[Duration]]&lt;=30,"10 TO 30 MINS",calls[[#This Row],[Duration]]&lt;=60,"30 TO 60 MINS",calls[[#This Row],[Duration]]&lt;=120,"1 TO 2 HRS",TRUE,"MORE THAN 2 HRS")</f>
        <v>MORE THAN 2 HRS</v>
      </c>
      <c r="K790">
        <f>ROUND(calls[[#This Row],[Satisfaction Rating]],0)</f>
        <v>5</v>
      </c>
    </row>
    <row r="791" spans="1:11" x14ac:dyDescent="0.3">
      <c r="A791" s="41" t="s">
        <v>1842</v>
      </c>
      <c r="B791" s="10" t="s">
        <v>1068</v>
      </c>
      <c r="C791" s="10">
        <v>114</v>
      </c>
      <c r="D791" s="39" t="s">
        <v>1057</v>
      </c>
      <c r="E791" s="40">
        <v>45201</v>
      </c>
      <c r="F791" s="10">
        <v>135</v>
      </c>
      <c r="G791" s="42">
        <v>2</v>
      </c>
      <c r="H791">
        <f>IF(MONTH(calls[[#This Row],[Date of Call]])&lt;=6,YEAR(calls[[#This Row],[Date of Call]]),YEAR(calls[[#This Row],[Date of Call]])+1)</f>
        <v>2024</v>
      </c>
      <c r="I791" t="str">
        <f>TEXT(calls[[#This Row],[Date of Call]],"DDDD")</f>
        <v>Monday</v>
      </c>
      <c r="J791" t="str" cm="1">
        <f t="array" ref="J791">_xlfn.IFS(calls[[#This Row],[Duration]]&lt;=10,"UNDER 10 MINS",calls[[#This Row],[Duration]]&lt;=30,"10 TO 30 MINS",calls[[#This Row],[Duration]]&lt;=60,"30 TO 60 MINS",calls[[#This Row],[Duration]]&lt;=120,"1 TO 2 HRS",TRUE,"MORE THAN 2 HRS")</f>
        <v>1 TO 2 HRS</v>
      </c>
      <c r="K791">
        <f>ROUND(calls[[#This Row],[Satisfaction Rating]],0)</f>
        <v>2</v>
      </c>
    </row>
    <row r="792" spans="1:11" x14ac:dyDescent="0.3">
      <c r="A792" s="41" t="s">
        <v>1843</v>
      </c>
      <c r="B792" s="10" t="s">
        <v>1045</v>
      </c>
      <c r="C792" s="10">
        <v>93</v>
      </c>
      <c r="D792" s="39" t="s">
        <v>1048</v>
      </c>
      <c r="E792" s="40">
        <v>45201</v>
      </c>
      <c r="F792" s="10">
        <v>45</v>
      </c>
      <c r="G792" s="42">
        <v>3.9</v>
      </c>
      <c r="H792">
        <f>IF(MONTH(calls[[#This Row],[Date of Call]])&lt;=6,YEAR(calls[[#This Row],[Date of Call]]),YEAR(calls[[#This Row],[Date of Call]])+1)</f>
        <v>2024</v>
      </c>
      <c r="I792" t="str">
        <f>TEXT(calls[[#This Row],[Date of Call]],"DDDD")</f>
        <v>Monday</v>
      </c>
      <c r="J792" t="str" cm="1">
        <f t="array" ref="J792">_xlfn.IFS(calls[[#This Row],[Duration]]&lt;=10,"UNDER 10 MINS",calls[[#This Row],[Duration]]&lt;=30,"10 TO 30 MINS",calls[[#This Row],[Duration]]&lt;=60,"30 TO 60 MINS",calls[[#This Row],[Duration]]&lt;=120,"1 TO 2 HRS",TRUE,"MORE THAN 2 HRS")</f>
        <v>1 TO 2 HRS</v>
      </c>
      <c r="K792">
        <f>ROUND(calls[[#This Row],[Satisfaction Rating]],0)</f>
        <v>4</v>
      </c>
    </row>
    <row r="793" spans="1:11" x14ac:dyDescent="0.3">
      <c r="A793" s="41" t="s">
        <v>1844</v>
      </c>
      <c r="B793" s="10" t="s">
        <v>1089</v>
      </c>
      <c r="C793" s="10">
        <v>43</v>
      </c>
      <c r="D793" s="39" t="s">
        <v>1048</v>
      </c>
      <c r="E793" s="40">
        <v>45201</v>
      </c>
      <c r="F793" s="10">
        <v>87</v>
      </c>
      <c r="G793" s="42">
        <v>3</v>
      </c>
      <c r="H793">
        <f>IF(MONTH(calls[[#This Row],[Date of Call]])&lt;=6,YEAR(calls[[#This Row],[Date of Call]]),YEAR(calls[[#This Row],[Date of Call]])+1)</f>
        <v>2024</v>
      </c>
      <c r="I793" t="str">
        <f>TEXT(calls[[#This Row],[Date of Call]],"DDDD")</f>
        <v>Monday</v>
      </c>
      <c r="J793" t="str" cm="1">
        <f t="array" ref="J793">_xlfn.IFS(calls[[#This Row],[Duration]]&lt;=10,"UNDER 10 MINS",calls[[#This Row],[Duration]]&lt;=30,"10 TO 30 MINS",calls[[#This Row],[Duration]]&lt;=60,"30 TO 60 MINS",calls[[#This Row],[Duration]]&lt;=120,"1 TO 2 HRS",TRUE,"MORE THAN 2 HRS")</f>
        <v>30 TO 60 MINS</v>
      </c>
      <c r="K793">
        <f>ROUND(calls[[#This Row],[Satisfaction Rating]],0)</f>
        <v>3</v>
      </c>
    </row>
    <row r="794" spans="1:11" x14ac:dyDescent="0.3">
      <c r="A794" s="41" t="s">
        <v>1845</v>
      </c>
      <c r="B794" s="10" t="s">
        <v>1062</v>
      </c>
      <c r="C794" s="10">
        <v>78</v>
      </c>
      <c r="D794" s="39" t="s">
        <v>1053</v>
      </c>
      <c r="E794" s="40">
        <v>45202</v>
      </c>
      <c r="F794" s="10">
        <v>84</v>
      </c>
      <c r="G794" s="42">
        <v>4.5999999999999996</v>
      </c>
      <c r="H794">
        <f>IF(MONTH(calls[[#This Row],[Date of Call]])&lt;=6,YEAR(calls[[#This Row],[Date of Call]]),YEAR(calls[[#This Row],[Date of Call]])+1)</f>
        <v>2024</v>
      </c>
      <c r="I794" t="str">
        <f>TEXT(calls[[#This Row],[Date of Call]],"DDDD")</f>
        <v>Tuesday</v>
      </c>
      <c r="J794" t="str" cm="1">
        <f t="array" ref="J794">_xlfn.IFS(calls[[#This Row],[Duration]]&lt;=10,"UNDER 10 MINS",calls[[#This Row],[Duration]]&lt;=30,"10 TO 30 MINS",calls[[#This Row],[Duration]]&lt;=60,"30 TO 60 MINS",calls[[#This Row],[Duration]]&lt;=120,"1 TO 2 HRS",TRUE,"MORE THAN 2 HRS")</f>
        <v>1 TO 2 HRS</v>
      </c>
      <c r="K794">
        <f>ROUND(calls[[#This Row],[Satisfaction Rating]],0)</f>
        <v>5</v>
      </c>
    </row>
    <row r="795" spans="1:11" x14ac:dyDescent="0.3">
      <c r="A795" s="41" t="s">
        <v>1846</v>
      </c>
      <c r="B795" s="10" t="s">
        <v>1068</v>
      </c>
      <c r="C795" s="10">
        <v>89</v>
      </c>
      <c r="D795" s="39" t="s">
        <v>1038</v>
      </c>
      <c r="E795" s="40">
        <v>45202</v>
      </c>
      <c r="F795" s="10">
        <v>81</v>
      </c>
      <c r="G795" s="42">
        <v>3.8</v>
      </c>
      <c r="H795">
        <f>IF(MONTH(calls[[#This Row],[Date of Call]])&lt;=6,YEAR(calls[[#This Row],[Date of Call]]),YEAR(calls[[#This Row],[Date of Call]])+1)</f>
        <v>2024</v>
      </c>
      <c r="I795" t="str">
        <f>TEXT(calls[[#This Row],[Date of Call]],"DDDD")</f>
        <v>Tuesday</v>
      </c>
      <c r="J795" t="str" cm="1">
        <f t="array" ref="J795">_xlfn.IFS(calls[[#This Row],[Duration]]&lt;=10,"UNDER 10 MINS",calls[[#This Row],[Duration]]&lt;=30,"10 TO 30 MINS",calls[[#This Row],[Duration]]&lt;=60,"30 TO 60 MINS",calls[[#This Row],[Duration]]&lt;=120,"1 TO 2 HRS",TRUE,"MORE THAN 2 HRS")</f>
        <v>1 TO 2 HRS</v>
      </c>
      <c r="K795">
        <f>ROUND(calls[[#This Row],[Satisfaction Rating]],0)</f>
        <v>4</v>
      </c>
    </row>
    <row r="796" spans="1:11" x14ac:dyDescent="0.3">
      <c r="A796" s="41" t="s">
        <v>1847</v>
      </c>
      <c r="B796" s="10" t="s">
        <v>1051</v>
      </c>
      <c r="C796" s="10">
        <v>82</v>
      </c>
      <c r="D796" s="39" t="s">
        <v>1043</v>
      </c>
      <c r="E796" s="40">
        <v>45202</v>
      </c>
      <c r="F796" s="10">
        <v>130</v>
      </c>
      <c r="G796" s="42">
        <v>4.4000000000000004</v>
      </c>
      <c r="H796">
        <f>IF(MONTH(calls[[#This Row],[Date of Call]])&lt;=6,YEAR(calls[[#This Row],[Date of Call]]),YEAR(calls[[#This Row],[Date of Call]])+1)</f>
        <v>2024</v>
      </c>
      <c r="I796" t="str">
        <f>TEXT(calls[[#This Row],[Date of Call]],"DDDD")</f>
        <v>Tuesday</v>
      </c>
      <c r="J796" t="str" cm="1">
        <f t="array" ref="J796">_xlfn.IFS(calls[[#This Row],[Duration]]&lt;=10,"UNDER 10 MINS",calls[[#This Row],[Duration]]&lt;=30,"10 TO 30 MINS",calls[[#This Row],[Duration]]&lt;=60,"30 TO 60 MINS",calls[[#This Row],[Duration]]&lt;=120,"1 TO 2 HRS",TRUE,"MORE THAN 2 HRS")</f>
        <v>1 TO 2 HRS</v>
      </c>
      <c r="K796">
        <f>ROUND(calls[[#This Row],[Satisfaction Rating]],0)</f>
        <v>4</v>
      </c>
    </row>
    <row r="797" spans="1:11" x14ac:dyDescent="0.3">
      <c r="A797" s="41" t="s">
        <v>1848</v>
      </c>
      <c r="B797" s="10" t="s">
        <v>1047</v>
      </c>
      <c r="C797" s="10">
        <v>86</v>
      </c>
      <c r="D797" s="39" t="s">
        <v>1038</v>
      </c>
      <c r="E797" s="40">
        <v>45203</v>
      </c>
      <c r="F797" s="10">
        <v>92</v>
      </c>
      <c r="G797" s="42">
        <v>2.4</v>
      </c>
      <c r="H797">
        <f>IF(MONTH(calls[[#This Row],[Date of Call]])&lt;=6,YEAR(calls[[#This Row],[Date of Call]]),YEAR(calls[[#This Row],[Date of Call]])+1)</f>
        <v>2024</v>
      </c>
      <c r="I797" t="str">
        <f>TEXT(calls[[#This Row],[Date of Call]],"DDDD")</f>
        <v>Wednesday</v>
      </c>
      <c r="J797" t="str" cm="1">
        <f t="array" ref="J797">_xlfn.IFS(calls[[#This Row],[Duration]]&lt;=10,"UNDER 10 MINS",calls[[#This Row],[Duration]]&lt;=30,"10 TO 30 MINS",calls[[#This Row],[Duration]]&lt;=60,"30 TO 60 MINS",calls[[#This Row],[Duration]]&lt;=120,"1 TO 2 HRS",TRUE,"MORE THAN 2 HRS")</f>
        <v>1 TO 2 HRS</v>
      </c>
      <c r="K797">
        <f>ROUND(calls[[#This Row],[Satisfaction Rating]],0)</f>
        <v>2</v>
      </c>
    </row>
    <row r="798" spans="1:11" x14ac:dyDescent="0.3">
      <c r="A798" s="41" t="s">
        <v>1849</v>
      </c>
      <c r="B798" s="10" t="s">
        <v>1079</v>
      </c>
      <c r="C798" s="10">
        <v>57</v>
      </c>
      <c r="D798" s="39" t="s">
        <v>1053</v>
      </c>
      <c r="E798" s="40">
        <v>45203</v>
      </c>
      <c r="F798" s="10">
        <v>48</v>
      </c>
      <c r="G798" s="42">
        <v>4.5</v>
      </c>
      <c r="H798">
        <f>IF(MONTH(calls[[#This Row],[Date of Call]])&lt;=6,YEAR(calls[[#This Row],[Date of Call]]),YEAR(calls[[#This Row],[Date of Call]])+1)</f>
        <v>2024</v>
      </c>
      <c r="I798" t="str">
        <f>TEXT(calls[[#This Row],[Date of Call]],"DDDD")</f>
        <v>Wednesday</v>
      </c>
      <c r="J798" t="str" cm="1">
        <f t="array" ref="J798">_xlfn.IFS(calls[[#This Row],[Duration]]&lt;=10,"UNDER 10 MINS",calls[[#This Row],[Duration]]&lt;=30,"10 TO 30 MINS",calls[[#This Row],[Duration]]&lt;=60,"30 TO 60 MINS",calls[[#This Row],[Duration]]&lt;=120,"1 TO 2 HRS",TRUE,"MORE THAN 2 HRS")</f>
        <v>30 TO 60 MINS</v>
      </c>
      <c r="K798">
        <f>ROUND(calls[[#This Row],[Satisfaction Rating]],0)</f>
        <v>5</v>
      </c>
    </row>
    <row r="799" spans="1:11" x14ac:dyDescent="0.3">
      <c r="A799" s="41" t="s">
        <v>1850</v>
      </c>
      <c r="B799" s="10" t="s">
        <v>1045</v>
      </c>
      <c r="C799" s="10">
        <v>103</v>
      </c>
      <c r="D799" s="39" t="s">
        <v>1057</v>
      </c>
      <c r="E799" s="40">
        <v>45203</v>
      </c>
      <c r="F799" s="10">
        <v>160</v>
      </c>
      <c r="G799" s="42">
        <v>4.5</v>
      </c>
      <c r="H799">
        <f>IF(MONTH(calls[[#This Row],[Date of Call]])&lt;=6,YEAR(calls[[#This Row],[Date of Call]]),YEAR(calls[[#This Row],[Date of Call]])+1)</f>
        <v>2024</v>
      </c>
      <c r="I799" t="str">
        <f>TEXT(calls[[#This Row],[Date of Call]],"DDDD")</f>
        <v>Wednesday</v>
      </c>
      <c r="J799" t="str" cm="1">
        <f t="array" ref="J799">_xlfn.IFS(calls[[#This Row],[Duration]]&lt;=10,"UNDER 10 MINS",calls[[#This Row],[Duration]]&lt;=30,"10 TO 30 MINS",calls[[#This Row],[Duration]]&lt;=60,"30 TO 60 MINS",calls[[#This Row],[Duration]]&lt;=120,"1 TO 2 HRS",TRUE,"MORE THAN 2 HRS")</f>
        <v>1 TO 2 HRS</v>
      </c>
      <c r="K799">
        <f>ROUND(calls[[#This Row],[Satisfaction Rating]],0)</f>
        <v>5</v>
      </c>
    </row>
    <row r="800" spans="1:11" x14ac:dyDescent="0.3">
      <c r="A800" s="41" t="s">
        <v>1851</v>
      </c>
      <c r="B800" s="10" t="s">
        <v>1060</v>
      </c>
      <c r="C800" s="10">
        <v>138</v>
      </c>
      <c r="D800" s="39" t="s">
        <v>1053</v>
      </c>
      <c r="E800" s="40">
        <v>45204</v>
      </c>
      <c r="F800" s="10">
        <v>155</v>
      </c>
      <c r="G800" s="42">
        <v>2.7</v>
      </c>
      <c r="H800">
        <f>IF(MONTH(calls[[#This Row],[Date of Call]])&lt;=6,YEAR(calls[[#This Row],[Date of Call]]),YEAR(calls[[#This Row],[Date of Call]])+1)</f>
        <v>2024</v>
      </c>
      <c r="I800" t="str">
        <f>TEXT(calls[[#This Row],[Date of Call]],"DDDD")</f>
        <v>Thursday</v>
      </c>
      <c r="J800" t="str" cm="1">
        <f t="array" ref="J800">_xlfn.IFS(calls[[#This Row],[Duration]]&lt;=10,"UNDER 10 MINS",calls[[#This Row],[Duration]]&lt;=30,"10 TO 30 MINS",calls[[#This Row],[Duration]]&lt;=60,"30 TO 60 MINS",calls[[#This Row],[Duration]]&lt;=120,"1 TO 2 HRS",TRUE,"MORE THAN 2 HRS")</f>
        <v>MORE THAN 2 HRS</v>
      </c>
      <c r="K800">
        <f>ROUND(calls[[#This Row],[Satisfaction Rating]],0)</f>
        <v>3</v>
      </c>
    </row>
    <row r="801" spans="1:11" x14ac:dyDescent="0.3">
      <c r="A801" s="41" t="s">
        <v>1852</v>
      </c>
      <c r="B801" s="10" t="s">
        <v>1056</v>
      </c>
      <c r="C801" s="10">
        <v>88</v>
      </c>
      <c r="D801" s="39" t="s">
        <v>1043</v>
      </c>
      <c r="E801" s="40">
        <v>45204</v>
      </c>
      <c r="F801" s="10">
        <v>100</v>
      </c>
      <c r="G801" s="42">
        <v>4.9000000000000004</v>
      </c>
      <c r="H801">
        <f>IF(MONTH(calls[[#This Row],[Date of Call]])&lt;=6,YEAR(calls[[#This Row],[Date of Call]]),YEAR(calls[[#This Row],[Date of Call]])+1)</f>
        <v>2024</v>
      </c>
      <c r="I801" t="str">
        <f>TEXT(calls[[#This Row],[Date of Call]],"DDDD")</f>
        <v>Thursday</v>
      </c>
      <c r="J801" t="str" cm="1">
        <f t="array" ref="J801">_xlfn.IFS(calls[[#This Row],[Duration]]&lt;=10,"UNDER 10 MINS",calls[[#This Row],[Duration]]&lt;=30,"10 TO 30 MINS",calls[[#This Row],[Duration]]&lt;=60,"30 TO 60 MINS",calls[[#This Row],[Duration]]&lt;=120,"1 TO 2 HRS",TRUE,"MORE THAN 2 HRS")</f>
        <v>1 TO 2 HRS</v>
      </c>
      <c r="K801">
        <f>ROUND(calls[[#This Row],[Satisfaction Rating]],0)</f>
        <v>5</v>
      </c>
    </row>
    <row r="802" spans="1:11" x14ac:dyDescent="0.3">
      <c r="A802" s="41" t="s">
        <v>1853</v>
      </c>
      <c r="B802" s="10" t="s">
        <v>1068</v>
      </c>
      <c r="C802" s="10">
        <v>118</v>
      </c>
      <c r="D802" s="39" t="s">
        <v>1048</v>
      </c>
      <c r="E802" s="40">
        <v>45204</v>
      </c>
      <c r="F802" s="10">
        <v>56</v>
      </c>
      <c r="G802" s="42">
        <v>3.7</v>
      </c>
      <c r="H802">
        <f>IF(MONTH(calls[[#This Row],[Date of Call]])&lt;=6,YEAR(calls[[#This Row],[Date of Call]]),YEAR(calls[[#This Row],[Date of Call]])+1)</f>
        <v>2024</v>
      </c>
      <c r="I802" t="str">
        <f>TEXT(calls[[#This Row],[Date of Call]],"DDDD")</f>
        <v>Thursday</v>
      </c>
      <c r="J802" t="str" cm="1">
        <f t="array" ref="J802">_xlfn.IFS(calls[[#This Row],[Duration]]&lt;=10,"UNDER 10 MINS",calls[[#This Row],[Duration]]&lt;=30,"10 TO 30 MINS",calls[[#This Row],[Duration]]&lt;=60,"30 TO 60 MINS",calls[[#This Row],[Duration]]&lt;=120,"1 TO 2 HRS",TRUE,"MORE THAN 2 HRS")</f>
        <v>1 TO 2 HRS</v>
      </c>
      <c r="K802">
        <f>ROUND(calls[[#This Row],[Satisfaction Rating]],0)</f>
        <v>4</v>
      </c>
    </row>
    <row r="803" spans="1:11" x14ac:dyDescent="0.3">
      <c r="A803" s="41" t="s">
        <v>1854</v>
      </c>
      <c r="B803" s="10" t="s">
        <v>1047</v>
      </c>
      <c r="C803" s="10">
        <v>4</v>
      </c>
      <c r="D803" s="39" t="s">
        <v>1038</v>
      </c>
      <c r="E803" s="40">
        <v>45204</v>
      </c>
      <c r="F803" s="10">
        <v>170</v>
      </c>
      <c r="G803" s="42">
        <v>3.9</v>
      </c>
      <c r="H803">
        <f>IF(MONTH(calls[[#This Row],[Date of Call]])&lt;=6,YEAR(calls[[#This Row],[Date of Call]]),YEAR(calls[[#This Row],[Date of Call]])+1)</f>
        <v>2024</v>
      </c>
      <c r="I803" t="str">
        <f>TEXT(calls[[#This Row],[Date of Call]],"DDDD")</f>
        <v>Thursday</v>
      </c>
      <c r="J803" t="str" cm="1">
        <f t="array" ref="J803">_xlfn.IFS(calls[[#This Row],[Duration]]&lt;=10,"UNDER 10 MINS",calls[[#This Row],[Duration]]&lt;=30,"10 TO 30 MINS",calls[[#This Row],[Duration]]&lt;=60,"30 TO 60 MINS",calls[[#This Row],[Duration]]&lt;=120,"1 TO 2 HRS",TRUE,"MORE THAN 2 HRS")</f>
        <v>UNDER 10 MINS</v>
      </c>
      <c r="K803">
        <f>ROUND(calls[[#This Row],[Satisfaction Rating]],0)</f>
        <v>4</v>
      </c>
    </row>
    <row r="804" spans="1:11" x14ac:dyDescent="0.3">
      <c r="A804" s="41" t="s">
        <v>1855</v>
      </c>
      <c r="B804" s="10" t="s">
        <v>1089</v>
      </c>
      <c r="C804" s="10">
        <v>78</v>
      </c>
      <c r="D804" s="39" t="s">
        <v>1057</v>
      </c>
      <c r="E804" s="40">
        <v>45205</v>
      </c>
      <c r="F804" s="10">
        <v>74</v>
      </c>
      <c r="G804" s="42">
        <v>3.5</v>
      </c>
      <c r="H804">
        <f>IF(MONTH(calls[[#This Row],[Date of Call]])&lt;=6,YEAR(calls[[#This Row],[Date of Call]]),YEAR(calls[[#This Row],[Date of Call]])+1)</f>
        <v>2024</v>
      </c>
      <c r="I804" t="str">
        <f>TEXT(calls[[#This Row],[Date of Call]],"DDDD")</f>
        <v>Friday</v>
      </c>
      <c r="J804" t="str" cm="1">
        <f t="array" ref="J804">_xlfn.IFS(calls[[#This Row],[Duration]]&lt;=10,"UNDER 10 MINS",calls[[#This Row],[Duration]]&lt;=30,"10 TO 30 MINS",calls[[#This Row],[Duration]]&lt;=60,"30 TO 60 MINS",calls[[#This Row],[Duration]]&lt;=120,"1 TO 2 HRS",TRUE,"MORE THAN 2 HRS")</f>
        <v>1 TO 2 HRS</v>
      </c>
      <c r="K804">
        <f>ROUND(calls[[#This Row],[Satisfaction Rating]],0)</f>
        <v>4</v>
      </c>
    </row>
    <row r="805" spans="1:11" x14ac:dyDescent="0.3">
      <c r="A805" s="41" t="s">
        <v>1856</v>
      </c>
      <c r="B805" s="10" t="s">
        <v>1071</v>
      </c>
      <c r="C805" s="10">
        <v>69</v>
      </c>
      <c r="D805" s="39" t="s">
        <v>1038</v>
      </c>
      <c r="E805" s="40">
        <v>45205</v>
      </c>
      <c r="F805" s="10">
        <v>99</v>
      </c>
      <c r="G805" s="42">
        <v>2.7</v>
      </c>
      <c r="H805">
        <f>IF(MONTH(calls[[#This Row],[Date of Call]])&lt;=6,YEAR(calls[[#This Row],[Date of Call]]),YEAR(calls[[#This Row],[Date of Call]])+1)</f>
        <v>2024</v>
      </c>
      <c r="I805" t="str">
        <f>TEXT(calls[[#This Row],[Date of Call]],"DDDD")</f>
        <v>Friday</v>
      </c>
      <c r="J805" t="str" cm="1">
        <f t="array" ref="J805">_xlfn.IFS(calls[[#This Row],[Duration]]&lt;=10,"UNDER 10 MINS",calls[[#This Row],[Duration]]&lt;=30,"10 TO 30 MINS",calls[[#This Row],[Duration]]&lt;=60,"30 TO 60 MINS",calls[[#This Row],[Duration]]&lt;=120,"1 TO 2 HRS",TRUE,"MORE THAN 2 HRS")</f>
        <v>1 TO 2 HRS</v>
      </c>
      <c r="K805">
        <f>ROUND(calls[[#This Row],[Satisfaction Rating]],0)</f>
        <v>3</v>
      </c>
    </row>
    <row r="806" spans="1:11" x14ac:dyDescent="0.3">
      <c r="A806" s="41" t="s">
        <v>1857</v>
      </c>
      <c r="B806" s="10" t="s">
        <v>1051</v>
      </c>
      <c r="C806" s="10">
        <v>90</v>
      </c>
      <c r="D806" s="39" t="s">
        <v>1053</v>
      </c>
      <c r="E806" s="40">
        <v>45205</v>
      </c>
      <c r="F806" s="10">
        <v>84</v>
      </c>
      <c r="G806" s="42">
        <v>3.9</v>
      </c>
      <c r="H806">
        <f>IF(MONTH(calls[[#This Row],[Date of Call]])&lt;=6,YEAR(calls[[#This Row],[Date of Call]]),YEAR(calls[[#This Row],[Date of Call]])+1)</f>
        <v>2024</v>
      </c>
      <c r="I806" t="str">
        <f>TEXT(calls[[#This Row],[Date of Call]],"DDDD")</f>
        <v>Friday</v>
      </c>
      <c r="J806" t="str" cm="1">
        <f t="array" ref="J806">_xlfn.IFS(calls[[#This Row],[Duration]]&lt;=10,"UNDER 10 MINS",calls[[#This Row],[Duration]]&lt;=30,"10 TO 30 MINS",calls[[#This Row],[Duration]]&lt;=60,"30 TO 60 MINS",calls[[#This Row],[Duration]]&lt;=120,"1 TO 2 HRS",TRUE,"MORE THAN 2 HRS")</f>
        <v>1 TO 2 HRS</v>
      </c>
      <c r="K806">
        <f>ROUND(calls[[#This Row],[Satisfaction Rating]],0)</f>
        <v>4</v>
      </c>
    </row>
    <row r="807" spans="1:11" x14ac:dyDescent="0.3">
      <c r="A807" s="41" t="s">
        <v>1858</v>
      </c>
      <c r="B807" s="10" t="s">
        <v>1071</v>
      </c>
      <c r="C807" s="10">
        <v>134</v>
      </c>
      <c r="D807" s="39" t="s">
        <v>1038</v>
      </c>
      <c r="E807" s="40">
        <v>45205</v>
      </c>
      <c r="F807" s="10">
        <v>35</v>
      </c>
      <c r="G807" s="42">
        <v>3.4</v>
      </c>
      <c r="H807">
        <f>IF(MONTH(calls[[#This Row],[Date of Call]])&lt;=6,YEAR(calls[[#This Row],[Date of Call]]),YEAR(calls[[#This Row],[Date of Call]])+1)</f>
        <v>2024</v>
      </c>
      <c r="I807" t="str">
        <f>TEXT(calls[[#This Row],[Date of Call]],"DDDD")</f>
        <v>Friday</v>
      </c>
      <c r="J807" t="str" cm="1">
        <f t="array" ref="J807">_xlfn.IFS(calls[[#This Row],[Duration]]&lt;=10,"UNDER 10 MINS",calls[[#This Row],[Duration]]&lt;=30,"10 TO 30 MINS",calls[[#This Row],[Duration]]&lt;=60,"30 TO 60 MINS",calls[[#This Row],[Duration]]&lt;=120,"1 TO 2 HRS",TRUE,"MORE THAN 2 HRS")</f>
        <v>MORE THAN 2 HRS</v>
      </c>
      <c r="K807">
        <f>ROUND(calls[[#This Row],[Satisfaction Rating]],0)</f>
        <v>3</v>
      </c>
    </row>
    <row r="808" spans="1:11" x14ac:dyDescent="0.3">
      <c r="A808" s="41" t="s">
        <v>1859</v>
      </c>
      <c r="B808" s="10" t="s">
        <v>1040</v>
      </c>
      <c r="C808" s="10">
        <v>65</v>
      </c>
      <c r="D808" s="39" t="s">
        <v>1048</v>
      </c>
      <c r="E808" s="40">
        <v>45205</v>
      </c>
      <c r="F808" s="10">
        <v>150</v>
      </c>
      <c r="G808" s="42">
        <v>5</v>
      </c>
      <c r="H808">
        <f>IF(MONTH(calls[[#This Row],[Date of Call]])&lt;=6,YEAR(calls[[#This Row],[Date of Call]]),YEAR(calls[[#This Row],[Date of Call]])+1)</f>
        <v>2024</v>
      </c>
      <c r="I808" t="str">
        <f>TEXT(calls[[#This Row],[Date of Call]],"DDDD")</f>
        <v>Friday</v>
      </c>
      <c r="J808" t="str" cm="1">
        <f t="array" ref="J808">_xlfn.IFS(calls[[#This Row],[Duration]]&lt;=10,"UNDER 10 MINS",calls[[#This Row],[Duration]]&lt;=30,"10 TO 30 MINS",calls[[#This Row],[Duration]]&lt;=60,"30 TO 60 MINS",calls[[#This Row],[Duration]]&lt;=120,"1 TO 2 HRS",TRUE,"MORE THAN 2 HRS")</f>
        <v>1 TO 2 HRS</v>
      </c>
      <c r="K808">
        <f>ROUND(calls[[#This Row],[Satisfaction Rating]],0)</f>
        <v>5</v>
      </c>
    </row>
    <row r="809" spans="1:11" x14ac:dyDescent="0.3">
      <c r="A809" s="41" t="s">
        <v>1860</v>
      </c>
      <c r="B809" s="10" t="s">
        <v>1042</v>
      </c>
      <c r="C809" s="10">
        <v>54</v>
      </c>
      <c r="D809" s="39" t="s">
        <v>1057</v>
      </c>
      <c r="E809" s="40">
        <v>45206</v>
      </c>
      <c r="F809" s="10">
        <v>176</v>
      </c>
      <c r="G809" s="42">
        <v>4.4000000000000004</v>
      </c>
      <c r="H809">
        <f>IF(MONTH(calls[[#This Row],[Date of Call]])&lt;=6,YEAR(calls[[#This Row],[Date of Call]]),YEAR(calls[[#This Row],[Date of Call]])+1)</f>
        <v>2024</v>
      </c>
      <c r="I809" t="str">
        <f>TEXT(calls[[#This Row],[Date of Call]],"DDDD")</f>
        <v>Saturday</v>
      </c>
      <c r="J809" t="str" cm="1">
        <f t="array" ref="J809">_xlfn.IFS(calls[[#This Row],[Duration]]&lt;=10,"UNDER 10 MINS",calls[[#This Row],[Duration]]&lt;=30,"10 TO 30 MINS",calls[[#This Row],[Duration]]&lt;=60,"30 TO 60 MINS",calls[[#This Row],[Duration]]&lt;=120,"1 TO 2 HRS",TRUE,"MORE THAN 2 HRS")</f>
        <v>30 TO 60 MINS</v>
      </c>
      <c r="K809">
        <f>ROUND(calls[[#This Row],[Satisfaction Rating]],0)</f>
        <v>4</v>
      </c>
    </row>
    <row r="810" spans="1:11" x14ac:dyDescent="0.3">
      <c r="A810" s="41" t="s">
        <v>1861</v>
      </c>
      <c r="B810" s="10" t="s">
        <v>1042</v>
      </c>
      <c r="C810" s="10">
        <v>90</v>
      </c>
      <c r="D810" s="39" t="s">
        <v>1057</v>
      </c>
      <c r="E810" s="40">
        <v>45206</v>
      </c>
      <c r="F810" s="10">
        <v>84</v>
      </c>
      <c r="G810" s="42">
        <v>4.3</v>
      </c>
      <c r="H810">
        <f>IF(MONTH(calls[[#This Row],[Date of Call]])&lt;=6,YEAR(calls[[#This Row],[Date of Call]]),YEAR(calls[[#This Row],[Date of Call]])+1)</f>
        <v>2024</v>
      </c>
      <c r="I810" t="str">
        <f>TEXT(calls[[#This Row],[Date of Call]],"DDDD")</f>
        <v>Saturday</v>
      </c>
      <c r="J810" t="str" cm="1">
        <f t="array" ref="J810">_xlfn.IFS(calls[[#This Row],[Duration]]&lt;=10,"UNDER 10 MINS",calls[[#This Row],[Duration]]&lt;=30,"10 TO 30 MINS",calls[[#This Row],[Duration]]&lt;=60,"30 TO 60 MINS",calls[[#This Row],[Duration]]&lt;=120,"1 TO 2 HRS",TRUE,"MORE THAN 2 HRS")</f>
        <v>1 TO 2 HRS</v>
      </c>
      <c r="K810">
        <f>ROUND(calls[[#This Row],[Satisfaction Rating]],0)</f>
        <v>4</v>
      </c>
    </row>
    <row r="811" spans="1:11" x14ac:dyDescent="0.3">
      <c r="A811" s="41" t="s">
        <v>1862</v>
      </c>
      <c r="B811" s="10" t="s">
        <v>1051</v>
      </c>
      <c r="C811" s="10">
        <v>66</v>
      </c>
      <c r="D811" s="39" t="s">
        <v>1057</v>
      </c>
      <c r="E811" s="40">
        <v>45206</v>
      </c>
      <c r="F811" s="10">
        <v>136</v>
      </c>
      <c r="G811" s="42">
        <v>4.7</v>
      </c>
      <c r="H811">
        <f>IF(MONTH(calls[[#This Row],[Date of Call]])&lt;=6,YEAR(calls[[#This Row],[Date of Call]]),YEAR(calls[[#This Row],[Date of Call]])+1)</f>
        <v>2024</v>
      </c>
      <c r="I811" t="str">
        <f>TEXT(calls[[#This Row],[Date of Call]],"DDDD")</f>
        <v>Saturday</v>
      </c>
      <c r="J811" t="str" cm="1">
        <f t="array" ref="J811">_xlfn.IFS(calls[[#This Row],[Duration]]&lt;=10,"UNDER 10 MINS",calls[[#This Row],[Duration]]&lt;=30,"10 TO 30 MINS",calls[[#This Row],[Duration]]&lt;=60,"30 TO 60 MINS",calls[[#This Row],[Duration]]&lt;=120,"1 TO 2 HRS",TRUE,"MORE THAN 2 HRS")</f>
        <v>1 TO 2 HRS</v>
      </c>
      <c r="K811">
        <f>ROUND(calls[[#This Row],[Satisfaction Rating]],0)</f>
        <v>5</v>
      </c>
    </row>
    <row r="812" spans="1:11" x14ac:dyDescent="0.3">
      <c r="A812" s="41" t="s">
        <v>1863</v>
      </c>
      <c r="B812" s="10" t="s">
        <v>1047</v>
      </c>
      <c r="C812" s="10">
        <v>150</v>
      </c>
      <c r="D812" s="39" t="s">
        <v>1057</v>
      </c>
      <c r="E812" s="40">
        <v>45207</v>
      </c>
      <c r="F812" s="10">
        <v>70</v>
      </c>
      <c r="G812" s="42">
        <v>4.0999999999999996</v>
      </c>
      <c r="H812">
        <f>IF(MONTH(calls[[#This Row],[Date of Call]])&lt;=6,YEAR(calls[[#This Row],[Date of Call]]),YEAR(calls[[#This Row],[Date of Call]])+1)</f>
        <v>2024</v>
      </c>
      <c r="I812" t="str">
        <f>TEXT(calls[[#This Row],[Date of Call]],"DDDD")</f>
        <v>Sunday</v>
      </c>
      <c r="J812" t="str" cm="1">
        <f t="array" ref="J812">_xlfn.IFS(calls[[#This Row],[Duration]]&lt;=10,"UNDER 10 MINS",calls[[#This Row],[Duration]]&lt;=30,"10 TO 30 MINS",calls[[#This Row],[Duration]]&lt;=60,"30 TO 60 MINS",calls[[#This Row],[Duration]]&lt;=120,"1 TO 2 HRS",TRUE,"MORE THAN 2 HRS")</f>
        <v>MORE THAN 2 HRS</v>
      </c>
      <c r="K812">
        <f>ROUND(calls[[#This Row],[Satisfaction Rating]],0)</f>
        <v>4</v>
      </c>
    </row>
    <row r="813" spans="1:11" x14ac:dyDescent="0.3">
      <c r="A813" s="41" t="s">
        <v>1864</v>
      </c>
      <c r="B813" s="10" t="s">
        <v>1062</v>
      </c>
      <c r="C813" s="10">
        <v>18</v>
      </c>
      <c r="D813" s="39" t="s">
        <v>1048</v>
      </c>
      <c r="E813" s="40">
        <v>45207</v>
      </c>
      <c r="F813" s="10">
        <v>96</v>
      </c>
      <c r="G813" s="42">
        <v>4.8</v>
      </c>
      <c r="H813">
        <f>IF(MONTH(calls[[#This Row],[Date of Call]])&lt;=6,YEAR(calls[[#This Row],[Date of Call]]),YEAR(calls[[#This Row],[Date of Call]])+1)</f>
        <v>2024</v>
      </c>
      <c r="I813" t="str">
        <f>TEXT(calls[[#This Row],[Date of Call]],"DDDD")</f>
        <v>Sunday</v>
      </c>
      <c r="J813" t="str" cm="1">
        <f t="array" ref="J813">_xlfn.IFS(calls[[#This Row],[Duration]]&lt;=10,"UNDER 10 MINS",calls[[#This Row],[Duration]]&lt;=30,"10 TO 30 MINS",calls[[#This Row],[Duration]]&lt;=60,"30 TO 60 MINS",calls[[#This Row],[Duration]]&lt;=120,"1 TO 2 HRS",TRUE,"MORE THAN 2 HRS")</f>
        <v>10 TO 30 MINS</v>
      </c>
      <c r="K813">
        <f>ROUND(calls[[#This Row],[Satisfaction Rating]],0)</f>
        <v>5</v>
      </c>
    </row>
    <row r="814" spans="1:11" x14ac:dyDescent="0.3">
      <c r="A814" s="41" t="s">
        <v>1865</v>
      </c>
      <c r="B814" s="10" t="s">
        <v>1042</v>
      </c>
      <c r="C814" s="10">
        <v>87</v>
      </c>
      <c r="D814" s="39" t="s">
        <v>1048</v>
      </c>
      <c r="E814" s="40">
        <v>45207</v>
      </c>
      <c r="F814" s="10">
        <v>23</v>
      </c>
      <c r="G814" s="42">
        <v>4.2</v>
      </c>
      <c r="H814">
        <f>IF(MONTH(calls[[#This Row],[Date of Call]])&lt;=6,YEAR(calls[[#This Row],[Date of Call]]),YEAR(calls[[#This Row],[Date of Call]])+1)</f>
        <v>2024</v>
      </c>
      <c r="I814" t="str">
        <f>TEXT(calls[[#This Row],[Date of Call]],"DDDD")</f>
        <v>Sunday</v>
      </c>
      <c r="J814" t="str" cm="1">
        <f t="array" ref="J814">_xlfn.IFS(calls[[#This Row],[Duration]]&lt;=10,"UNDER 10 MINS",calls[[#This Row],[Duration]]&lt;=30,"10 TO 30 MINS",calls[[#This Row],[Duration]]&lt;=60,"30 TO 60 MINS",calls[[#This Row],[Duration]]&lt;=120,"1 TO 2 HRS",TRUE,"MORE THAN 2 HRS")</f>
        <v>1 TO 2 HRS</v>
      </c>
      <c r="K814">
        <f>ROUND(calls[[#This Row],[Satisfaction Rating]],0)</f>
        <v>4</v>
      </c>
    </row>
    <row r="815" spans="1:11" x14ac:dyDescent="0.3">
      <c r="A815" s="41" t="s">
        <v>1866</v>
      </c>
      <c r="B815" s="10" t="s">
        <v>1060</v>
      </c>
      <c r="C815" s="10">
        <v>94</v>
      </c>
      <c r="D815" s="39" t="s">
        <v>1057</v>
      </c>
      <c r="E815" s="40">
        <v>45208</v>
      </c>
      <c r="F815" s="10">
        <v>120</v>
      </c>
      <c r="G815" s="42">
        <v>3.4</v>
      </c>
      <c r="H815">
        <f>IF(MONTH(calls[[#This Row],[Date of Call]])&lt;=6,YEAR(calls[[#This Row],[Date of Call]]),YEAR(calls[[#This Row],[Date of Call]])+1)</f>
        <v>2024</v>
      </c>
      <c r="I815" t="str">
        <f>TEXT(calls[[#This Row],[Date of Call]],"DDDD")</f>
        <v>Monday</v>
      </c>
      <c r="J815" t="str" cm="1">
        <f t="array" ref="J815">_xlfn.IFS(calls[[#This Row],[Duration]]&lt;=10,"UNDER 10 MINS",calls[[#This Row],[Duration]]&lt;=30,"10 TO 30 MINS",calls[[#This Row],[Duration]]&lt;=60,"30 TO 60 MINS",calls[[#This Row],[Duration]]&lt;=120,"1 TO 2 HRS",TRUE,"MORE THAN 2 HRS")</f>
        <v>1 TO 2 HRS</v>
      </c>
      <c r="K815">
        <f>ROUND(calls[[#This Row],[Satisfaction Rating]],0)</f>
        <v>3</v>
      </c>
    </row>
    <row r="816" spans="1:11" x14ac:dyDescent="0.3">
      <c r="A816" s="41" t="s">
        <v>1867</v>
      </c>
      <c r="B816" s="10" t="s">
        <v>1079</v>
      </c>
      <c r="C816" s="10">
        <v>56</v>
      </c>
      <c r="D816" s="39" t="s">
        <v>1057</v>
      </c>
      <c r="E816" s="40">
        <v>45208</v>
      </c>
      <c r="F816" s="10">
        <v>205</v>
      </c>
      <c r="G816" s="42">
        <v>3.3</v>
      </c>
      <c r="H816">
        <f>IF(MONTH(calls[[#This Row],[Date of Call]])&lt;=6,YEAR(calls[[#This Row],[Date of Call]]),YEAR(calls[[#This Row],[Date of Call]])+1)</f>
        <v>2024</v>
      </c>
      <c r="I816" t="str">
        <f>TEXT(calls[[#This Row],[Date of Call]],"DDDD")</f>
        <v>Monday</v>
      </c>
      <c r="J816" t="str" cm="1">
        <f t="array" ref="J816">_xlfn.IFS(calls[[#This Row],[Duration]]&lt;=10,"UNDER 10 MINS",calls[[#This Row],[Duration]]&lt;=30,"10 TO 30 MINS",calls[[#This Row],[Duration]]&lt;=60,"30 TO 60 MINS",calls[[#This Row],[Duration]]&lt;=120,"1 TO 2 HRS",TRUE,"MORE THAN 2 HRS")</f>
        <v>30 TO 60 MINS</v>
      </c>
      <c r="K816">
        <f>ROUND(calls[[#This Row],[Satisfaction Rating]],0)</f>
        <v>3</v>
      </c>
    </row>
    <row r="817" spans="1:11" x14ac:dyDescent="0.3">
      <c r="A817" s="41" t="s">
        <v>1868</v>
      </c>
      <c r="B817" s="10" t="s">
        <v>1068</v>
      </c>
      <c r="C817" s="10">
        <v>41</v>
      </c>
      <c r="D817" s="39" t="s">
        <v>1043</v>
      </c>
      <c r="E817" s="40">
        <v>45209</v>
      </c>
      <c r="F817" s="10">
        <v>42</v>
      </c>
      <c r="G817" s="42">
        <v>3.8</v>
      </c>
      <c r="H817">
        <f>IF(MONTH(calls[[#This Row],[Date of Call]])&lt;=6,YEAR(calls[[#This Row],[Date of Call]]),YEAR(calls[[#This Row],[Date of Call]])+1)</f>
        <v>2024</v>
      </c>
      <c r="I817" t="str">
        <f>TEXT(calls[[#This Row],[Date of Call]],"DDDD")</f>
        <v>Tuesday</v>
      </c>
      <c r="J817" t="str" cm="1">
        <f t="array" ref="J817">_xlfn.IFS(calls[[#This Row],[Duration]]&lt;=10,"UNDER 10 MINS",calls[[#This Row],[Duration]]&lt;=30,"10 TO 30 MINS",calls[[#This Row],[Duration]]&lt;=60,"30 TO 60 MINS",calls[[#This Row],[Duration]]&lt;=120,"1 TO 2 HRS",TRUE,"MORE THAN 2 HRS")</f>
        <v>30 TO 60 MINS</v>
      </c>
      <c r="K817">
        <f>ROUND(calls[[#This Row],[Satisfaction Rating]],0)</f>
        <v>4</v>
      </c>
    </row>
    <row r="818" spans="1:11" x14ac:dyDescent="0.3">
      <c r="A818" s="41" t="s">
        <v>1869</v>
      </c>
      <c r="B818" s="10" t="s">
        <v>1047</v>
      </c>
      <c r="C818" s="10">
        <v>119</v>
      </c>
      <c r="D818" s="39" t="s">
        <v>1053</v>
      </c>
      <c r="E818" s="40">
        <v>45209</v>
      </c>
      <c r="F818" s="10">
        <v>111</v>
      </c>
      <c r="G818" s="42">
        <v>3.9</v>
      </c>
      <c r="H818">
        <f>IF(MONTH(calls[[#This Row],[Date of Call]])&lt;=6,YEAR(calls[[#This Row],[Date of Call]]),YEAR(calls[[#This Row],[Date of Call]])+1)</f>
        <v>2024</v>
      </c>
      <c r="I818" t="str">
        <f>TEXT(calls[[#This Row],[Date of Call]],"DDDD")</f>
        <v>Tuesday</v>
      </c>
      <c r="J818" t="str" cm="1">
        <f t="array" ref="J818">_xlfn.IFS(calls[[#This Row],[Duration]]&lt;=10,"UNDER 10 MINS",calls[[#This Row],[Duration]]&lt;=30,"10 TO 30 MINS",calls[[#This Row],[Duration]]&lt;=60,"30 TO 60 MINS",calls[[#This Row],[Duration]]&lt;=120,"1 TO 2 HRS",TRUE,"MORE THAN 2 HRS")</f>
        <v>1 TO 2 HRS</v>
      </c>
      <c r="K818">
        <f>ROUND(calls[[#This Row],[Satisfaction Rating]],0)</f>
        <v>4</v>
      </c>
    </row>
    <row r="819" spans="1:11" x14ac:dyDescent="0.3">
      <c r="A819" s="41" t="s">
        <v>1870</v>
      </c>
      <c r="B819" s="10" t="s">
        <v>1045</v>
      </c>
      <c r="C819" s="10">
        <v>108</v>
      </c>
      <c r="D819" s="39" t="s">
        <v>1057</v>
      </c>
      <c r="E819" s="40">
        <v>45209</v>
      </c>
      <c r="F819" s="10">
        <v>68</v>
      </c>
      <c r="G819" s="42">
        <v>2.5</v>
      </c>
      <c r="H819">
        <f>IF(MONTH(calls[[#This Row],[Date of Call]])&lt;=6,YEAR(calls[[#This Row],[Date of Call]]),YEAR(calls[[#This Row],[Date of Call]])+1)</f>
        <v>2024</v>
      </c>
      <c r="I819" t="str">
        <f>TEXT(calls[[#This Row],[Date of Call]],"DDDD")</f>
        <v>Tuesday</v>
      </c>
      <c r="J819" t="str" cm="1">
        <f t="array" ref="J819">_xlfn.IFS(calls[[#This Row],[Duration]]&lt;=10,"UNDER 10 MINS",calls[[#This Row],[Duration]]&lt;=30,"10 TO 30 MINS",calls[[#This Row],[Duration]]&lt;=60,"30 TO 60 MINS",calls[[#This Row],[Duration]]&lt;=120,"1 TO 2 HRS",TRUE,"MORE THAN 2 HRS")</f>
        <v>1 TO 2 HRS</v>
      </c>
      <c r="K819">
        <f>ROUND(calls[[#This Row],[Satisfaction Rating]],0)</f>
        <v>3</v>
      </c>
    </row>
    <row r="820" spans="1:11" x14ac:dyDescent="0.3">
      <c r="A820" s="41" t="s">
        <v>1871</v>
      </c>
      <c r="B820" s="10" t="s">
        <v>1089</v>
      </c>
      <c r="C820" s="10">
        <v>63</v>
      </c>
      <c r="D820" s="39" t="s">
        <v>1038</v>
      </c>
      <c r="E820" s="40">
        <v>45209</v>
      </c>
      <c r="F820" s="10">
        <v>172</v>
      </c>
      <c r="G820" s="42">
        <v>4.9000000000000004</v>
      </c>
      <c r="H820">
        <f>IF(MONTH(calls[[#This Row],[Date of Call]])&lt;=6,YEAR(calls[[#This Row],[Date of Call]]),YEAR(calls[[#This Row],[Date of Call]])+1)</f>
        <v>2024</v>
      </c>
      <c r="I820" t="str">
        <f>TEXT(calls[[#This Row],[Date of Call]],"DDDD")</f>
        <v>Tuesday</v>
      </c>
      <c r="J820" t="str" cm="1">
        <f t="array" ref="J820">_xlfn.IFS(calls[[#This Row],[Duration]]&lt;=10,"UNDER 10 MINS",calls[[#This Row],[Duration]]&lt;=30,"10 TO 30 MINS",calls[[#This Row],[Duration]]&lt;=60,"30 TO 60 MINS",calls[[#This Row],[Duration]]&lt;=120,"1 TO 2 HRS",TRUE,"MORE THAN 2 HRS")</f>
        <v>1 TO 2 HRS</v>
      </c>
      <c r="K820">
        <f>ROUND(calls[[#This Row],[Satisfaction Rating]],0)</f>
        <v>5</v>
      </c>
    </row>
    <row r="821" spans="1:11" x14ac:dyDescent="0.3">
      <c r="A821" s="41" t="s">
        <v>1872</v>
      </c>
      <c r="B821" s="10" t="s">
        <v>1076</v>
      </c>
      <c r="C821" s="10">
        <v>59</v>
      </c>
      <c r="D821" s="39" t="s">
        <v>1057</v>
      </c>
      <c r="E821" s="40">
        <v>45209</v>
      </c>
      <c r="F821" s="10">
        <v>152</v>
      </c>
      <c r="G821" s="42">
        <v>4.8</v>
      </c>
      <c r="H821">
        <f>IF(MONTH(calls[[#This Row],[Date of Call]])&lt;=6,YEAR(calls[[#This Row],[Date of Call]]),YEAR(calls[[#This Row],[Date of Call]])+1)</f>
        <v>2024</v>
      </c>
      <c r="I821" t="str">
        <f>TEXT(calls[[#This Row],[Date of Call]],"DDDD")</f>
        <v>Tuesday</v>
      </c>
      <c r="J821" t="str" cm="1">
        <f t="array" ref="J821">_xlfn.IFS(calls[[#This Row],[Duration]]&lt;=10,"UNDER 10 MINS",calls[[#This Row],[Duration]]&lt;=30,"10 TO 30 MINS",calls[[#This Row],[Duration]]&lt;=60,"30 TO 60 MINS",calls[[#This Row],[Duration]]&lt;=120,"1 TO 2 HRS",TRUE,"MORE THAN 2 HRS")</f>
        <v>30 TO 60 MINS</v>
      </c>
      <c r="K821">
        <f>ROUND(calls[[#This Row],[Satisfaction Rating]],0)</f>
        <v>5</v>
      </c>
    </row>
    <row r="822" spans="1:11" x14ac:dyDescent="0.3">
      <c r="A822" s="41" t="s">
        <v>1873</v>
      </c>
      <c r="B822" s="10" t="s">
        <v>1076</v>
      </c>
      <c r="C822" s="10">
        <v>90</v>
      </c>
      <c r="D822" s="39" t="s">
        <v>1043</v>
      </c>
      <c r="E822" s="40">
        <v>45209</v>
      </c>
      <c r="F822" s="10">
        <v>48</v>
      </c>
      <c r="G822" s="42">
        <v>4.7</v>
      </c>
      <c r="H822">
        <f>IF(MONTH(calls[[#This Row],[Date of Call]])&lt;=6,YEAR(calls[[#This Row],[Date of Call]]),YEAR(calls[[#This Row],[Date of Call]])+1)</f>
        <v>2024</v>
      </c>
      <c r="I822" t="str">
        <f>TEXT(calls[[#This Row],[Date of Call]],"DDDD")</f>
        <v>Tuesday</v>
      </c>
      <c r="J822" t="str" cm="1">
        <f t="array" ref="J822">_xlfn.IFS(calls[[#This Row],[Duration]]&lt;=10,"UNDER 10 MINS",calls[[#This Row],[Duration]]&lt;=30,"10 TO 30 MINS",calls[[#This Row],[Duration]]&lt;=60,"30 TO 60 MINS",calls[[#This Row],[Duration]]&lt;=120,"1 TO 2 HRS",TRUE,"MORE THAN 2 HRS")</f>
        <v>1 TO 2 HRS</v>
      </c>
      <c r="K822">
        <f>ROUND(calls[[#This Row],[Satisfaction Rating]],0)</f>
        <v>5</v>
      </c>
    </row>
    <row r="823" spans="1:11" x14ac:dyDescent="0.3">
      <c r="A823" s="41" t="s">
        <v>1874</v>
      </c>
      <c r="B823" s="10" t="s">
        <v>1056</v>
      </c>
      <c r="C823" s="10">
        <v>55</v>
      </c>
      <c r="D823" s="39" t="s">
        <v>1043</v>
      </c>
      <c r="E823" s="40">
        <v>45209</v>
      </c>
      <c r="F823" s="10">
        <v>25</v>
      </c>
      <c r="G823" s="42">
        <v>4.7</v>
      </c>
      <c r="H823">
        <f>IF(MONTH(calls[[#This Row],[Date of Call]])&lt;=6,YEAR(calls[[#This Row],[Date of Call]]),YEAR(calls[[#This Row],[Date of Call]])+1)</f>
        <v>2024</v>
      </c>
      <c r="I823" t="str">
        <f>TEXT(calls[[#This Row],[Date of Call]],"DDDD")</f>
        <v>Tuesday</v>
      </c>
      <c r="J823" t="str" cm="1">
        <f t="array" ref="J823">_xlfn.IFS(calls[[#This Row],[Duration]]&lt;=10,"UNDER 10 MINS",calls[[#This Row],[Duration]]&lt;=30,"10 TO 30 MINS",calls[[#This Row],[Duration]]&lt;=60,"30 TO 60 MINS",calls[[#This Row],[Duration]]&lt;=120,"1 TO 2 HRS",TRUE,"MORE THAN 2 HRS")</f>
        <v>30 TO 60 MINS</v>
      </c>
      <c r="K823">
        <f>ROUND(calls[[#This Row],[Satisfaction Rating]],0)</f>
        <v>5</v>
      </c>
    </row>
    <row r="824" spans="1:11" x14ac:dyDescent="0.3">
      <c r="A824" s="41" t="s">
        <v>1875</v>
      </c>
      <c r="B824" s="10" t="s">
        <v>1045</v>
      </c>
      <c r="C824" s="10">
        <v>84</v>
      </c>
      <c r="D824" s="39" t="s">
        <v>1053</v>
      </c>
      <c r="E824" s="40">
        <v>45210</v>
      </c>
      <c r="F824" s="10">
        <v>54</v>
      </c>
      <c r="G824" s="42">
        <v>3.3</v>
      </c>
      <c r="H824">
        <f>IF(MONTH(calls[[#This Row],[Date of Call]])&lt;=6,YEAR(calls[[#This Row],[Date of Call]]),YEAR(calls[[#This Row],[Date of Call]])+1)</f>
        <v>2024</v>
      </c>
      <c r="I824" t="str">
        <f>TEXT(calls[[#This Row],[Date of Call]],"DDDD")</f>
        <v>Wednesday</v>
      </c>
      <c r="J824" t="str" cm="1">
        <f t="array" ref="J824">_xlfn.IFS(calls[[#This Row],[Duration]]&lt;=10,"UNDER 10 MINS",calls[[#This Row],[Duration]]&lt;=30,"10 TO 30 MINS",calls[[#This Row],[Duration]]&lt;=60,"30 TO 60 MINS",calls[[#This Row],[Duration]]&lt;=120,"1 TO 2 HRS",TRUE,"MORE THAN 2 HRS")</f>
        <v>1 TO 2 HRS</v>
      </c>
      <c r="K824">
        <f>ROUND(calls[[#This Row],[Satisfaction Rating]],0)</f>
        <v>3</v>
      </c>
    </row>
    <row r="825" spans="1:11" x14ac:dyDescent="0.3">
      <c r="A825" s="41" t="s">
        <v>1876</v>
      </c>
      <c r="B825" s="10" t="s">
        <v>1045</v>
      </c>
      <c r="C825" s="10">
        <v>150</v>
      </c>
      <c r="D825" s="39" t="s">
        <v>1048</v>
      </c>
      <c r="E825" s="40">
        <v>45210</v>
      </c>
      <c r="F825" s="10">
        <v>108</v>
      </c>
      <c r="G825" s="42">
        <v>4.7</v>
      </c>
      <c r="H825">
        <f>IF(MONTH(calls[[#This Row],[Date of Call]])&lt;=6,YEAR(calls[[#This Row],[Date of Call]]),YEAR(calls[[#This Row],[Date of Call]])+1)</f>
        <v>2024</v>
      </c>
      <c r="I825" t="str">
        <f>TEXT(calls[[#This Row],[Date of Call]],"DDDD")</f>
        <v>Wednesday</v>
      </c>
      <c r="J825" t="str" cm="1">
        <f t="array" ref="J825">_xlfn.IFS(calls[[#This Row],[Duration]]&lt;=10,"UNDER 10 MINS",calls[[#This Row],[Duration]]&lt;=30,"10 TO 30 MINS",calls[[#This Row],[Duration]]&lt;=60,"30 TO 60 MINS",calls[[#This Row],[Duration]]&lt;=120,"1 TO 2 HRS",TRUE,"MORE THAN 2 HRS")</f>
        <v>MORE THAN 2 HRS</v>
      </c>
      <c r="K825">
        <f>ROUND(calls[[#This Row],[Satisfaction Rating]],0)</f>
        <v>5</v>
      </c>
    </row>
    <row r="826" spans="1:11" x14ac:dyDescent="0.3">
      <c r="A826" s="41" t="s">
        <v>1877</v>
      </c>
      <c r="B826" s="10" t="s">
        <v>1109</v>
      </c>
      <c r="C826" s="10">
        <v>69</v>
      </c>
      <c r="D826" s="39" t="s">
        <v>1057</v>
      </c>
      <c r="E826" s="40">
        <v>45210</v>
      </c>
      <c r="F826" s="10">
        <v>36</v>
      </c>
      <c r="G826" s="42">
        <v>4.5</v>
      </c>
      <c r="H826">
        <f>IF(MONTH(calls[[#This Row],[Date of Call]])&lt;=6,YEAR(calls[[#This Row],[Date of Call]]),YEAR(calls[[#This Row],[Date of Call]])+1)</f>
        <v>2024</v>
      </c>
      <c r="I826" t="str">
        <f>TEXT(calls[[#This Row],[Date of Call]],"DDDD")</f>
        <v>Wednesday</v>
      </c>
      <c r="J826" t="str" cm="1">
        <f t="array" ref="J826">_xlfn.IFS(calls[[#This Row],[Duration]]&lt;=10,"UNDER 10 MINS",calls[[#This Row],[Duration]]&lt;=30,"10 TO 30 MINS",calls[[#This Row],[Duration]]&lt;=60,"30 TO 60 MINS",calls[[#This Row],[Duration]]&lt;=120,"1 TO 2 HRS",TRUE,"MORE THAN 2 HRS")</f>
        <v>1 TO 2 HRS</v>
      </c>
      <c r="K826">
        <f>ROUND(calls[[#This Row],[Satisfaction Rating]],0)</f>
        <v>5</v>
      </c>
    </row>
    <row r="827" spans="1:11" x14ac:dyDescent="0.3">
      <c r="A827" s="41" t="s">
        <v>1878</v>
      </c>
      <c r="B827" s="10" t="s">
        <v>1037</v>
      </c>
      <c r="C827" s="10">
        <v>120</v>
      </c>
      <c r="D827" s="39" t="s">
        <v>1043</v>
      </c>
      <c r="E827" s="40">
        <v>45211</v>
      </c>
      <c r="F827" s="10">
        <v>140</v>
      </c>
      <c r="G827" s="42">
        <v>4.5999999999999996</v>
      </c>
      <c r="H827">
        <f>IF(MONTH(calls[[#This Row],[Date of Call]])&lt;=6,YEAR(calls[[#This Row],[Date of Call]]),YEAR(calls[[#This Row],[Date of Call]])+1)</f>
        <v>2024</v>
      </c>
      <c r="I827" t="str">
        <f>TEXT(calls[[#This Row],[Date of Call]],"DDDD")</f>
        <v>Thursday</v>
      </c>
      <c r="J827" t="str" cm="1">
        <f t="array" ref="J827">_xlfn.IFS(calls[[#This Row],[Duration]]&lt;=10,"UNDER 10 MINS",calls[[#This Row],[Duration]]&lt;=30,"10 TO 30 MINS",calls[[#This Row],[Duration]]&lt;=60,"30 TO 60 MINS",calls[[#This Row],[Duration]]&lt;=120,"1 TO 2 HRS",TRUE,"MORE THAN 2 HRS")</f>
        <v>1 TO 2 HRS</v>
      </c>
      <c r="K827">
        <f>ROUND(calls[[#This Row],[Satisfaction Rating]],0)</f>
        <v>5</v>
      </c>
    </row>
    <row r="828" spans="1:11" x14ac:dyDescent="0.3">
      <c r="A828" s="41" t="s">
        <v>1879</v>
      </c>
      <c r="B828" s="10" t="s">
        <v>1042</v>
      </c>
      <c r="C828" s="10">
        <v>126</v>
      </c>
      <c r="D828" s="39" t="s">
        <v>1053</v>
      </c>
      <c r="E828" s="40">
        <v>45211</v>
      </c>
      <c r="F828" s="10">
        <v>50</v>
      </c>
      <c r="G828" s="42">
        <v>4.8</v>
      </c>
      <c r="H828">
        <f>IF(MONTH(calls[[#This Row],[Date of Call]])&lt;=6,YEAR(calls[[#This Row],[Date of Call]]),YEAR(calls[[#This Row],[Date of Call]])+1)</f>
        <v>2024</v>
      </c>
      <c r="I828" t="str">
        <f>TEXT(calls[[#This Row],[Date of Call]],"DDDD")</f>
        <v>Thursday</v>
      </c>
      <c r="J828" t="str" cm="1">
        <f t="array" ref="J828">_xlfn.IFS(calls[[#This Row],[Duration]]&lt;=10,"UNDER 10 MINS",calls[[#This Row],[Duration]]&lt;=30,"10 TO 30 MINS",calls[[#This Row],[Duration]]&lt;=60,"30 TO 60 MINS",calls[[#This Row],[Duration]]&lt;=120,"1 TO 2 HRS",TRUE,"MORE THAN 2 HRS")</f>
        <v>MORE THAN 2 HRS</v>
      </c>
      <c r="K828">
        <f>ROUND(calls[[#This Row],[Satisfaction Rating]],0)</f>
        <v>5</v>
      </c>
    </row>
    <row r="829" spans="1:11" x14ac:dyDescent="0.3">
      <c r="A829" s="41" t="s">
        <v>1880</v>
      </c>
      <c r="B829" s="10" t="s">
        <v>1109</v>
      </c>
      <c r="C829" s="10">
        <v>120</v>
      </c>
      <c r="D829" s="39" t="s">
        <v>1038</v>
      </c>
      <c r="E829" s="40">
        <v>45211</v>
      </c>
      <c r="F829" s="10">
        <v>195</v>
      </c>
      <c r="G829" s="42">
        <v>4.3</v>
      </c>
      <c r="H829">
        <f>IF(MONTH(calls[[#This Row],[Date of Call]])&lt;=6,YEAR(calls[[#This Row],[Date of Call]]),YEAR(calls[[#This Row],[Date of Call]])+1)</f>
        <v>2024</v>
      </c>
      <c r="I829" t="str">
        <f>TEXT(calls[[#This Row],[Date of Call]],"DDDD")</f>
        <v>Thursday</v>
      </c>
      <c r="J829" t="str" cm="1">
        <f t="array" ref="J829">_xlfn.IFS(calls[[#This Row],[Duration]]&lt;=10,"UNDER 10 MINS",calls[[#This Row],[Duration]]&lt;=30,"10 TO 30 MINS",calls[[#This Row],[Duration]]&lt;=60,"30 TO 60 MINS",calls[[#This Row],[Duration]]&lt;=120,"1 TO 2 HRS",TRUE,"MORE THAN 2 HRS")</f>
        <v>1 TO 2 HRS</v>
      </c>
      <c r="K829">
        <f>ROUND(calls[[#This Row],[Satisfaction Rating]],0)</f>
        <v>4</v>
      </c>
    </row>
    <row r="830" spans="1:11" x14ac:dyDescent="0.3">
      <c r="A830" s="41" t="s">
        <v>1881</v>
      </c>
      <c r="B830" s="10" t="s">
        <v>1042</v>
      </c>
      <c r="C830" s="10">
        <v>139</v>
      </c>
      <c r="D830" s="39" t="s">
        <v>1043</v>
      </c>
      <c r="E830" s="40">
        <v>45212</v>
      </c>
      <c r="F830" s="10">
        <v>48</v>
      </c>
      <c r="G830" s="42">
        <v>4.7</v>
      </c>
      <c r="H830">
        <f>IF(MONTH(calls[[#This Row],[Date of Call]])&lt;=6,YEAR(calls[[#This Row],[Date of Call]]),YEAR(calls[[#This Row],[Date of Call]])+1)</f>
        <v>2024</v>
      </c>
      <c r="I830" t="str">
        <f>TEXT(calls[[#This Row],[Date of Call]],"DDDD")</f>
        <v>Friday</v>
      </c>
      <c r="J830" t="str" cm="1">
        <f t="array" ref="J830">_xlfn.IFS(calls[[#This Row],[Duration]]&lt;=10,"UNDER 10 MINS",calls[[#This Row],[Duration]]&lt;=30,"10 TO 30 MINS",calls[[#This Row],[Duration]]&lt;=60,"30 TO 60 MINS",calls[[#This Row],[Duration]]&lt;=120,"1 TO 2 HRS",TRUE,"MORE THAN 2 HRS")</f>
        <v>MORE THAN 2 HRS</v>
      </c>
      <c r="K830">
        <f>ROUND(calls[[#This Row],[Satisfaction Rating]],0)</f>
        <v>5</v>
      </c>
    </row>
    <row r="831" spans="1:11" x14ac:dyDescent="0.3">
      <c r="A831" s="41" t="s">
        <v>1882</v>
      </c>
      <c r="B831" s="10" t="s">
        <v>1056</v>
      </c>
      <c r="C831" s="10">
        <v>124</v>
      </c>
      <c r="D831" s="39" t="s">
        <v>1057</v>
      </c>
      <c r="E831" s="40">
        <v>45213</v>
      </c>
      <c r="F831" s="10">
        <v>29</v>
      </c>
      <c r="G831" s="42">
        <v>4.8</v>
      </c>
      <c r="H831">
        <f>IF(MONTH(calls[[#This Row],[Date of Call]])&lt;=6,YEAR(calls[[#This Row],[Date of Call]]),YEAR(calls[[#This Row],[Date of Call]])+1)</f>
        <v>2024</v>
      </c>
      <c r="I831" t="str">
        <f>TEXT(calls[[#This Row],[Date of Call]],"DDDD")</f>
        <v>Saturday</v>
      </c>
      <c r="J831" t="str" cm="1">
        <f t="array" ref="J831">_xlfn.IFS(calls[[#This Row],[Duration]]&lt;=10,"UNDER 10 MINS",calls[[#This Row],[Duration]]&lt;=30,"10 TO 30 MINS",calls[[#This Row],[Duration]]&lt;=60,"30 TO 60 MINS",calls[[#This Row],[Duration]]&lt;=120,"1 TO 2 HRS",TRUE,"MORE THAN 2 HRS")</f>
        <v>MORE THAN 2 HRS</v>
      </c>
      <c r="K831">
        <f>ROUND(calls[[#This Row],[Satisfaction Rating]],0)</f>
        <v>5</v>
      </c>
    </row>
    <row r="832" spans="1:11" x14ac:dyDescent="0.3">
      <c r="A832" s="41" t="s">
        <v>1883</v>
      </c>
      <c r="B832" s="10" t="s">
        <v>1037</v>
      </c>
      <c r="C832" s="10">
        <v>108</v>
      </c>
      <c r="D832" s="39" t="s">
        <v>1038</v>
      </c>
      <c r="E832" s="40">
        <v>45213</v>
      </c>
      <c r="F832" s="10">
        <v>44</v>
      </c>
      <c r="G832" s="42">
        <v>4.7</v>
      </c>
      <c r="H832">
        <f>IF(MONTH(calls[[#This Row],[Date of Call]])&lt;=6,YEAR(calls[[#This Row],[Date of Call]]),YEAR(calls[[#This Row],[Date of Call]])+1)</f>
        <v>2024</v>
      </c>
      <c r="I832" t="str">
        <f>TEXT(calls[[#This Row],[Date of Call]],"DDDD")</f>
        <v>Saturday</v>
      </c>
      <c r="J832" t="str" cm="1">
        <f t="array" ref="J832">_xlfn.IFS(calls[[#This Row],[Duration]]&lt;=10,"UNDER 10 MINS",calls[[#This Row],[Duration]]&lt;=30,"10 TO 30 MINS",calls[[#This Row],[Duration]]&lt;=60,"30 TO 60 MINS",calls[[#This Row],[Duration]]&lt;=120,"1 TO 2 HRS",TRUE,"MORE THAN 2 HRS")</f>
        <v>1 TO 2 HRS</v>
      </c>
      <c r="K832">
        <f>ROUND(calls[[#This Row],[Satisfaction Rating]],0)</f>
        <v>5</v>
      </c>
    </row>
    <row r="833" spans="1:11" x14ac:dyDescent="0.3">
      <c r="A833" s="41" t="s">
        <v>1884</v>
      </c>
      <c r="B833" s="10" t="s">
        <v>1040</v>
      </c>
      <c r="C833" s="10">
        <v>132</v>
      </c>
      <c r="D833" s="39" t="s">
        <v>1048</v>
      </c>
      <c r="E833" s="40">
        <v>45213</v>
      </c>
      <c r="F833" s="10">
        <v>140</v>
      </c>
      <c r="G833" s="42">
        <v>4.3</v>
      </c>
      <c r="H833">
        <f>IF(MONTH(calls[[#This Row],[Date of Call]])&lt;=6,YEAR(calls[[#This Row],[Date of Call]]),YEAR(calls[[#This Row],[Date of Call]])+1)</f>
        <v>2024</v>
      </c>
      <c r="I833" t="str">
        <f>TEXT(calls[[#This Row],[Date of Call]],"DDDD")</f>
        <v>Saturday</v>
      </c>
      <c r="J833" t="str" cm="1">
        <f t="array" ref="J833">_xlfn.IFS(calls[[#This Row],[Duration]]&lt;=10,"UNDER 10 MINS",calls[[#This Row],[Duration]]&lt;=30,"10 TO 30 MINS",calls[[#This Row],[Duration]]&lt;=60,"30 TO 60 MINS",calls[[#This Row],[Duration]]&lt;=120,"1 TO 2 HRS",TRUE,"MORE THAN 2 HRS")</f>
        <v>MORE THAN 2 HRS</v>
      </c>
      <c r="K833">
        <f>ROUND(calls[[#This Row],[Satisfaction Rating]],0)</f>
        <v>4</v>
      </c>
    </row>
    <row r="834" spans="1:11" x14ac:dyDescent="0.3">
      <c r="A834" s="41" t="s">
        <v>1885</v>
      </c>
      <c r="B834" s="10" t="s">
        <v>1089</v>
      </c>
      <c r="C834" s="10">
        <v>67</v>
      </c>
      <c r="D834" s="39" t="s">
        <v>1048</v>
      </c>
      <c r="E834" s="40">
        <v>45213</v>
      </c>
      <c r="F834" s="10">
        <v>105</v>
      </c>
      <c r="G834" s="42">
        <v>3.8</v>
      </c>
      <c r="H834">
        <f>IF(MONTH(calls[[#This Row],[Date of Call]])&lt;=6,YEAR(calls[[#This Row],[Date of Call]]),YEAR(calls[[#This Row],[Date of Call]])+1)</f>
        <v>2024</v>
      </c>
      <c r="I834" t="str">
        <f>TEXT(calls[[#This Row],[Date of Call]],"DDDD")</f>
        <v>Saturday</v>
      </c>
      <c r="J834" t="str" cm="1">
        <f t="array" ref="J834">_xlfn.IFS(calls[[#This Row],[Duration]]&lt;=10,"UNDER 10 MINS",calls[[#This Row],[Duration]]&lt;=30,"10 TO 30 MINS",calls[[#This Row],[Duration]]&lt;=60,"30 TO 60 MINS",calls[[#This Row],[Duration]]&lt;=120,"1 TO 2 HRS",TRUE,"MORE THAN 2 HRS")</f>
        <v>1 TO 2 HRS</v>
      </c>
      <c r="K834">
        <f>ROUND(calls[[#This Row],[Satisfaction Rating]],0)</f>
        <v>4</v>
      </c>
    </row>
    <row r="835" spans="1:11" x14ac:dyDescent="0.3">
      <c r="A835" s="41" t="s">
        <v>1886</v>
      </c>
      <c r="B835" s="10" t="s">
        <v>1051</v>
      </c>
      <c r="C835" s="10">
        <v>125</v>
      </c>
      <c r="D835" s="39" t="s">
        <v>1048</v>
      </c>
      <c r="E835" s="40">
        <v>45213</v>
      </c>
      <c r="F835" s="10">
        <v>82</v>
      </c>
      <c r="G835" s="42">
        <v>4.5999999999999996</v>
      </c>
      <c r="H835">
        <f>IF(MONTH(calls[[#This Row],[Date of Call]])&lt;=6,YEAR(calls[[#This Row],[Date of Call]]),YEAR(calls[[#This Row],[Date of Call]])+1)</f>
        <v>2024</v>
      </c>
      <c r="I835" t="str">
        <f>TEXT(calls[[#This Row],[Date of Call]],"DDDD")</f>
        <v>Saturday</v>
      </c>
      <c r="J835" t="str" cm="1">
        <f t="array" ref="J835">_xlfn.IFS(calls[[#This Row],[Duration]]&lt;=10,"UNDER 10 MINS",calls[[#This Row],[Duration]]&lt;=30,"10 TO 30 MINS",calls[[#This Row],[Duration]]&lt;=60,"30 TO 60 MINS",calls[[#This Row],[Duration]]&lt;=120,"1 TO 2 HRS",TRUE,"MORE THAN 2 HRS")</f>
        <v>MORE THAN 2 HRS</v>
      </c>
      <c r="K835">
        <f>ROUND(calls[[#This Row],[Satisfaction Rating]],0)</f>
        <v>5</v>
      </c>
    </row>
    <row r="836" spans="1:11" x14ac:dyDescent="0.3">
      <c r="A836" s="41" t="s">
        <v>1887</v>
      </c>
      <c r="B836" s="10" t="s">
        <v>1037</v>
      </c>
      <c r="C836" s="10">
        <v>23</v>
      </c>
      <c r="D836" s="39" t="s">
        <v>1038</v>
      </c>
      <c r="E836" s="40">
        <v>45213</v>
      </c>
      <c r="F836" s="10">
        <v>24</v>
      </c>
      <c r="G836" s="42">
        <v>2.9</v>
      </c>
      <c r="H836">
        <f>IF(MONTH(calls[[#This Row],[Date of Call]])&lt;=6,YEAR(calls[[#This Row],[Date of Call]]),YEAR(calls[[#This Row],[Date of Call]])+1)</f>
        <v>2024</v>
      </c>
      <c r="I836" t="str">
        <f>TEXT(calls[[#This Row],[Date of Call]],"DDDD")</f>
        <v>Saturday</v>
      </c>
      <c r="J836" t="str" cm="1">
        <f t="array" ref="J836">_xlfn.IFS(calls[[#This Row],[Duration]]&lt;=10,"UNDER 10 MINS",calls[[#This Row],[Duration]]&lt;=30,"10 TO 30 MINS",calls[[#This Row],[Duration]]&lt;=60,"30 TO 60 MINS",calls[[#This Row],[Duration]]&lt;=120,"1 TO 2 HRS",TRUE,"MORE THAN 2 HRS")</f>
        <v>10 TO 30 MINS</v>
      </c>
      <c r="K836">
        <f>ROUND(calls[[#This Row],[Satisfaction Rating]],0)</f>
        <v>3</v>
      </c>
    </row>
    <row r="837" spans="1:11" x14ac:dyDescent="0.3">
      <c r="A837" s="41" t="s">
        <v>1888</v>
      </c>
      <c r="B837" s="10" t="s">
        <v>1047</v>
      </c>
      <c r="C837" s="10">
        <v>131</v>
      </c>
      <c r="D837" s="39" t="s">
        <v>1057</v>
      </c>
      <c r="E837" s="40">
        <v>45214</v>
      </c>
      <c r="F837" s="10">
        <v>205</v>
      </c>
      <c r="G837" s="42">
        <v>4.8</v>
      </c>
      <c r="H837">
        <f>IF(MONTH(calls[[#This Row],[Date of Call]])&lt;=6,YEAR(calls[[#This Row],[Date of Call]]),YEAR(calls[[#This Row],[Date of Call]])+1)</f>
        <v>2024</v>
      </c>
      <c r="I837" t="str">
        <f>TEXT(calls[[#This Row],[Date of Call]],"DDDD")</f>
        <v>Sunday</v>
      </c>
      <c r="J837" t="str" cm="1">
        <f t="array" ref="J837">_xlfn.IFS(calls[[#This Row],[Duration]]&lt;=10,"UNDER 10 MINS",calls[[#This Row],[Duration]]&lt;=30,"10 TO 30 MINS",calls[[#This Row],[Duration]]&lt;=60,"30 TO 60 MINS",calls[[#This Row],[Duration]]&lt;=120,"1 TO 2 HRS",TRUE,"MORE THAN 2 HRS")</f>
        <v>MORE THAN 2 HRS</v>
      </c>
      <c r="K837">
        <f>ROUND(calls[[#This Row],[Satisfaction Rating]],0)</f>
        <v>5</v>
      </c>
    </row>
    <row r="838" spans="1:11" x14ac:dyDescent="0.3">
      <c r="A838" s="41" t="s">
        <v>1889</v>
      </c>
      <c r="B838" s="10" t="s">
        <v>1040</v>
      </c>
      <c r="C838" s="10">
        <v>56</v>
      </c>
      <c r="D838" s="39" t="s">
        <v>1043</v>
      </c>
      <c r="E838" s="40">
        <v>45214</v>
      </c>
      <c r="F838" s="10">
        <v>225</v>
      </c>
      <c r="G838" s="42">
        <v>4.9000000000000004</v>
      </c>
      <c r="H838">
        <f>IF(MONTH(calls[[#This Row],[Date of Call]])&lt;=6,YEAR(calls[[#This Row],[Date of Call]]),YEAR(calls[[#This Row],[Date of Call]])+1)</f>
        <v>2024</v>
      </c>
      <c r="I838" t="str">
        <f>TEXT(calls[[#This Row],[Date of Call]],"DDDD")</f>
        <v>Sunday</v>
      </c>
      <c r="J838" t="str" cm="1">
        <f t="array" ref="J838">_xlfn.IFS(calls[[#This Row],[Duration]]&lt;=10,"UNDER 10 MINS",calls[[#This Row],[Duration]]&lt;=30,"10 TO 30 MINS",calls[[#This Row],[Duration]]&lt;=60,"30 TO 60 MINS",calls[[#This Row],[Duration]]&lt;=120,"1 TO 2 HRS",TRUE,"MORE THAN 2 HRS")</f>
        <v>30 TO 60 MINS</v>
      </c>
      <c r="K838">
        <f>ROUND(calls[[#This Row],[Satisfaction Rating]],0)</f>
        <v>5</v>
      </c>
    </row>
    <row r="839" spans="1:11" x14ac:dyDescent="0.3">
      <c r="A839" s="41" t="s">
        <v>1890</v>
      </c>
      <c r="B839" s="10" t="s">
        <v>1047</v>
      </c>
      <c r="C839" s="10">
        <v>70</v>
      </c>
      <c r="D839" s="39" t="s">
        <v>1057</v>
      </c>
      <c r="E839" s="40">
        <v>45214</v>
      </c>
      <c r="F839" s="10">
        <v>50</v>
      </c>
      <c r="G839" s="42">
        <v>3.4</v>
      </c>
      <c r="H839">
        <f>IF(MONTH(calls[[#This Row],[Date of Call]])&lt;=6,YEAR(calls[[#This Row],[Date of Call]]),YEAR(calls[[#This Row],[Date of Call]])+1)</f>
        <v>2024</v>
      </c>
      <c r="I839" t="str">
        <f>TEXT(calls[[#This Row],[Date of Call]],"DDDD")</f>
        <v>Sunday</v>
      </c>
      <c r="J839" t="str" cm="1">
        <f t="array" ref="J839">_xlfn.IFS(calls[[#This Row],[Duration]]&lt;=10,"UNDER 10 MINS",calls[[#This Row],[Duration]]&lt;=30,"10 TO 30 MINS",calls[[#This Row],[Duration]]&lt;=60,"30 TO 60 MINS",calls[[#This Row],[Duration]]&lt;=120,"1 TO 2 HRS",TRUE,"MORE THAN 2 HRS")</f>
        <v>1 TO 2 HRS</v>
      </c>
      <c r="K839">
        <f>ROUND(calls[[#This Row],[Satisfaction Rating]],0)</f>
        <v>3</v>
      </c>
    </row>
    <row r="840" spans="1:11" x14ac:dyDescent="0.3">
      <c r="A840" s="41" t="s">
        <v>1891</v>
      </c>
      <c r="B840" s="10" t="s">
        <v>1047</v>
      </c>
      <c r="C840" s="10">
        <v>55</v>
      </c>
      <c r="D840" s="39" t="s">
        <v>1048</v>
      </c>
      <c r="E840" s="40">
        <v>45214</v>
      </c>
      <c r="F840" s="10">
        <v>80</v>
      </c>
      <c r="G840" s="42">
        <v>4.3</v>
      </c>
      <c r="H840">
        <f>IF(MONTH(calls[[#This Row],[Date of Call]])&lt;=6,YEAR(calls[[#This Row],[Date of Call]]),YEAR(calls[[#This Row],[Date of Call]])+1)</f>
        <v>2024</v>
      </c>
      <c r="I840" t="str">
        <f>TEXT(calls[[#This Row],[Date of Call]],"DDDD")</f>
        <v>Sunday</v>
      </c>
      <c r="J840" t="str" cm="1">
        <f t="array" ref="J840">_xlfn.IFS(calls[[#This Row],[Duration]]&lt;=10,"UNDER 10 MINS",calls[[#This Row],[Duration]]&lt;=30,"10 TO 30 MINS",calls[[#This Row],[Duration]]&lt;=60,"30 TO 60 MINS",calls[[#This Row],[Duration]]&lt;=120,"1 TO 2 HRS",TRUE,"MORE THAN 2 HRS")</f>
        <v>30 TO 60 MINS</v>
      </c>
      <c r="K840">
        <f>ROUND(calls[[#This Row],[Satisfaction Rating]],0)</f>
        <v>4</v>
      </c>
    </row>
    <row r="841" spans="1:11" x14ac:dyDescent="0.3">
      <c r="A841" s="41" t="s">
        <v>1892</v>
      </c>
      <c r="B841" s="10" t="s">
        <v>1051</v>
      </c>
      <c r="C841" s="10">
        <v>77</v>
      </c>
      <c r="D841" s="39" t="s">
        <v>1043</v>
      </c>
      <c r="E841" s="40">
        <v>45214</v>
      </c>
      <c r="F841" s="10">
        <v>78</v>
      </c>
      <c r="G841" s="42">
        <v>3.9</v>
      </c>
      <c r="H841">
        <f>IF(MONTH(calls[[#This Row],[Date of Call]])&lt;=6,YEAR(calls[[#This Row],[Date of Call]]),YEAR(calls[[#This Row],[Date of Call]])+1)</f>
        <v>2024</v>
      </c>
      <c r="I841" t="str">
        <f>TEXT(calls[[#This Row],[Date of Call]],"DDDD")</f>
        <v>Sunday</v>
      </c>
      <c r="J841" t="str" cm="1">
        <f t="array" ref="J841">_xlfn.IFS(calls[[#This Row],[Duration]]&lt;=10,"UNDER 10 MINS",calls[[#This Row],[Duration]]&lt;=30,"10 TO 30 MINS",calls[[#This Row],[Duration]]&lt;=60,"30 TO 60 MINS",calls[[#This Row],[Duration]]&lt;=120,"1 TO 2 HRS",TRUE,"MORE THAN 2 HRS")</f>
        <v>1 TO 2 HRS</v>
      </c>
      <c r="K841">
        <f>ROUND(calls[[#This Row],[Satisfaction Rating]],0)</f>
        <v>4</v>
      </c>
    </row>
    <row r="842" spans="1:11" x14ac:dyDescent="0.3">
      <c r="A842" s="41" t="s">
        <v>1893</v>
      </c>
      <c r="B842" s="10" t="s">
        <v>1045</v>
      </c>
      <c r="C842" s="10">
        <v>133</v>
      </c>
      <c r="D842" s="39" t="s">
        <v>1057</v>
      </c>
      <c r="E842" s="40">
        <v>45215</v>
      </c>
      <c r="F842" s="10">
        <v>40</v>
      </c>
      <c r="G842" s="42">
        <v>3.9</v>
      </c>
      <c r="H842">
        <f>IF(MONTH(calls[[#This Row],[Date of Call]])&lt;=6,YEAR(calls[[#This Row],[Date of Call]]),YEAR(calls[[#This Row],[Date of Call]])+1)</f>
        <v>2024</v>
      </c>
      <c r="I842" t="str">
        <f>TEXT(calls[[#This Row],[Date of Call]],"DDDD")</f>
        <v>Monday</v>
      </c>
      <c r="J842" t="str" cm="1">
        <f t="array" ref="J842">_xlfn.IFS(calls[[#This Row],[Duration]]&lt;=10,"UNDER 10 MINS",calls[[#This Row],[Duration]]&lt;=30,"10 TO 30 MINS",calls[[#This Row],[Duration]]&lt;=60,"30 TO 60 MINS",calls[[#This Row],[Duration]]&lt;=120,"1 TO 2 HRS",TRUE,"MORE THAN 2 HRS")</f>
        <v>MORE THAN 2 HRS</v>
      </c>
      <c r="K842">
        <f>ROUND(calls[[#This Row],[Satisfaction Rating]],0)</f>
        <v>4</v>
      </c>
    </row>
    <row r="843" spans="1:11" x14ac:dyDescent="0.3">
      <c r="A843" s="41" t="s">
        <v>1894</v>
      </c>
      <c r="B843" s="10" t="s">
        <v>1051</v>
      </c>
      <c r="C843" s="10">
        <v>77</v>
      </c>
      <c r="D843" s="39" t="s">
        <v>1043</v>
      </c>
      <c r="E843" s="40">
        <v>45215</v>
      </c>
      <c r="F843" s="10">
        <v>176</v>
      </c>
      <c r="G843" s="42">
        <v>1.5</v>
      </c>
      <c r="H843">
        <f>IF(MONTH(calls[[#This Row],[Date of Call]])&lt;=6,YEAR(calls[[#This Row],[Date of Call]]),YEAR(calls[[#This Row],[Date of Call]])+1)</f>
        <v>2024</v>
      </c>
      <c r="I843" t="str">
        <f>TEXT(calls[[#This Row],[Date of Call]],"DDDD")</f>
        <v>Monday</v>
      </c>
      <c r="J843" t="str" cm="1">
        <f t="array" ref="J843">_xlfn.IFS(calls[[#This Row],[Duration]]&lt;=10,"UNDER 10 MINS",calls[[#This Row],[Duration]]&lt;=30,"10 TO 30 MINS",calls[[#This Row],[Duration]]&lt;=60,"30 TO 60 MINS",calls[[#This Row],[Duration]]&lt;=120,"1 TO 2 HRS",TRUE,"MORE THAN 2 HRS")</f>
        <v>1 TO 2 HRS</v>
      </c>
      <c r="K843">
        <f>ROUND(calls[[#This Row],[Satisfaction Rating]],0)</f>
        <v>2</v>
      </c>
    </row>
    <row r="844" spans="1:11" x14ac:dyDescent="0.3">
      <c r="A844" s="41" t="s">
        <v>1895</v>
      </c>
      <c r="B844" s="10" t="s">
        <v>1076</v>
      </c>
      <c r="C844" s="10">
        <v>103</v>
      </c>
      <c r="D844" s="39" t="s">
        <v>1057</v>
      </c>
      <c r="E844" s="40">
        <v>45215</v>
      </c>
      <c r="F844" s="10">
        <v>78</v>
      </c>
      <c r="G844" s="42">
        <v>3</v>
      </c>
      <c r="H844">
        <f>IF(MONTH(calls[[#This Row],[Date of Call]])&lt;=6,YEAR(calls[[#This Row],[Date of Call]]),YEAR(calls[[#This Row],[Date of Call]])+1)</f>
        <v>2024</v>
      </c>
      <c r="I844" t="str">
        <f>TEXT(calls[[#This Row],[Date of Call]],"DDDD")</f>
        <v>Monday</v>
      </c>
      <c r="J844" t="str" cm="1">
        <f t="array" ref="J844">_xlfn.IFS(calls[[#This Row],[Duration]]&lt;=10,"UNDER 10 MINS",calls[[#This Row],[Duration]]&lt;=30,"10 TO 30 MINS",calls[[#This Row],[Duration]]&lt;=60,"30 TO 60 MINS",calls[[#This Row],[Duration]]&lt;=120,"1 TO 2 HRS",TRUE,"MORE THAN 2 HRS")</f>
        <v>1 TO 2 HRS</v>
      </c>
      <c r="K844">
        <f>ROUND(calls[[#This Row],[Satisfaction Rating]],0)</f>
        <v>3</v>
      </c>
    </row>
    <row r="845" spans="1:11" x14ac:dyDescent="0.3">
      <c r="A845" s="41" t="s">
        <v>1896</v>
      </c>
      <c r="B845" s="10" t="s">
        <v>1109</v>
      </c>
      <c r="C845" s="10">
        <v>32</v>
      </c>
      <c r="D845" s="39" t="s">
        <v>1043</v>
      </c>
      <c r="E845" s="40">
        <v>45215</v>
      </c>
      <c r="F845" s="10">
        <v>42</v>
      </c>
      <c r="G845" s="42">
        <v>4.2</v>
      </c>
      <c r="H845">
        <f>IF(MONTH(calls[[#This Row],[Date of Call]])&lt;=6,YEAR(calls[[#This Row],[Date of Call]]),YEAR(calls[[#This Row],[Date of Call]])+1)</f>
        <v>2024</v>
      </c>
      <c r="I845" t="str">
        <f>TEXT(calls[[#This Row],[Date of Call]],"DDDD")</f>
        <v>Monday</v>
      </c>
      <c r="J845" t="str" cm="1">
        <f t="array" ref="J845">_xlfn.IFS(calls[[#This Row],[Duration]]&lt;=10,"UNDER 10 MINS",calls[[#This Row],[Duration]]&lt;=30,"10 TO 30 MINS",calls[[#This Row],[Duration]]&lt;=60,"30 TO 60 MINS",calls[[#This Row],[Duration]]&lt;=120,"1 TO 2 HRS",TRUE,"MORE THAN 2 HRS")</f>
        <v>30 TO 60 MINS</v>
      </c>
      <c r="K845">
        <f>ROUND(calls[[#This Row],[Satisfaction Rating]],0)</f>
        <v>4</v>
      </c>
    </row>
    <row r="846" spans="1:11" x14ac:dyDescent="0.3">
      <c r="A846" s="41" t="s">
        <v>1897</v>
      </c>
      <c r="B846" s="10" t="s">
        <v>1045</v>
      </c>
      <c r="C846" s="10">
        <v>30</v>
      </c>
      <c r="D846" s="39" t="s">
        <v>1057</v>
      </c>
      <c r="E846" s="40">
        <v>45215</v>
      </c>
      <c r="F846" s="10">
        <v>38</v>
      </c>
      <c r="G846" s="42">
        <v>3.7</v>
      </c>
      <c r="H846">
        <f>IF(MONTH(calls[[#This Row],[Date of Call]])&lt;=6,YEAR(calls[[#This Row],[Date of Call]]),YEAR(calls[[#This Row],[Date of Call]])+1)</f>
        <v>2024</v>
      </c>
      <c r="I846" t="str">
        <f>TEXT(calls[[#This Row],[Date of Call]],"DDDD")</f>
        <v>Monday</v>
      </c>
      <c r="J846" t="str" cm="1">
        <f t="array" ref="J846">_xlfn.IFS(calls[[#This Row],[Duration]]&lt;=10,"UNDER 10 MINS",calls[[#This Row],[Duration]]&lt;=30,"10 TO 30 MINS",calls[[#This Row],[Duration]]&lt;=60,"30 TO 60 MINS",calls[[#This Row],[Duration]]&lt;=120,"1 TO 2 HRS",TRUE,"MORE THAN 2 HRS")</f>
        <v>10 TO 30 MINS</v>
      </c>
      <c r="K846">
        <f>ROUND(calls[[#This Row],[Satisfaction Rating]],0)</f>
        <v>4</v>
      </c>
    </row>
    <row r="847" spans="1:11" x14ac:dyDescent="0.3">
      <c r="A847" s="41" t="s">
        <v>1898</v>
      </c>
      <c r="B847" s="10" t="s">
        <v>1042</v>
      </c>
      <c r="C847" s="10">
        <v>87</v>
      </c>
      <c r="D847" s="39" t="s">
        <v>1053</v>
      </c>
      <c r="E847" s="40">
        <v>45215</v>
      </c>
      <c r="F847" s="10">
        <v>27</v>
      </c>
      <c r="G847" s="42">
        <v>4.2</v>
      </c>
      <c r="H847">
        <f>IF(MONTH(calls[[#This Row],[Date of Call]])&lt;=6,YEAR(calls[[#This Row],[Date of Call]]),YEAR(calls[[#This Row],[Date of Call]])+1)</f>
        <v>2024</v>
      </c>
      <c r="I847" t="str">
        <f>TEXT(calls[[#This Row],[Date of Call]],"DDDD")</f>
        <v>Monday</v>
      </c>
      <c r="J847" t="str" cm="1">
        <f t="array" ref="J847">_xlfn.IFS(calls[[#This Row],[Duration]]&lt;=10,"UNDER 10 MINS",calls[[#This Row],[Duration]]&lt;=30,"10 TO 30 MINS",calls[[#This Row],[Duration]]&lt;=60,"30 TO 60 MINS",calls[[#This Row],[Duration]]&lt;=120,"1 TO 2 HRS",TRUE,"MORE THAN 2 HRS")</f>
        <v>1 TO 2 HRS</v>
      </c>
      <c r="K847">
        <f>ROUND(calls[[#This Row],[Satisfaction Rating]],0)</f>
        <v>4</v>
      </c>
    </row>
    <row r="848" spans="1:11" x14ac:dyDescent="0.3">
      <c r="A848" s="41" t="s">
        <v>1899</v>
      </c>
      <c r="B848" s="10" t="s">
        <v>1051</v>
      </c>
      <c r="C848" s="10">
        <v>137</v>
      </c>
      <c r="D848" s="39" t="s">
        <v>1038</v>
      </c>
      <c r="E848" s="40">
        <v>45216</v>
      </c>
      <c r="F848" s="10">
        <v>45</v>
      </c>
      <c r="G848" s="42">
        <v>4.4000000000000004</v>
      </c>
      <c r="H848">
        <f>IF(MONTH(calls[[#This Row],[Date of Call]])&lt;=6,YEAR(calls[[#This Row],[Date of Call]]),YEAR(calls[[#This Row],[Date of Call]])+1)</f>
        <v>2024</v>
      </c>
      <c r="I848" t="str">
        <f>TEXT(calls[[#This Row],[Date of Call]],"DDDD")</f>
        <v>Tuesday</v>
      </c>
      <c r="J848" t="str" cm="1">
        <f t="array" ref="J848">_xlfn.IFS(calls[[#This Row],[Duration]]&lt;=10,"UNDER 10 MINS",calls[[#This Row],[Duration]]&lt;=30,"10 TO 30 MINS",calls[[#This Row],[Duration]]&lt;=60,"30 TO 60 MINS",calls[[#This Row],[Duration]]&lt;=120,"1 TO 2 HRS",TRUE,"MORE THAN 2 HRS")</f>
        <v>MORE THAN 2 HRS</v>
      </c>
      <c r="K848">
        <f>ROUND(calls[[#This Row],[Satisfaction Rating]],0)</f>
        <v>4</v>
      </c>
    </row>
    <row r="849" spans="1:11" x14ac:dyDescent="0.3">
      <c r="A849" s="41" t="s">
        <v>1900</v>
      </c>
      <c r="B849" s="10" t="s">
        <v>1060</v>
      </c>
      <c r="C849" s="10">
        <v>96</v>
      </c>
      <c r="D849" s="39" t="s">
        <v>1057</v>
      </c>
      <c r="E849" s="40">
        <v>45216</v>
      </c>
      <c r="F849" s="10">
        <v>215</v>
      </c>
      <c r="G849" s="42">
        <v>4</v>
      </c>
      <c r="H849">
        <f>IF(MONTH(calls[[#This Row],[Date of Call]])&lt;=6,YEAR(calls[[#This Row],[Date of Call]]),YEAR(calls[[#This Row],[Date of Call]])+1)</f>
        <v>2024</v>
      </c>
      <c r="I849" t="str">
        <f>TEXT(calls[[#This Row],[Date of Call]],"DDDD")</f>
        <v>Tuesday</v>
      </c>
      <c r="J849" t="str" cm="1">
        <f t="array" ref="J849">_xlfn.IFS(calls[[#This Row],[Duration]]&lt;=10,"UNDER 10 MINS",calls[[#This Row],[Duration]]&lt;=30,"10 TO 30 MINS",calls[[#This Row],[Duration]]&lt;=60,"30 TO 60 MINS",calls[[#This Row],[Duration]]&lt;=120,"1 TO 2 HRS",TRUE,"MORE THAN 2 HRS")</f>
        <v>1 TO 2 HRS</v>
      </c>
      <c r="K849">
        <f>ROUND(calls[[#This Row],[Satisfaction Rating]],0)</f>
        <v>4</v>
      </c>
    </row>
    <row r="850" spans="1:11" x14ac:dyDescent="0.3">
      <c r="A850" s="41" t="s">
        <v>1901</v>
      </c>
      <c r="B850" s="10" t="s">
        <v>1056</v>
      </c>
      <c r="C850" s="10">
        <v>155</v>
      </c>
      <c r="D850" s="39" t="s">
        <v>1057</v>
      </c>
      <c r="E850" s="40">
        <v>45217</v>
      </c>
      <c r="F850" s="10">
        <v>72</v>
      </c>
      <c r="G850" s="42">
        <v>4.7</v>
      </c>
      <c r="H850">
        <f>IF(MONTH(calls[[#This Row],[Date of Call]])&lt;=6,YEAR(calls[[#This Row],[Date of Call]]),YEAR(calls[[#This Row],[Date of Call]])+1)</f>
        <v>2024</v>
      </c>
      <c r="I850" t="str">
        <f>TEXT(calls[[#This Row],[Date of Call]],"DDDD")</f>
        <v>Wednesday</v>
      </c>
      <c r="J850" t="str" cm="1">
        <f t="array" ref="J850">_xlfn.IFS(calls[[#This Row],[Duration]]&lt;=10,"UNDER 10 MINS",calls[[#This Row],[Duration]]&lt;=30,"10 TO 30 MINS",calls[[#This Row],[Duration]]&lt;=60,"30 TO 60 MINS",calls[[#This Row],[Duration]]&lt;=120,"1 TO 2 HRS",TRUE,"MORE THAN 2 HRS")</f>
        <v>MORE THAN 2 HRS</v>
      </c>
      <c r="K850">
        <f>ROUND(calls[[#This Row],[Satisfaction Rating]],0)</f>
        <v>5</v>
      </c>
    </row>
    <row r="851" spans="1:11" x14ac:dyDescent="0.3">
      <c r="A851" s="41" t="s">
        <v>1902</v>
      </c>
      <c r="B851" s="10" t="s">
        <v>1045</v>
      </c>
      <c r="C851" s="10">
        <v>173</v>
      </c>
      <c r="D851" s="39" t="s">
        <v>1048</v>
      </c>
      <c r="E851" s="40">
        <v>45217</v>
      </c>
      <c r="F851" s="10">
        <v>160</v>
      </c>
      <c r="G851" s="42">
        <v>2.8</v>
      </c>
      <c r="H851">
        <f>IF(MONTH(calls[[#This Row],[Date of Call]])&lt;=6,YEAR(calls[[#This Row],[Date of Call]]),YEAR(calls[[#This Row],[Date of Call]])+1)</f>
        <v>2024</v>
      </c>
      <c r="I851" t="str">
        <f>TEXT(calls[[#This Row],[Date of Call]],"DDDD")</f>
        <v>Wednesday</v>
      </c>
      <c r="J851" t="str" cm="1">
        <f t="array" ref="J851">_xlfn.IFS(calls[[#This Row],[Duration]]&lt;=10,"UNDER 10 MINS",calls[[#This Row],[Duration]]&lt;=30,"10 TO 30 MINS",calls[[#This Row],[Duration]]&lt;=60,"30 TO 60 MINS",calls[[#This Row],[Duration]]&lt;=120,"1 TO 2 HRS",TRUE,"MORE THAN 2 HRS")</f>
        <v>MORE THAN 2 HRS</v>
      </c>
      <c r="K851">
        <f>ROUND(calls[[#This Row],[Satisfaction Rating]],0)</f>
        <v>3</v>
      </c>
    </row>
    <row r="852" spans="1:11" x14ac:dyDescent="0.3">
      <c r="A852" s="41" t="s">
        <v>1903</v>
      </c>
      <c r="B852" s="10" t="s">
        <v>1056</v>
      </c>
      <c r="C852" s="10">
        <v>127</v>
      </c>
      <c r="D852" s="39" t="s">
        <v>1057</v>
      </c>
      <c r="E852" s="40">
        <v>45217</v>
      </c>
      <c r="F852" s="10">
        <v>165</v>
      </c>
      <c r="G852" s="42">
        <v>2.5</v>
      </c>
      <c r="H852">
        <f>IF(MONTH(calls[[#This Row],[Date of Call]])&lt;=6,YEAR(calls[[#This Row],[Date of Call]]),YEAR(calls[[#This Row],[Date of Call]])+1)</f>
        <v>2024</v>
      </c>
      <c r="I852" t="str">
        <f>TEXT(calls[[#This Row],[Date of Call]],"DDDD")</f>
        <v>Wednesday</v>
      </c>
      <c r="J852" t="str" cm="1">
        <f t="array" ref="J852">_xlfn.IFS(calls[[#This Row],[Duration]]&lt;=10,"UNDER 10 MINS",calls[[#This Row],[Duration]]&lt;=30,"10 TO 30 MINS",calls[[#This Row],[Duration]]&lt;=60,"30 TO 60 MINS",calls[[#This Row],[Duration]]&lt;=120,"1 TO 2 HRS",TRUE,"MORE THAN 2 HRS")</f>
        <v>MORE THAN 2 HRS</v>
      </c>
      <c r="K852">
        <f>ROUND(calls[[#This Row],[Satisfaction Rating]],0)</f>
        <v>3</v>
      </c>
    </row>
    <row r="853" spans="1:11" x14ac:dyDescent="0.3">
      <c r="A853" s="41" t="s">
        <v>1904</v>
      </c>
      <c r="B853" s="10" t="s">
        <v>1040</v>
      </c>
      <c r="C853" s="10">
        <v>117</v>
      </c>
      <c r="D853" s="39" t="s">
        <v>1048</v>
      </c>
      <c r="E853" s="40">
        <v>45217</v>
      </c>
      <c r="F853" s="10">
        <v>120</v>
      </c>
      <c r="G853" s="42">
        <v>3.4</v>
      </c>
      <c r="H853">
        <f>IF(MONTH(calls[[#This Row],[Date of Call]])&lt;=6,YEAR(calls[[#This Row],[Date of Call]]),YEAR(calls[[#This Row],[Date of Call]])+1)</f>
        <v>2024</v>
      </c>
      <c r="I853" t="str">
        <f>TEXT(calls[[#This Row],[Date of Call]],"DDDD")</f>
        <v>Wednesday</v>
      </c>
      <c r="J853" t="str" cm="1">
        <f t="array" ref="J853">_xlfn.IFS(calls[[#This Row],[Duration]]&lt;=10,"UNDER 10 MINS",calls[[#This Row],[Duration]]&lt;=30,"10 TO 30 MINS",calls[[#This Row],[Duration]]&lt;=60,"30 TO 60 MINS",calls[[#This Row],[Duration]]&lt;=120,"1 TO 2 HRS",TRUE,"MORE THAN 2 HRS")</f>
        <v>1 TO 2 HRS</v>
      </c>
      <c r="K853">
        <f>ROUND(calls[[#This Row],[Satisfaction Rating]],0)</f>
        <v>3</v>
      </c>
    </row>
    <row r="854" spans="1:11" x14ac:dyDescent="0.3">
      <c r="A854" s="41" t="s">
        <v>1905</v>
      </c>
      <c r="B854" s="10" t="s">
        <v>1037</v>
      </c>
      <c r="C854" s="10">
        <v>133</v>
      </c>
      <c r="D854" s="39" t="s">
        <v>1043</v>
      </c>
      <c r="E854" s="40">
        <v>45217</v>
      </c>
      <c r="F854" s="10">
        <v>117</v>
      </c>
      <c r="G854" s="42">
        <v>4.8</v>
      </c>
      <c r="H854">
        <f>IF(MONTH(calls[[#This Row],[Date of Call]])&lt;=6,YEAR(calls[[#This Row],[Date of Call]]),YEAR(calls[[#This Row],[Date of Call]])+1)</f>
        <v>2024</v>
      </c>
      <c r="I854" t="str">
        <f>TEXT(calls[[#This Row],[Date of Call]],"DDDD")</f>
        <v>Wednesday</v>
      </c>
      <c r="J854" t="str" cm="1">
        <f t="array" ref="J854">_xlfn.IFS(calls[[#This Row],[Duration]]&lt;=10,"UNDER 10 MINS",calls[[#This Row],[Duration]]&lt;=30,"10 TO 30 MINS",calls[[#This Row],[Duration]]&lt;=60,"30 TO 60 MINS",calls[[#This Row],[Duration]]&lt;=120,"1 TO 2 HRS",TRUE,"MORE THAN 2 HRS")</f>
        <v>MORE THAN 2 HRS</v>
      </c>
      <c r="K854">
        <f>ROUND(calls[[#This Row],[Satisfaction Rating]],0)</f>
        <v>5</v>
      </c>
    </row>
    <row r="855" spans="1:11" x14ac:dyDescent="0.3">
      <c r="A855" s="41" t="s">
        <v>1906</v>
      </c>
      <c r="B855" s="10" t="s">
        <v>1062</v>
      </c>
      <c r="C855" s="10">
        <v>166</v>
      </c>
      <c r="D855" s="39" t="s">
        <v>1053</v>
      </c>
      <c r="E855" s="40">
        <v>45218</v>
      </c>
      <c r="F855" s="10">
        <v>29</v>
      </c>
      <c r="G855" s="42">
        <v>4.3</v>
      </c>
      <c r="H855">
        <f>IF(MONTH(calls[[#This Row],[Date of Call]])&lt;=6,YEAR(calls[[#This Row],[Date of Call]]),YEAR(calls[[#This Row],[Date of Call]])+1)</f>
        <v>2024</v>
      </c>
      <c r="I855" t="str">
        <f>TEXT(calls[[#This Row],[Date of Call]],"DDDD")</f>
        <v>Thursday</v>
      </c>
      <c r="J855" t="str" cm="1">
        <f t="array" ref="J855">_xlfn.IFS(calls[[#This Row],[Duration]]&lt;=10,"UNDER 10 MINS",calls[[#This Row],[Duration]]&lt;=30,"10 TO 30 MINS",calls[[#This Row],[Duration]]&lt;=60,"30 TO 60 MINS",calls[[#This Row],[Duration]]&lt;=120,"1 TO 2 HRS",TRUE,"MORE THAN 2 HRS")</f>
        <v>MORE THAN 2 HRS</v>
      </c>
      <c r="K855">
        <f>ROUND(calls[[#This Row],[Satisfaction Rating]],0)</f>
        <v>4</v>
      </c>
    </row>
    <row r="856" spans="1:11" x14ac:dyDescent="0.3">
      <c r="A856" s="41" t="s">
        <v>1907</v>
      </c>
      <c r="B856" s="10" t="s">
        <v>1037</v>
      </c>
      <c r="C856" s="10">
        <v>50</v>
      </c>
      <c r="D856" s="39" t="s">
        <v>1048</v>
      </c>
      <c r="E856" s="40">
        <v>45218</v>
      </c>
      <c r="F856" s="10">
        <v>64</v>
      </c>
      <c r="G856" s="42">
        <v>4.5</v>
      </c>
      <c r="H856">
        <f>IF(MONTH(calls[[#This Row],[Date of Call]])&lt;=6,YEAR(calls[[#This Row],[Date of Call]]),YEAR(calls[[#This Row],[Date of Call]])+1)</f>
        <v>2024</v>
      </c>
      <c r="I856" t="str">
        <f>TEXT(calls[[#This Row],[Date of Call]],"DDDD")</f>
        <v>Thursday</v>
      </c>
      <c r="J856" t="str" cm="1">
        <f t="array" ref="J856">_xlfn.IFS(calls[[#This Row],[Duration]]&lt;=10,"UNDER 10 MINS",calls[[#This Row],[Duration]]&lt;=30,"10 TO 30 MINS",calls[[#This Row],[Duration]]&lt;=60,"30 TO 60 MINS",calls[[#This Row],[Duration]]&lt;=120,"1 TO 2 HRS",TRUE,"MORE THAN 2 HRS")</f>
        <v>30 TO 60 MINS</v>
      </c>
      <c r="K856">
        <f>ROUND(calls[[#This Row],[Satisfaction Rating]],0)</f>
        <v>5</v>
      </c>
    </row>
    <row r="857" spans="1:11" x14ac:dyDescent="0.3">
      <c r="A857" s="41" t="s">
        <v>1908</v>
      </c>
      <c r="B857" s="10" t="s">
        <v>1076</v>
      </c>
      <c r="C857" s="10">
        <v>43</v>
      </c>
      <c r="D857" s="39" t="s">
        <v>1043</v>
      </c>
      <c r="E857" s="40">
        <v>45218</v>
      </c>
      <c r="F857" s="10">
        <v>84</v>
      </c>
      <c r="G857" s="42">
        <v>3.6</v>
      </c>
      <c r="H857">
        <f>IF(MONTH(calls[[#This Row],[Date of Call]])&lt;=6,YEAR(calls[[#This Row],[Date of Call]]),YEAR(calls[[#This Row],[Date of Call]])+1)</f>
        <v>2024</v>
      </c>
      <c r="I857" t="str">
        <f>TEXT(calls[[#This Row],[Date of Call]],"DDDD")</f>
        <v>Thursday</v>
      </c>
      <c r="J857" t="str" cm="1">
        <f t="array" ref="J857">_xlfn.IFS(calls[[#This Row],[Duration]]&lt;=10,"UNDER 10 MINS",calls[[#This Row],[Duration]]&lt;=30,"10 TO 30 MINS",calls[[#This Row],[Duration]]&lt;=60,"30 TO 60 MINS",calls[[#This Row],[Duration]]&lt;=120,"1 TO 2 HRS",TRUE,"MORE THAN 2 HRS")</f>
        <v>30 TO 60 MINS</v>
      </c>
      <c r="K857">
        <f>ROUND(calls[[#This Row],[Satisfaction Rating]],0)</f>
        <v>4</v>
      </c>
    </row>
    <row r="858" spans="1:11" x14ac:dyDescent="0.3">
      <c r="A858" s="41" t="s">
        <v>1909</v>
      </c>
      <c r="B858" s="10" t="s">
        <v>1060</v>
      </c>
      <c r="C858" s="10">
        <v>124</v>
      </c>
      <c r="D858" s="39" t="s">
        <v>1057</v>
      </c>
      <c r="E858" s="40">
        <v>45218</v>
      </c>
      <c r="F858" s="10">
        <v>42</v>
      </c>
      <c r="G858" s="42">
        <v>3.7</v>
      </c>
      <c r="H858">
        <f>IF(MONTH(calls[[#This Row],[Date of Call]])&lt;=6,YEAR(calls[[#This Row],[Date of Call]]),YEAR(calls[[#This Row],[Date of Call]])+1)</f>
        <v>2024</v>
      </c>
      <c r="I858" t="str">
        <f>TEXT(calls[[#This Row],[Date of Call]],"DDDD")</f>
        <v>Thursday</v>
      </c>
      <c r="J858" t="str" cm="1">
        <f t="array" ref="J858">_xlfn.IFS(calls[[#This Row],[Duration]]&lt;=10,"UNDER 10 MINS",calls[[#This Row],[Duration]]&lt;=30,"10 TO 30 MINS",calls[[#This Row],[Duration]]&lt;=60,"30 TO 60 MINS",calls[[#This Row],[Duration]]&lt;=120,"1 TO 2 HRS",TRUE,"MORE THAN 2 HRS")</f>
        <v>MORE THAN 2 HRS</v>
      </c>
      <c r="K858">
        <f>ROUND(calls[[#This Row],[Satisfaction Rating]],0)</f>
        <v>4</v>
      </c>
    </row>
    <row r="859" spans="1:11" x14ac:dyDescent="0.3">
      <c r="A859" s="41" t="s">
        <v>1910</v>
      </c>
      <c r="B859" s="10" t="s">
        <v>1045</v>
      </c>
      <c r="C859" s="10">
        <v>94</v>
      </c>
      <c r="D859" s="39" t="s">
        <v>1057</v>
      </c>
      <c r="E859" s="40">
        <v>45218</v>
      </c>
      <c r="F859" s="10">
        <v>120</v>
      </c>
      <c r="G859" s="42">
        <v>3.5</v>
      </c>
      <c r="H859">
        <f>IF(MONTH(calls[[#This Row],[Date of Call]])&lt;=6,YEAR(calls[[#This Row],[Date of Call]]),YEAR(calls[[#This Row],[Date of Call]])+1)</f>
        <v>2024</v>
      </c>
      <c r="I859" t="str">
        <f>TEXT(calls[[#This Row],[Date of Call]],"DDDD")</f>
        <v>Thursday</v>
      </c>
      <c r="J859" t="str" cm="1">
        <f t="array" ref="J859">_xlfn.IFS(calls[[#This Row],[Duration]]&lt;=10,"UNDER 10 MINS",calls[[#This Row],[Duration]]&lt;=30,"10 TO 30 MINS",calls[[#This Row],[Duration]]&lt;=60,"30 TO 60 MINS",calls[[#This Row],[Duration]]&lt;=120,"1 TO 2 HRS",TRUE,"MORE THAN 2 HRS")</f>
        <v>1 TO 2 HRS</v>
      </c>
      <c r="K859">
        <f>ROUND(calls[[#This Row],[Satisfaction Rating]],0)</f>
        <v>4</v>
      </c>
    </row>
    <row r="860" spans="1:11" x14ac:dyDescent="0.3">
      <c r="A860" s="41" t="s">
        <v>1911</v>
      </c>
      <c r="B860" s="10" t="s">
        <v>1076</v>
      </c>
      <c r="C860" s="10">
        <v>126</v>
      </c>
      <c r="D860" s="39" t="s">
        <v>1053</v>
      </c>
      <c r="E860" s="40">
        <v>45219</v>
      </c>
      <c r="F860" s="10">
        <v>80</v>
      </c>
      <c r="G860" s="42">
        <v>4.7</v>
      </c>
      <c r="H860">
        <f>IF(MONTH(calls[[#This Row],[Date of Call]])&lt;=6,YEAR(calls[[#This Row],[Date of Call]]),YEAR(calls[[#This Row],[Date of Call]])+1)</f>
        <v>2024</v>
      </c>
      <c r="I860" t="str">
        <f>TEXT(calls[[#This Row],[Date of Call]],"DDDD")</f>
        <v>Friday</v>
      </c>
      <c r="J860" t="str" cm="1">
        <f t="array" ref="J860">_xlfn.IFS(calls[[#This Row],[Duration]]&lt;=10,"UNDER 10 MINS",calls[[#This Row],[Duration]]&lt;=30,"10 TO 30 MINS",calls[[#This Row],[Duration]]&lt;=60,"30 TO 60 MINS",calls[[#This Row],[Duration]]&lt;=120,"1 TO 2 HRS",TRUE,"MORE THAN 2 HRS")</f>
        <v>MORE THAN 2 HRS</v>
      </c>
      <c r="K860">
        <f>ROUND(calls[[#This Row],[Satisfaction Rating]],0)</f>
        <v>5</v>
      </c>
    </row>
    <row r="861" spans="1:11" x14ac:dyDescent="0.3">
      <c r="A861" s="41" t="s">
        <v>1912</v>
      </c>
      <c r="B861" s="10" t="s">
        <v>1062</v>
      </c>
      <c r="C861" s="10">
        <v>105</v>
      </c>
      <c r="D861" s="39" t="s">
        <v>1048</v>
      </c>
      <c r="E861" s="40">
        <v>45219</v>
      </c>
      <c r="F861" s="10">
        <v>185</v>
      </c>
      <c r="G861" s="42">
        <v>3.5</v>
      </c>
      <c r="H861">
        <f>IF(MONTH(calls[[#This Row],[Date of Call]])&lt;=6,YEAR(calls[[#This Row],[Date of Call]]),YEAR(calls[[#This Row],[Date of Call]])+1)</f>
        <v>2024</v>
      </c>
      <c r="I861" t="str">
        <f>TEXT(calls[[#This Row],[Date of Call]],"DDDD")</f>
        <v>Friday</v>
      </c>
      <c r="J861" t="str" cm="1">
        <f t="array" ref="J861">_xlfn.IFS(calls[[#This Row],[Duration]]&lt;=10,"UNDER 10 MINS",calls[[#This Row],[Duration]]&lt;=30,"10 TO 30 MINS",calls[[#This Row],[Duration]]&lt;=60,"30 TO 60 MINS",calls[[#This Row],[Duration]]&lt;=120,"1 TO 2 HRS",TRUE,"MORE THAN 2 HRS")</f>
        <v>1 TO 2 HRS</v>
      </c>
      <c r="K861">
        <f>ROUND(calls[[#This Row],[Satisfaction Rating]],0)</f>
        <v>4</v>
      </c>
    </row>
    <row r="862" spans="1:11" x14ac:dyDescent="0.3">
      <c r="A862" s="41" t="s">
        <v>1913</v>
      </c>
      <c r="B862" s="10" t="s">
        <v>1047</v>
      </c>
      <c r="C862" s="10">
        <v>60</v>
      </c>
      <c r="D862" s="39" t="s">
        <v>1038</v>
      </c>
      <c r="E862" s="40">
        <v>45220</v>
      </c>
      <c r="F862" s="10">
        <v>135</v>
      </c>
      <c r="G862" s="42">
        <v>3.9</v>
      </c>
      <c r="H862">
        <f>IF(MONTH(calls[[#This Row],[Date of Call]])&lt;=6,YEAR(calls[[#This Row],[Date of Call]]),YEAR(calls[[#This Row],[Date of Call]])+1)</f>
        <v>2024</v>
      </c>
      <c r="I862" t="str">
        <f>TEXT(calls[[#This Row],[Date of Call]],"DDDD")</f>
        <v>Saturday</v>
      </c>
      <c r="J862" t="str" cm="1">
        <f t="array" ref="J862">_xlfn.IFS(calls[[#This Row],[Duration]]&lt;=10,"UNDER 10 MINS",calls[[#This Row],[Duration]]&lt;=30,"10 TO 30 MINS",calls[[#This Row],[Duration]]&lt;=60,"30 TO 60 MINS",calls[[#This Row],[Duration]]&lt;=120,"1 TO 2 HRS",TRUE,"MORE THAN 2 HRS")</f>
        <v>30 TO 60 MINS</v>
      </c>
      <c r="K862">
        <f>ROUND(calls[[#This Row],[Satisfaction Rating]],0)</f>
        <v>4</v>
      </c>
    </row>
    <row r="863" spans="1:11" x14ac:dyDescent="0.3">
      <c r="A863" s="41" t="s">
        <v>1914</v>
      </c>
      <c r="B863" s="10" t="s">
        <v>1047</v>
      </c>
      <c r="C863" s="10">
        <v>72</v>
      </c>
      <c r="D863" s="39" t="s">
        <v>1048</v>
      </c>
      <c r="E863" s="40">
        <v>45220</v>
      </c>
      <c r="F863" s="10">
        <v>20</v>
      </c>
      <c r="G863" s="42">
        <v>4.8</v>
      </c>
      <c r="H863">
        <f>IF(MONTH(calls[[#This Row],[Date of Call]])&lt;=6,YEAR(calls[[#This Row],[Date of Call]]),YEAR(calls[[#This Row],[Date of Call]])+1)</f>
        <v>2024</v>
      </c>
      <c r="I863" t="str">
        <f>TEXT(calls[[#This Row],[Date of Call]],"DDDD")</f>
        <v>Saturday</v>
      </c>
      <c r="J863" t="str" cm="1">
        <f t="array" ref="J863">_xlfn.IFS(calls[[#This Row],[Duration]]&lt;=10,"UNDER 10 MINS",calls[[#This Row],[Duration]]&lt;=30,"10 TO 30 MINS",calls[[#This Row],[Duration]]&lt;=60,"30 TO 60 MINS",calls[[#This Row],[Duration]]&lt;=120,"1 TO 2 HRS",TRUE,"MORE THAN 2 HRS")</f>
        <v>1 TO 2 HRS</v>
      </c>
      <c r="K863">
        <f>ROUND(calls[[#This Row],[Satisfaction Rating]],0)</f>
        <v>5</v>
      </c>
    </row>
    <row r="864" spans="1:11" x14ac:dyDescent="0.3">
      <c r="A864" s="41" t="s">
        <v>1915</v>
      </c>
      <c r="B864" s="10" t="s">
        <v>1079</v>
      </c>
      <c r="C864" s="10">
        <v>40</v>
      </c>
      <c r="D864" s="39" t="s">
        <v>1048</v>
      </c>
      <c r="E864" s="40">
        <v>45220</v>
      </c>
      <c r="F864" s="10">
        <v>31</v>
      </c>
      <c r="G864" s="42">
        <v>4</v>
      </c>
      <c r="H864">
        <f>IF(MONTH(calls[[#This Row],[Date of Call]])&lt;=6,YEAR(calls[[#This Row],[Date of Call]]),YEAR(calls[[#This Row],[Date of Call]])+1)</f>
        <v>2024</v>
      </c>
      <c r="I864" t="str">
        <f>TEXT(calls[[#This Row],[Date of Call]],"DDDD")</f>
        <v>Saturday</v>
      </c>
      <c r="J864" t="str" cm="1">
        <f t="array" ref="J864">_xlfn.IFS(calls[[#This Row],[Duration]]&lt;=10,"UNDER 10 MINS",calls[[#This Row],[Duration]]&lt;=30,"10 TO 30 MINS",calls[[#This Row],[Duration]]&lt;=60,"30 TO 60 MINS",calls[[#This Row],[Duration]]&lt;=120,"1 TO 2 HRS",TRUE,"MORE THAN 2 HRS")</f>
        <v>30 TO 60 MINS</v>
      </c>
      <c r="K864">
        <f>ROUND(calls[[#This Row],[Satisfaction Rating]],0)</f>
        <v>4</v>
      </c>
    </row>
    <row r="865" spans="1:11" x14ac:dyDescent="0.3">
      <c r="A865" s="41" t="s">
        <v>1916</v>
      </c>
      <c r="B865" s="10" t="s">
        <v>1109</v>
      </c>
      <c r="C865" s="10">
        <v>54</v>
      </c>
      <c r="D865" s="39" t="s">
        <v>1053</v>
      </c>
      <c r="E865" s="40">
        <v>45221</v>
      </c>
      <c r="F865" s="10">
        <v>120</v>
      </c>
      <c r="G865" s="42">
        <v>4.7</v>
      </c>
      <c r="H865">
        <f>IF(MONTH(calls[[#This Row],[Date of Call]])&lt;=6,YEAR(calls[[#This Row],[Date of Call]]),YEAR(calls[[#This Row],[Date of Call]])+1)</f>
        <v>2024</v>
      </c>
      <c r="I865" t="str">
        <f>TEXT(calls[[#This Row],[Date of Call]],"DDDD")</f>
        <v>Sunday</v>
      </c>
      <c r="J865" t="str" cm="1">
        <f t="array" ref="J865">_xlfn.IFS(calls[[#This Row],[Duration]]&lt;=10,"UNDER 10 MINS",calls[[#This Row],[Duration]]&lt;=30,"10 TO 30 MINS",calls[[#This Row],[Duration]]&lt;=60,"30 TO 60 MINS",calls[[#This Row],[Duration]]&lt;=120,"1 TO 2 HRS",TRUE,"MORE THAN 2 HRS")</f>
        <v>30 TO 60 MINS</v>
      </c>
      <c r="K865">
        <f>ROUND(calls[[#This Row],[Satisfaction Rating]],0)</f>
        <v>5</v>
      </c>
    </row>
    <row r="866" spans="1:11" x14ac:dyDescent="0.3">
      <c r="A866" s="41" t="s">
        <v>1917</v>
      </c>
      <c r="B866" s="10" t="s">
        <v>1040</v>
      </c>
      <c r="C866" s="10">
        <v>81</v>
      </c>
      <c r="D866" s="39" t="s">
        <v>1043</v>
      </c>
      <c r="E866" s="40">
        <v>45221</v>
      </c>
      <c r="F866" s="10">
        <v>117</v>
      </c>
      <c r="G866" s="42">
        <v>3.6</v>
      </c>
      <c r="H866">
        <f>IF(MONTH(calls[[#This Row],[Date of Call]])&lt;=6,YEAR(calls[[#This Row],[Date of Call]]),YEAR(calls[[#This Row],[Date of Call]])+1)</f>
        <v>2024</v>
      </c>
      <c r="I866" t="str">
        <f>TEXT(calls[[#This Row],[Date of Call]],"DDDD")</f>
        <v>Sunday</v>
      </c>
      <c r="J866" t="str" cm="1">
        <f t="array" ref="J866">_xlfn.IFS(calls[[#This Row],[Duration]]&lt;=10,"UNDER 10 MINS",calls[[#This Row],[Duration]]&lt;=30,"10 TO 30 MINS",calls[[#This Row],[Duration]]&lt;=60,"30 TO 60 MINS",calls[[#This Row],[Duration]]&lt;=120,"1 TO 2 HRS",TRUE,"MORE THAN 2 HRS")</f>
        <v>1 TO 2 HRS</v>
      </c>
      <c r="K866">
        <f>ROUND(calls[[#This Row],[Satisfaction Rating]],0)</f>
        <v>4</v>
      </c>
    </row>
    <row r="867" spans="1:11" x14ac:dyDescent="0.3">
      <c r="A867" s="41" t="s">
        <v>1918</v>
      </c>
      <c r="B867" s="10" t="s">
        <v>1109</v>
      </c>
      <c r="C867" s="10">
        <v>76</v>
      </c>
      <c r="D867" s="39" t="s">
        <v>1057</v>
      </c>
      <c r="E867" s="40">
        <v>45221</v>
      </c>
      <c r="F867" s="10">
        <v>80</v>
      </c>
      <c r="G867" s="42">
        <v>4.5</v>
      </c>
      <c r="H867">
        <f>IF(MONTH(calls[[#This Row],[Date of Call]])&lt;=6,YEAR(calls[[#This Row],[Date of Call]]),YEAR(calls[[#This Row],[Date of Call]])+1)</f>
        <v>2024</v>
      </c>
      <c r="I867" t="str">
        <f>TEXT(calls[[#This Row],[Date of Call]],"DDDD")</f>
        <v>Sunday</v>
      </c>
      <c r="J867" t="str" cm="1">
        <f t="array" ref="J867">_xlfn.IFS(calls[[#This Row],[Duration]]&lt;=10,"UNDER 10 MINS",calls[[#This Row],[Duration]]&lt;=30,"10 TO 30 MINS",calls[[#This Row],[Duration]]&lt;=60,"30 TO 60 MINS",calls[[#This Row],[Duration]]&lt;=120,"1 TO 2 HRS",TRUE,"MORE THAN 2 HRS")</f>
        <v>1 TO 2 HRS</v>
      </c>
      <c r="K867">
        <f>ROUND(calls[[#This Row],[Satisfaction Rating]],0)</f>
        <v>5</v>
      </c>
    </row>
    <row r="868" spans="1:11" x14ac:dyDescent="0.3">
      <c r="A868" s="41" t="s">
        <v>1919</v>
      </c>
      <c r="B868" s="10" t="s">
        <v>1109</v>
      </c>
      <c r="C868" s="10">
        <v>37</v>
      </c>
      <c r="D868" s="39" t="s">
        <v>1038</v>
      </c>
      <c r="E868" s="40">
        <v>45222</v>
      </c>
      <c r="F868" s="10">
        <v>117</v>
      </c>
      <c r="G868" s="42">
        <v>4</v>
      </c>
      <c r="H868">
        <f>IF(MONTH(calls[[#This Row],[Date of Call]])&lt;=6,YEAR(calls[[#This Row],[Date of Call]]),YEAR(calls[[#This Row],[Date of Call]])+1)</f>
        <v>2024</v>
      </c>
      <c r="I868" t="str">
        <f>TEXT(calls[[#This Row],[Date of Call]],"DDDD")</f>
        <v>Monday</v>
      </c>
      <c r="J868" t="str" cm="1">
        <f t="array" ref="J868">_xlfn.IFS(calls[[#This Row],[Duration]]&lt;=10,"UNDER 10 MINS",calls[[#This Row],[Duration]]&lt;=30,"10 TO 30 MINS",calls[[#This Row],[Duration]]&lt;=60,"30 TO 60 MINS",calls[[#This Row],[Duration]]&lt;=120,"1 TO 2 HRS",TRUE,"MORE THAN 2 HRS")</f>
        <v>30 TO 60 MINS</v>
      </c>
      <c r="K868">
        <f>ROUND(calls[[#This Row],[Satisfaction Rating]],0)</f>
        <v>4</v>
      </c>
    </row>
    <row r="869" spans="1:11" x14ac:dyDescent="0.3">
      <c r="A869" s="41" t="s">
        <v>1920</v>
      </c>
      <c r="B869" s="10" t="s">
        <v>1062</v>
      </c>
      <c r="C869" s="10">
        <v>96</v>
      </c>
      <c r="D869" s="39" t="s">
        <v>1053</v>
      </c>
      <c r="E869" s="40">
        <v>45222</v>
      </c>
      <c r="F869" s="10">
        <v>60</v>
      </c>
      <c r="G869" s="42">
        <v>4.5</v>
      </c>
      <c r="H869">
        <f>IF(MONTH(calls[[#This Row],[Date of Call]])&lt;=6,YEAR(calls[[#This Row],[Date of Call]]),YEAR(calls[[#This Row],[Date of Call]])+1)</f>
        <v>2024</v>
      </c>
      <c r="I869" t="str">
        <f>TEXT(calls[[#This Row],[Date of Call]],"DDDD")</f>
        <v>Monday</v>
      </c>
      <c r="J869" t="str" cm="1">
        <f t="array" ref="J869">_xlfn.IFS(calls[[#This Row],[Duration]]&lt;=10,"UNDER 10 MINS",calls[[#This Row],[Duration]]&lt;=30,"10 TO 30 MINS",calls[[#This Row],[Duration]]&lt;=60,"30 TO 60 MINS",calls[[#This Row],[Duration]]&lt;=120,"1 TO 2 HRS",TRUE,"MORE THAN 2 HRS")</f>
        <v>1 TO 2 HRS</v>
      </c>
      <c r="K869">
        <f>ROUND(calls[[#This Row],[Satisfaction Rating]],0)</f>
        <v>5</v>
      </c>
    </row>
    <row r="870" spans="1:11" x14ac:dyDescent="0.3">
      <c r="A870" s="41" t="s">
        <v>1921</v>
      </c>
      <c r="B870" s="10" t="s">
        <v>1047</v>
      </c>
      <c r="C870" s="10">
        <v>19</v>
      </c>
      <c r="D870" s="39" t="s">
        <v>1057</v>
      </c>
      <c r="E870" s="40">
        <v>45223</v>
      </c>
      <c r="F870" s="10">
        <v>58</v>
      </c>
      <c r="G870" s="42">
        <v>3.9</v>
      </c>
      <c r="H870">
        <f>IF(MONTH(calls[[#This Row],[Date of Call]])&lt;=6,YEAR(calls[[#This Row],[Date of Call]]),YEAR(calls[[#This Row],[Date of Call]])+1)</f>
        <v>2024</v>
      </c>
      <c r="I870" t="str">
        <f>TEXT(calls[[#This Row],[Date of Call]],"DDDD")</f>
        <v>Tuesday</v>
      </c>
      <c r="J870" t="str" cm="1">
        <f t="array" ref="J870">_xlfn.IFS(calls[[#This Row],[Duration]]&lt;=10,"UNDER 10 MINS",calls[[#This Row],[Duration]]&lt;=30,"10 TO 30 MINS",calls[[#This Row],[Duration]]&lt;=60,"30 TO 60 MINS",calls[[#This Row],[Duration]]&lt;=120,"1 TO 2 HRS",TRUE,"MORE THAN 2 HRS")</f>
        <v>10 TO 30 MINS</v>
      </c>
      <c r="K870">
        <f>ROUND(calls[[#This Row],[Satisfaction Rating]],0)</f>
        <v>4</v>
      </c>
    </row>
    <row r="871" spans="1:11" x14ac:dyDescent="0.3">
      <c r="A871" s="41" t="s">
        <v>1922</v>
      </c>
      <c r="B871" s="10" t="s">
        <v>1079</v>
      </c>
      <c r="C871" s="10">
        <v>72</v>
      </c>
      <c r="D871" s="39" t="s">
        <v>1038</v>
      </c>
      <c r="E871" s="40">
        <v>45223</v>
      </c>
      <c r="F871" s="10">
        <v>41</v>
      </c>
      <c r="G871" s="42">
        <v>4.3</v>
      </c>
      <c r="H871">
        <f>IF(MONTH(calls[[#This Row],[Date of Call]])&lt;=6,YEAR(calls[[#This Row],[Date of Call]]),YEAR(calls[[#This Row],[Date of Call]])+1)</f>
        <v>2024</v>
      </c>
      <c r="I871" t="str">
        <f>TEXT(calls[[#This Row],[Date of Call]],"DDDD")</f>
        <v>Tuesday</v>
      </c>
      <c r="J871" t="str" cm="1">
        <f t="array" ref="J871">_xlfn.IFS(calls[[#This Row],[Duration]]&lt;=10,"UNDER 10 MINS",calls[[#This Row],[Duration]]&lt;=30,"10 TO 30 MINS",calls[[#This Row],[Duration]]&lt;=60,"30 TO 60 MINS",calls[[#This Row],[Duration]]&lt;=120,"1 TO 2 HRS",TRUE,"MORE THAN 2 HRS")</f>
        <v>1 TO 2 HRS</v>
      </c>
      <c r="K871">
        <f>ROUND(calls[[#This Row],[Satisfaction Rating]],0)</f>
        <v>4</v>
      </c>
    </row>
    <row r="872" spans="1:11" x14ac:dyDescent="0.3">
      <c r="A872" s="41" t="s">
        <v>1923</v>
      </c>
      <c r="B872" s="10" t="s">
        <v>1045</v>
      </c>
      <c r="C872" s="10">
        <v>73</v>
      </c>
      <c r="D872" s="39" t="s">
        <v>1043</v>
      </c>
      <c r="E872" s="40">
        <v>45223</v>
      </c>
      <c r="F872" s="10">
        <v>180</v>
      </c>
      <c r="G872" s="42">
        <v>3.6</v>
      </c>
      <c r="H872">
        <f>IF(MONTH(calls[[#This Row],[Date of Call]])&lt;=6,YEAR(calls[[#This Row],[Date of Call]]),YEAR(calls[[#This Row],[Date of Call]])+1)</f>
        <v>2024</v>
      </c>
      <c r="I872" t="str">
        <f>TEXT(calls[[#This Row],[Date of Call]],"DDDD")</f>
        <v>Tuesday</v>
      </c>
      <c r="J872" t="str" cm="1">
        <f t="array" ref="J872">_xlfn.IFS(calls[[#This Row],[Duration]]&lt;=10,"UNDER 10 MINS",calls[[#This Row],[Duration]]&lt;=30,"10 TO 30 MINS",calls[[#This Row],[Duration]]&lt;=60,"30 TO 60 MINS",calls[[#This Row],[Duration]]&lt;=120,"1 TO 2 HRS",TRUE,"MORE THAN 2 HRS")</f>
        <v>1 TO 2 HRS</v>
      </c>
      <c r="K872">
        <f>ROUND(calls[[#This Row],[Satisfaction Rating]],0)</f>
        <v>4</v>
      </c>
    </row>
    <row r="873" spans="1:11" x14ac:dyDescent="0.3">
      <c r="A873" s="41" t="s">
        <v>1924</v>
      </c>
      <c r="B873" s="10" t="s">
        <v>1089</v>
      </c>
      <c r="C873" s="10">
        <v>87</v>
      </c>
      <c r="D873" s="39" t="s">
        <v>1043</v>
      </c>
      <c r="E873" s="40">
        <v>45223</v>
      </c>
      <c r="F873" s="10">
        <v>42</v>
      </c>
      <c r="G873" s="42">
        <v>3.6</v>
      </c>
      <c r="H873">
        <f>IF(MONTH(calls[[#This Row],[Date of Call]])&lt;=6,YEAR(calls[[#This Row],[Date of Call]]),YEAR(calls[[#This Row],[Date of Call]])+1)</f>
        <v>2024</v>
      </c>
      <c r="I873" t="str">
        <f>TEXT(calls[[#This Row],[Date of Call]],"DDDD")</f>
        <v>Tuesday</v>
      </c>
      <c r="J873" t="str" cm="1">
        <f t="array" ref="J873">_xlfn.IFS(calls[[#This Row],[Duration]]&lt;=10,"UNDER 10 MINS",calls[[#This Row],[Duration]]&lt;=30,"10 TO 30 MINS",calls[[#This Row],[Duration]]&lt;=60,"30 TO 60 MINS",calls[[#This Row],[Duration]]&lt;=120,"1 TO 2 HRS",TRUE,"MORE THAN 2 HRS")</f>
        <v>1 TO 2 HRS</v>
      </c>
      <c r="K873">
        <f>ROUND(calls[[#This Row],[Satisfaction Rating]],0)</f>
        <v>4</v>
      </c>
    </row>
    <row r="874" spans="1:11" x14ac:dyDescent="0.3">
      <c r="A874" s="41" t="s">
        <v>1925</v>
      </c>
      <c r="B874" s="10" t="s">
        <v>1089</v>
      </c>
      <c r="C874" s="10">
        <v>68</v>
      </c>
      <c r="D874" s="39" t="s">
        <v>1043</v>
      </c>
      <c r="E874" s="40">
        <v>45224</v>
      </c>
      <c r="F874" s="10">
        <v>24</v>
      </c>
      <c r="G874" s="42">
        <v>4</v>
      </c>
      <c r="H874">
        <f>IF(MONTH(calls[[#This Row],[Date of Call]])&lt;=6,YEAR(calls[[#This Row],[Date of Call]]),YEAR(calls[[#This Row],[Date of Call]])+1)</f>
        <v>2024</v>
      </c>
      <c r="I874" t="str">
        <f>TEXT(calls[[#This Row],[Date of Call]],"DDDD")</f>
        <v>Wednesday</v>
      </c>
      <c r="J874" t="str" cm="1">
        <f t="array" ref="J874">_xlfn.IFS(calls[[#This Row],[Duration]]&lt;=10,"UNDER 10 MINS",calls[[#This Row],[Duration]]&lt;=30,"10 TO 30 MINS",calls[[#This Row],[Duration]]&lt;=60,"30 TO 60 MINS",calls[[#This Row],[Duration]]&lt;=120,"1 TO 2 HRS",TRUE,"MORE THAN 2 HRS")</f>
        <v>1 TO 2 HRS</v>
      </c>
      <c r="K874">
        <f>ROUND(calls[[#This Row],[Satisfaction Rating]],0)</f>
        <v>4</v>
      </c>
    </row>
    <row r="875" spans="1:11" x14ac:dyDescent="0.3">
      <c r="A875" s="41" t="s">
        <v>1926</v>
      </c>
      <c r="B875" s="10" t="s">
        <v>1079</v>
      </c>
      <c r="C875" s="10">
        <v>101</v>
      </c>
      <c r="D875" s="39" t="s">
        <v>1043</v>
      </c>
      <c r="E875" s="40">
        <v>45224</v>
      </c>
      <c r="F875" s="10">
        <v>125</v>
      </c>
      <c r="G875" s="42">
        <v>4.2</v>
      </c>
      <c r="H875">
        <f>IF(MONTH(calls[[#This Row],[Date of Call]])&lt;=6,YEAR(calls[[#This Row],[Date of Call]]),YEAR(calls[[#This Row],[Date of Call]])+1)</f>
        <v>2024</v>
      </c>
      <c r="I875" t="str">
        <f>TEXT(calls[[#This Row],[Date of Call]],"DDDD")</f>
        <v>Wednesday</v>
      </c>
      <c r="J875" t="str" cm="1">
        <f t="array" ref="J875">_xlfn.IFS(calls[[#This Row],[Duration]]&lt;=10,"UNDER 10 MINS",calls[[#This Row],[Duration]]&lt;=30,"10 TO 30 MINS",calls[[#This Row],[Duration]]&lt;=60,"30 TO 60 MINS",calls[[#This Row],[Duration]]&lt;=120,"1 TO 2 HRS",TRUE,"MORE THAN 2 HRS")</f>
        <v>1 TO 2 HRS</v>
      </c>
      <c r="K875">
        <f>ROUND(calls[[#This Row],[Satisfaction Rating]],0)</f>
        <v>4</v>
      </c>
    </row>
    <row r="876" spans="1:11" x14ac:dyDescent="0.3">
      <c r="A876" s="41" t="s">
        <v>1927</v>
      </c>
      <c r="B876" s="10" t="s">
        <v>1079</v>
      </c>
      <c r="C876" s="10">
        <v>107</v>
      </c>
      <c r="D876" s="39" t="s">
        <v>1038</v>
      </c>
      <c r="E876" s="40">
        <v>45225</v>
      </c>
      <c r="F876" s="10">
        <v>78</v>
      </c>
      <c r="G876" s="42">
        <v>4.3</v>
      </c>
      <c r="H876">
        <f>IF(MONTH(calls[[#This Row],[Date of Call]])&lt;=6,YEAR(calls[[#This Row],[Date of Call]]),YEAR(calls[[#This Row],[Date of Call]])+1)</f>
        <v>2024</v>
      </c>
      <c r="I876" t="str">
        <f>TEXT(calls[[#This Row],[Date of Call]],"DDDD")</f>
        <v>Thursday</v>
      </c>
      <c r="J876" t="str" cm="1">
        <f t="array" ref="J876">_xlfn.IFS(calls[[#This Row],[Duration]]&lt;=10,"UNDER 10 MINS",calls[[#This Row],[Duration]]&lt;=30,"10 TO 30 MINS",calls[[#This Row],[Duration]]&lt;=60,"30 TO 60 MINS",calls[[#This Row],[Duration]]&lt;=120,"1 TO 2 HRS",TRUE,"MORE THAN 2 HRS")</f>
        <v>1 TO 2 HRS</v>
      </c>
      <c r="K876">
        <f>ROUND(calls[[#This Row],[Satisfaction Rating]],0)</f>
        <v>4</v>
      </c>
    </row>
    <row r="877" spans="1:11" x14ac:dyDescent="0.3">
      <c r="A877" s="41" t="s">
        <v>1928</v>
      </c>
      <c r="B877" s="10" t="s">
        <v>1068</v>
      </c>
      <c r="C877" s="10">
        <v>109</v>
      </c>
      <c r="D877" s="39" t="s">
        <v>1048</v>
      </c>
      <c r="E877" s="40">
        <v>45225</v>
      </c>
      <c r="F877" s="10">
        <v>180</v>
      </c>
      <c r="G877" s="42">
        <v>3.8</v>
      </c>
      <c r="H877">
        <f>IF(MONTH(calls[[#This Row],[Date of Call]])&lt;=6,YEAR(calls[[#This Row],[Date of Call]]),YEAR(calls[[#This Row],[Date of Call]])+1)</f>
        <v>2024</v>
      </c>
      <c r="I877" t="str">
        <f>TEXT(calls[[#This Row],[Date of Call]],"DDDD")</f>
        <v>Thursday</v>
      </c>
      <c r="J877" t="str" cm="1">
        <f t="array" ref="J877">_xlfn.IFS(calls[[#This Row],[Duration]]&lt;=10,"UNDER 10 MINS",calls[[#This Row],[Duration]]&lt;=30,"10 TO 30 MINS",calls[[#This Row],[Duration]]&lt;=60,"30 TO 60 MINS",calls[[#This Row],[Duration]]&lt;=120,"1 TO 2 HRS",TRUE,"MORE THAN 2 HRS")</f>
        <v>1 TO 2 HRS</v>
      </c>
      <c r="K877">
        <f>ROUND(calls[[#This Row],[Satisfaction Rating]],0)</f>
        <v>4</v>
      </c>
    </row>
    <row r="878" spans="1:11" x14ac:dyDescent="0.3">
      <c r="A878" s="41" t="s">
        <v>1929</v>
      </c>
      <c r="B878" s="10" t="s">
        <v>1060</v>
      </c>
      <c r="C878" s="10">
        <v>171</v>
      </c>
      <c r="D878" s="39" t="s">
        <v>1038</v>
      </c>
      <c r="E878" s="40">
        <v>45225</v>
      </c>
      <c r="F878" s="10">
        <v>84</v>
      </c>
      <c r="G878" s="42">
        <v>4.4000000000000004</v>
      </c>
      <c r="H878">
        <f>IF(MONTH(calls[[#This Row],[Date of Call]])&lt;=6,YEAR(calls[[#This Row],[Date of Call]]),YEAR(calls[[#This Row],[Date of Call]])+1)</f>
        <v>2024</v>
      </c>
      <c r="I878" t="str">
        <f>TEXT(calls[[#This Row],[Date of Call]],"DDDD")</f>
        <v>Thursday</v>
      </c>
      <c r="J878" t="str" cm="1">
        <f t="array" ref="J878">_xlfn.IFS(calls[[#This Row],[Duration]]&lt;=10,"UNDER 10 MINS",calls[[#This Row],[Duration]]&lt;=30,"10 TO 30 MINS",calls[[#This Row],[Duration]]&lt;=60,"30 TO 60 MINS",calls[[#This Row],[Duration]]&lt;=120,"1 TO 2 HRS",TRUE,"MORE THAN 2 HRS")</f>
        <v>MORE THAN 2 HRS</v>
      </c>
      <c r="K878">
        <f>ROUND(calls[[#This Row],[Satisfaction Rating]],0)</f>
        <v>4</v>
      </c>
    </row>
    <row r="879" spans="1:11" x14ac:dyDescent="0.3">
      <c r="A879" s="41" t="s">
        <v>1930</v>
      </c>
      <c r="B879" s="10" t="s">
        <v>1047</v>
      </c>
      <c r="C879" s="10">
        <v>21</v>
      </c>
      <c r="D879" s="39" t="s">
        <v>1038</v>
      </c>
      <c r="E879" s="40">
        <v>45225</v>
      </c>
      <c r="F879" s="10">
        <v>26</v>
      </c>
      <c r="G879" s="42">
        <v>4.7</v>
      </c>
      <c r="H879">
        <f>IF(MONTH(calls[[#This Row],[Date of Call]])&lt;=6,YEAR(calls[[#This Row],[Date of Call]]),YEAR(calls[[#This Row],[Date of Call]])+1)</f>
        <v>2024</v>
      </c>
      <c r="I879" t="str">
        <f>TEXT(calls[[#This Row],[Date of Call]],"DDDD")</f>
        <v>Thursday</v>
      </c>
      <c r="J879" t="str" cm="1">
        <f t="array" ref="J879">_xlfn.IFS(calls[[#This Row],[Duration]]&lt;=10,"UNDER 10 MINS",calls[[#This Row],[Duration]]&lt;=30,"10 TO 30 MINS",calls[[#This Row],[Duration]]&lt;=60,"30 TO 60 MINS",calls[[#This Row],[Duration]]&lt;=120,"1 TO 2 HRS",TRUE,"MORE THAN 2 HRS")</f>
        <v>10 TO 30 MINS</v>
      </c>
      <c r="K879">
        <f>ROUND(calls[[#This Row],[Satisfaction Rating]],0)</f>
        <v>5</v>
      </c>
    </row>
    <row r="880" spans="1:11" x14ac:dyDescent="0.3">
      <c r="A880" s="41" t="s">
        <v>1931</v>
      </c>
      <c r="B880" s="10" t="s">
        <v>1040</v>
      </c>
      <c r="C880" s="10">
        <v>94</v>
      </c>
      <c r="D880" s="39" t="s">
        <v>1038</v>
      </c>
      <c r="E880" s="40">
        <v>45226</v>
      </c>
      <c r="F880" s="10">
        <v>140</v>
      </c>
      <c r="G880" s="42">
        <v>3.6</v>
      </c>
      <c r="H880">
        <f>IF(MONTH(calls[[#This Row],[Date of Call]])&lt;=6,YEAR(calls[[#This Row],[Date of Call]]),YEAR(calls[[#This Row],[Date of Call]])+1)</f>
        <v>2024</v>
      </c>
      <c r="I880" t="str">
        <f>TEXT(calls[[#This Row],[Date of Call]],"DDDD")</f>
        <v>Friday</v>
      </c>
      <c r="J880" t="str" cm="1">
        <f t="array" ref="J880">_xlfn.IFS(calls[[#This Row],[Duration]]&lt;=10,"UNDER 10 MINS",calls[[#This Row],[Duration]]&lt;=30,"10 TO 30 MINS",calls[[#This Row],[Duration]]&lt;=60,"30 TO 60 MINS",calls[[#This Row],[Duration]]&lt;=120,"1 TO 2 HRS",TRUE,"MORE THAN 2 HRS")</f>
        <v>1 TO 2 HRS</v>
      </c>
      <c r="K880">
        <f>ROUND(calls[[#This Row],[Satisfaction Rating]],0)</f>
        <v>4</v>
      </c>
    </row>
    <row r="881" spans="1:11" x14ac:dyDescent="0.3">
      <c r="A881" s="41" t="s">
        <v>1932</v>
      </c>
      <c r="B881" s="10" t="s">
        <v>1045</v>
      </c>
      <c r="C881" s="10">
        <v>97</v>
      </c>
      <c r="D881" s="39" t="s">
        <v>1048</v>
      </c>
      <c r="E881" s="40">
        <v>45226</v>
      </c>
      <c r="F881" s="10">
        <v>31</v>
      </c>
      <c r="G881" s="42">
        <v>2.2000000000000002</v>
      </c>
      <c r="H881">
        <f>IF(MONTH(calls[[#This Row],[Date of Call]])&lt;=6,YEAR(calls[[#This Row],[Date of Call]]),YEAR(calls[[#This Row],[Date of Call]])+1)</f>
        <v>2024</v>
      </c>
      <c r="I881" t="str">
        <f>TEXT(calls[[#This Row],[Date of Call]],"DDDD")</f>
        <v>Friday</v>
      </c>
      <c r="J881" t="str" cm="1">
        <f t="array" ref="J881">_xlfn.IFS(calls[[#This Row],[Duration]]&lt;=10,"UNDER 10 MINS",calls[[#This Row],[Duration]]&lt;=30,"10 TO 30 MINS",calls[[#This Row],[Duration]]&lt;=60,"30 TO 60 MINS",calls[[#This Row],[Duration]]&lt;=120,"1 TO 2 HRS",TRUE,"MORE THAN 2 HRS")</f>
        <v>1 TO 2 HRS</v>
      </c>
      <c r="K881">
        <f>ROUND(calls[[#This Row],[Satisfaction Rating]],0)</f>
        <v>2</v>
      </c>
    </row>
    <row r="882" spans="1:11" x14ac:dyDescent="0.3">
      <c r="A882" s="41" t="s">
        <v>1933</v>
      </c>
      <c r="B882" s="10" t="s">
        <v>1062</v>
      </c>
      <c r="C882" s="10">
        <v>72</v>
      </c>
      <c r="D882" s="39" t="s">
        <v>1048</v>
      </c>
      <c r="E882" s="40">
        <v>45226</v>
      </c>
      <c r="F882" s="10">
        <v>108</v>
      </c>
      <c r="G882" s="42">
        <v>4.8</v>
      </c>
      <c r="H882">
        <f>IF(MONTH(calls[[#This Row],[Date of Call]])&lt;=6,YEAR(calls[[#This Row],[Date of Call]]),YEAR(calls[[#This Row],[Date of Call]])+1)</f>
        <v>2024</v>
      </c>
      <c r="I882" t="str">
        <f>TEXT(calls[[#This Row],[Date of Call]],"DDDD")</f>
        <v>Friday</v>
      </c>
      <c r="J882" t="str" cm="1">
        <f t="array" ref="J882">_xlfn.IFS(calls[[#This Row],[Duration]]&lt;=10,"UNDER 10 MINS",calls[[#This Row],[Duration]]&lt;=30,"10 TO 30 MINS",calls[[#This Row],[Duration]]&lt;=60,"30 TO 60 MINS",calls[[#This Row],[Duration]]&lt;=120,"1 TO 2 HRS",TRUE,"MORE THAN 2 HRS")</f>
        <v>1 TO 2 HRS</v>
      </c>
      <c r="K882">
        <f>ROUND(calls[[#This Row],[Satisfaction Rating]],0)</f>
        <v>5</v>
      </c>
    </row>
    <row r="883" spans="1:11" x14ac:dyDescent="0.3">
      <c r="A883" s="41" t="s">
        <v>1934</v>
      </c>
      <c r="B883" s="10" t="s">
        <v>1060</v>
      </c>
      <c r="C883" s="10">
        <v>143</v>
      </c>
      <c r="D883" s="39" t="s">
        <v>1053</v>
      </c>
      <c r="E883" s="40">
        <v>45227</v>
      </c>
      <c r="F883" s="10">
        <v>58</v>
      </c>
      <c r="G883" s="42">
        <v>4.3</v>
      </c>
      <c r="H883">
        <f>IF(MONTH(calls[[#This Row],[Date of Call]])&lt;=6,YEAR(calls[[#This Row],[Date of Call]]),YEAR(calls[[#This Row],[Date of Call]])+1)</f>
        <v>2024</v>
      </c>
      <c r="I883" t="str">
        <f>TEXT(calls[[#This Row],[Date of Call]],"DDDD")</f>
        <v>Saturday</v>
      </c>
      <c r="J883" t="str" cm="1">
        <f t="array" ref="J883">_xlfn.IFS(calls[[#This Row],[Duration]]&lt;=10,"UNDER 10 MINS",calls[[#This Row],[Duration]]&lt;=30,"10 TO 30 MINS",calls[[#This Row],[Duration]]&lt;=60,"30 TO 60 MINS",calls[[#This Row],[Duration]]&lt;=120,"1 TO 2 HRS",TRUE,"MORE THAN 2 HRS")</f>
        <v>MORE THAN 2 HRS</v>
      </c>
      <c r="K883">
        <f>ROUND(calls[[#This Row],[Satisfaction Rating]],0)</f>
        <v>4</v>
      </c>
    </row>
    <row r="884" spans="1:11" x14ac:dyDescent="0.3">
      <c r="A884" s="41" t="s">
        <v>1935</v>
      </c>
      <c r="B884" s="10" t="s">
        <v>1060</v>
      </c>
      <c r="C884" s="10">
        <v>64</v>
      </c>
      <c r="D884" s="39" t="s">
        <v>1048</v>
      </c>
      <c r="E884" s="40">
        <v>45227</v>
      </c>
      <c r="F884" s="10">
        <v>185</v>
      </c>
      <c r="G884" s="42">
        <v>2.2000000000000002</v>
      </c>
      <c r="H884">
        <f>IF(MONTH(calls[[#This Row],[Date of Call]])&lt;=6,YEAR(calls[[#This Row],[Date of Call]]),YEAR(calls[[#This Row],[Date of Call]])+1)</f>
        <v>2024</v>
      </c>
      <c r="I884" t="str">
        <f>TEXT(calls[[#This Row],[Date of Call]],"DDDD")</f>
        <v>Saturday</v>
      </c>
      <c r="J884" t="str" cm="1">
        <f t="array" ref="J884">_xlfn.IFS(calls[[#This Row],[Duration]]&lt;=10,"UNDER 10 MINS",calls[[#This Row],[Duration]]&lt;=30,"10 TO 30 MINS",calls[[#This Row],[Duration]]&lt;=60,"30 TO 60 MINS",calls[[#This Row],[Duration]]&lt;=120,"1 TO 2 HRS",TRUE,"MORE THAN 2 HRS")</f>
        <v>1 TO 2 HRS</v>
      </c>
      <c r="K884">
        <f>ROUND(calls[[#This Row],[Satisfaction Rating]],0)</f>
        <v>2</v>
      </c>
    </row>
    <row r="885" spans="1:11" x14ac:dyDescent="0.3">
      <c r="A885" s="41" t="s">
        <v>1936</v>
      </c>
      <c r="B885" s="10" t="s">
        <v>1060</v>
      </c>
      <c r="C885" s="10">
        <v>69</v>
      </c>
      <c r="D885" s="39" t="s">
        <v>1048</v>
      </c>
      <c r="E885" s="40">
        <v>45227</v>
      </c>
      <c r="F885" s="10">
        <v>40</v>
      </c>
      <c r="G885" s="42">
        <v>4.8</v>
      </c>
      <c r="H885">
        <f>IF(MONTH(calls[[#This Row],[Date of Call]])&lt;=6,YEAR(calls[[#This Row],[Date of Call]]),YEAR(calls[[#This Row],[Date of Call]])+1)</f>
        <v>2024</v>
      </c>
      <c r="I885" t="str">
        <f>TEXT(calls[[#This Row],[Date of Call]],"DDDD")</f>
        <v>Saturday</v>
      </c>
      <c r="J885" t="str" cm="1">
        <f t="array" ref="J885">_xlfn.IFS(calls[[#This Row],[Duration]]&lt;=10,"UNDER 10 MINS",calls[[#This Row],[Duration]]&lt;=30,"10 TO 30 MINS",calls[[#This Row],[Duration]]&lt;=60,"30 TO 60 MINS",calls[[#This Row],[Duration]]&lt;=120,"1 TO 2 HRS",TRUE,"MORE THAN 2 HRS")</f>
        <v>1 TO 2 HRS</v>
      </c>
      <c r="K885">
        <f>ROUND(calls[[#This Row],[Satisfaction Rating]],0)</f>
        <v>5</v>
      </c>
    </row>
    <row r="886" spans="1:11" x14ac:dyDescent="0.3">
      <c r="A886" s="41" t="s">
        <v>1937</v>
      </c>
      <c r="B886" s="10" t="s">
        <v>1060</v>
      </c>
      <c r="C886" s="10">
        <v>18</v>
      </c>
      <c r="D886" s="39" t="s">
        <v>1057</v>
      </c>
      <c r="E886" s="40">
        <v>45227</v>
      </c>
      <c r="F886" s="10">
        <v>225</v>
      </c>
      <c r="G886" s="42">
        <v>2.6</v>
      </c>
      <c r="H886">
        <f>IF(MONTH(calls[[#This Row],[Date of Call]])&lt;=6,YEAR(calls[[#This Row],[Date of Call]]),YEAR(calls[[#This Row],[Date of Call]])+1)</f>
        <v>2024</v>
      </c>
      <c r="I886" t="str">
        <f>TEXT(calls[[#This Row],[Date of Call]],"DDDD")</f>
        <v>Saturday</v>
      </c>
      <c r="J886" t="str" cm="1">
        <f t="array" ref="J886">_xlfn.IFS(calls[[#This Row],[Duration]]&lt;=10,"UNDER 10 MINS",calls[[#This Row],[Duration]]&lt;=30,"10 TO 30 MINS",calls[[#This Row],[Duration]]&lt;=60,"30 TO 60 MINS",calls[[#This Row],[Duration]]&lt;=120,"1 TO 2 HRS",TRUE,"MORE THAN 2 HRS")</f>
        <v>10 TO 30 MINS</v>
      </c>
      <c r="K886">
        <f>ROUND(calls[[#This Row],[Satisfaction Rating]],0)</f>
        <v>3</v>
      </c>
    </row>
    <row r="887" spans="1:11" x14ac:dyDescent="0.3">
      <c r="A887" s="41" t="s">
        <v>1938</v>
      </c>
      <c r="B887" s="10" t="s">
        <v>1045</v>
      </c>
      <c r="C887" s="10">
        <v>100</v>
      </c>
      <c r="D887" s="39" t="s">
        <v>1053</v>
      </c>
      <c r="E887" s="40">
        <v>45227</v>
      </c>
      <c r="F887" s="10">
        <v>150</v>
      </c>
      <c r="G887" s="42">
        <v>2.6</v>
      </c>
      <c r="H887">
        <f>IF(MONTH(calls[[#This Row],[Date of Call]])&lt;=6,YEAR(calls[[#This Row],[Date of Call]]),YEAR(calls[[#This Row],[Date of Call]])+1)</f>
        <v>2024</v>
      </c>
      <c r="I887" t="str">
        <f>TEXT(calls[[#This Row],[Date of Call]],"DDDD")</f>
        <v>Saturday</v>
      </c>
      <c r="J887" t="str" cm="1">
        <f t="array" ref="J887">_xlfn.IFS(calls[[#This Row],[Duration]]&lt;=10,"UNDER 10 MINS",calls[[#This Row],[Duration]]&lt;=30,"10 TO 30 MINS",calls[[#This Row],[Duration]]&lt;=60,"30 TO 60 MINS",calls[[#This Row],[Duration]]&lt;=120,"1 TO 2 HRS",TRUE,"MORE THAN 2 HRS")</f>
        <v>1 TO 2 HRS</v>
      </c>
      <c r="K887">
        <f>ROUND(calls[[#This Row],[Satisfaction Rating]],0)</f>
        <v>3</v>
      </c>
    </row>
    <row r="888" spans="1:11" x14ac:dyDescent="0.3">
      <c r="A888" s="41" t="s">
        <v>1939</v>
      </c>
      <c r="B888" s="10" t="s">
        <v>1056</v>
      </c>
      <c r="C888" s="10">
        <v>110</v>
      </c>
      <c r="D888" s="39" t="s">
        <v>1043</v>
      </c>
      <c r="E888" s="40">
        <v>45228</v>
      </c>
      <c r="F888" s="10">
        <v>88</v>
      </c>
      <c r="G888" s="42">
        <v>3.4</v>
      </c>
      <c r="H888">
        <f>IF(MONTH(calls[[#This Row],[Date of Call]])&lt;=6,YEAR(calls[[#This Row],[Date of Call]]),YEAR(calls[[#This Row],[Date of Call]])+1)</f>
        <v>2024</v>
      </c>
      <c r="I888" t="str">
        <f>TEXT(calls[[#This Row],[Date of Call]],"DDDD")</f>
        <v>Sunday</v>
      </c>
      <c r="J888" t="str" cm="1">
        <f t="array" ref="J888">_xlfn.IFS(calls[[#This Row],[Duration]]&lt;=10,"UNDER 10 MINS",calls[[#This Row],[Duration]]&lt;=30,"10 TO 30 MINS",calls[[#This Row],[Duration]]&lt;=60,"30 TO 60 MINS",calls[[#This Row],[Duration]]&lt;=120,"1 TO 2 HRS",TRUE,"MORE THAN 2 HRS")</f>
        <v>1 TO 2 HRS</v>
      </c>
      <c r="K888">
        <f>ROUND(calls[[#This Row],[Satisfaction Rating]],0)</f>
        <v>3</v>
      </c>
    </row>
    <row r="889" spans="1:11" x14ac:dyDescent="0.3">
      <c r="A889" s="41" t="s">
        <v>1940</v>
      </c>
      <c r="B889" s="10" t="s">
        <v>1071</v>
      </c>
      <c r="C889" s="10">
        <v>41</v>
      </c>
      <c r="D889" s="39" t="s">
        <v>1038</v>
      </c>
      <c r="E889" s="40">
        <v>45228</v>
      </c>
      <c r="F889" s="10">
        <v>140</v>
      </c>
      <c r="G889" s="42">
        <v>3.7</v>
      </c>
      <c r="H889">
        <f>IF(MONTH(calls[[#This Row],[Date of Call]])&lt;=6,YEAR(calls[[#This Row],[Date of Call]]),YEAR(calls[[#This Row],[Date of Call]])+1)</f>
        <v>2024</v>
      </c>
      <c r="I889" t="str">
        <f>TEXT(calls[[#This Row],[Date of Call]],"DDDD")</f>
        <v>Sunday</v>
      </c>
      <c r="J889" t="str" cm="1">
        <f t="array" ref="J889">_xlfn.IFS(calls[[#This Row],[Duration]]&lt;=10,"UNDER 10 MINS",calls[[#This Row],[Duration]]&lt;=30,"10 TO 30 MINS",calls[[#This Row],[Duration]]&lt;=60,"30 TO 60 MINS",calls[[#This Row],[Duration]]&lt;=120,"1 TO 2 HRS",TRUE,"MORE THAN 2 HRS")</f>
        <v>30 TO 60 MINS</v>
      </c>
      <c r="K889">
        <f>ROUND(calls[[#This Row],[Satisfaction Rating]],0)</f>
        <v>4</v>
      </c>
    </row>
    <row r="890" spans="1:11" x14ac:dyDescent="0.3">
      <c r="A890" s="41" t="s">
        <v>1941</v>
      </c>
      <c r="B890" s="10" t="s">
        <v>1056</v>
      </c>
      <c r="C890" s="10">
        <v>147</v>
      </c>
      <c r="D890" s="39" t="s">
        <v>1043</v>
      </c>
      <c r="E890" s="40">
        <v>45228</v>
      </c>
      <c r="F890" s="10">
        <v>68</v>
      </c>
      <c r="G890" s="42">
        <v>2.1</v>
      </c>
      <c r="H890">
        <f>IF(MONTH(calls[[#This Row],[Date of Call]])&lt;=6,YEAR(calls[[#This Row],[Date of Call]]),YEAR(calls[[#This Row],[Date of Call]])+1)</f>
        <v>2024</v>
      </c>
      <c r="I890" t="str">
        <f>TEXT(calls[[#This Row],[Date of Call]],"DDDD")</f>
        <v>Sunday</v>
      </c>
      <c r="J890" t="str" cm="1">
        <f t="array" ref="J890">_xlfn.IFS(calls[[#This Row],[Duration]]&lt;=10,"UNDER 10 MINS",calls[[#This Row],[Duration]]&lt;=30,"10 TO 30 MINS",calls[[#This Row],[Duration]]&lt;=60,"30 TO 60 MINS",calls[[#This Row],[Duration]]&lt;=120,"1 TO 2 HRS",TRUE,"MORE THAN 2 HRS")</f>
        <v>MORE THAN 2 HRS</v>
      </c>
      <c r="K890">
        <f>ROUND(calls[[#This Row],[Satisfaction Rating]],0)</f>
        <v>2</v>
      </c>
    </row>
    <row r="891" spans="1:11" x14ac:dyDescent="0.3">
      <c r="A891" s="41" t="s">
        <v>1942</v>
      </c>
      <c r="B891" s="10" t="s">
        <v>1040</v>
      </c>
      <c r="C891" s="10">
        <v>31</v>
      </c>
      <c r="D891" s="39" t="s">
        <v>1057</v>
      </c>
      <c r="E891" s="40">
        <v>45229</v>
      </c>
      <c r="F891" s="10">
        <v>105</v>
      </c>
      <c r="G891" s="42">
        <v>3.6</v>
      </c>
      <c r="H891">
        <f>IF(MONTH(calls[[#This Row],[Date of Call]])&lt;=6,YEAR(calls[[#This Row],[Date of Call]]),YEAR(calls[[#This Row],[Date of Call]])+1)</f>
        <v>2024</v>
      </c>
      <c r="I891" t="str">
        <f>TEXT(calls[[#This Row],[Date of Call]],"DDDD")</f>
        <v>Monday</v>
      </c>
      <c r="J891" t="str" cm="1">
        <f t="array" ref="J891">_xlfn.IFS(calls[[#This Row],[Duration]]&lt;=10,"UNDER 10 MINS",calls[[#This Row],[Duration]]&lt;=30,"10 TO 30 MINS",calls[[#This Row],[Duration]]&lt;=60,"30 TO 60 MINS",calls[[#This Row],[Duration]]&lt;=120,"1 TO 2 HRS",TRUE,"MORE THAN 2 HRS")</f>
        <v>30 TO 60 MINS</v>
      </c>
      <c r="K891">
        <f>ROUND(calls[[#This Row],[Satisfaction Rating]],0)</f>
        <v>4</v>
      </c>
    </row>
    <row r="892" spans="1:11" x14ac:dyDescent="0.3">
      <c r="A892" s="41" t="s">
        <v>1943</v>
      </c>
      <c r="B892" s="10" t="s">
        <v>1089</v>
      </c>
      <c r="C892" s="10">
        <v>142</v>
      </c>
      <c r="D892" s="39" t="s">
        <v>1038</v>
      </c>
      <c r="E892" s="40">
        <v>45229</v>
      </c>
      <c r="F892" s="10">
        <v>40</v>
      </c>
      <c r="G892" s="42">
        <v>3.8</v>
      </c>
      <c r="H892">
        <f>IF(MONTH(calls[[#This Row],[Date of Call]])&lt;=6,YEAR(calls[[#This Row],[Date of Call]]),YEAR(calls[[#This Row],[Date of Call]])+1)</f>
        <v>2024</v>
      </c>
      <c r="I892" t="str">
        <f>TEXT(calls[[#This Row],[Date of Call]],"DDDD")</f>
        <v>Monday</v>
      </c>
      <c r="J892" t="str" cm="1">
        <f t="array" ref="J892">_xlfn.IFS(calls[[#This Row],[Duration]]&lt;=10,"UNDER 10 MINS",calls[[#This Row],[Duration]]&lt;=30,"10 TO 30 MINS",calls[[#This Row],[Duration]]&lt;=60,"30 TO 60 MINS",calls[[#This Row],[Duration]]&lt;=120,"1 TO 2 HRS",TRUE,"MORE THAN 2 HRS")</f>
        <v>MORE THAN 2 HRS</v>
      </c>
      <c r="K892">
        <f>ROUND(calls[[#This Row],[Satisfaction Rating]],0)</f>
        <v>4</v>
      </c>
    </row>
    <row r="893" spans="1:11" x14ac:dyDescent="0.3">
      <c r="A893" s="41" t="s">
        <v>1944</v>
      </c>
      <c r="B893" s="10" t="s">
        <v>1068</v>
      </c>
      <c r="C893" s="10">
        <v>61</v>
      </c>
      <c r="D893" s="39" t="s">
        <v>1038</v>
      </c>
      <c r="E893" s="40">
        <v>45229</v>
      </c>
      <c r="F893" s="10">
        <v>82</v>
      </c>
      <c r="G893" s="42">
        <v>3.1</v>
      </c>
      <c r="H893">
        <f>IF(MONTH(calls[[#This Row],[Date of Call]])&lt;=6,YEAR(calls[[#This Row],[Date of Call]]),YEAR(calls[[#This Row],[Date of Call]])+1)</f>
        <v>2024</v>
      </c>
      <c r="I893" t="str">
        <f>TEXT(calls[[#This Row],[Date of Call]],"DDDD")</f>
        <v>Monday</v>
      </c>
      <c r="J893" t="str" cm="1">
        <f t="array" ref="J893">_xlfn.IFS(calls[[#This Row],[Duration]]&lt;=10,"UNDER 10 MINS",calls[[#This Row],[Duration]]&lt;=30,"10 TO 30 MINS",calls[[#This Row],[Duration]]&lt;=60,"30 TO 60 MINS",calls[[#This Row],[Duration]]&lt;=120,"1 TO 2 HRS",TRUE,"MORE THAN 2 HRS")</f>
        <v>1 TO 2 HRS</v>
      </c>
      <c r="K893">
        <f>ROUND(calls[[#This Row],[Satisfaction Rating]],0)</f>
        <v>3</v>
      </c>
    </row>
    <row r="894" spans="1:11" x14ac:dyDescent="0.3">
      <c r="A894" s="41" t="s">
        <v>1945</v>
      </c>
      <c r="B894" s="10" t="s">
        <v>1037</v>
      </c>
      <c r="C894" s="10">
        <v>86</v>
      </c>
      <c r="D894" s="39" t="s">
        <v>1057</v>
      </c>
      <c r="E894" s="40">
        <v>45230</v>
      </c>
      <c r="F894" s="10">
        <v>90</v>
      </c>
      <c r="G894" s="42">
        <v>4.4000000000000004</v>
      </c>
      <c r="H894">
        <f>IF(MONTH(calls[[#This Row],[Date of Call]])&lt;=6,YEAR(calls[[#This Row],[Date of Call]]),YEAR(calls[[#This Row],[Date of Call]])+1)</f>
        <v>2024</v>
      </c>
      <c r="I894" t="str">
        <f>TEXT(calls[[#This Row],[Date of Call]],"DDDD")</f>
        <v>Tuesday</v>
      </c>
      <c r="J894" t="str" cm="1">
        <f t="array" ref="J894">_xlfn.IFS(calls[[#This Row],[Duration]]&lt;=10,"UNDER 10 MINS",calls[[#This Row],[Duration]]&lt;=30,"10 TO 30 MINS",calls[[#This Row],[Duration]]&lt;=60,"30 TO 60 MINS",calls[[#This Row],[Duration]]&lt;=120,"1 TO 2 HRS",TRUE,"MORE THAN 2 HRS")</f>
        <v>1 TO 2 HRS</v>
      </c>
      <c r="K894">
        <f>ROUND(calls[[#This Row],[Satisfaction Rating]],0)</f>
        <v>4</v>
      </c>
    </row>
    <row r="895" spans="1:11" x14ac:dyDescent="0.3">
      <c r="A895" s="41" t="s">
        <v>1946</v>
      </c>
      <c r="B895" s="10" t="s">
        <v>1042</v>
      </c>
      <c r="C895" s="10">
        <v>165</v>
      </c>
      <c r="D895" s="39" t="s">
        <v>1053</v>
      </c>
      <c r="E895" s="40">
        <v>45231</v>
      </c>
      <c r="F895" s="10">
        <v>66</v>
      </c>
      <c r="G895" s="42">
        <v>4.8</v>
      </c>
      <c r="H895">
        <f>IF(MONTH(calls[[#This Row],[Date of Call]])&lt;=6,YEAR(calls[[#This Row],[Date of Call]]),YEAR(calls[[#This Row],[Date of Call]])+1)</f>
        <v>2024</v>
      </c>
      <c r="I895" t="str">
        <f>TEXT(calls[[#This Row],[Date of Call]],"DDDD")</f>
        <v>Wednesday</v>
      </c>
      <c r="J895" t="str" cm="1">
        <f t="array" ref="J895">_xlfn.IFS(calls[[#This Row],[Duration]]&lt;=10,"UNDER 10 MINS",calls[[#This Row],[Duration]]&lt;=30,"10 TO 30 MINS",calls[[#This Row],[Duration]]&lt;=60,"30 TO 60 MINS",calls[[#This Row],[Duration]]&lt;=120,"1 TO 2 HRS",TRUE,"MORE THAN 2 HRS")</f>
        <v>MORE THAN 2 HRS</v>
      </c>
      <c r="K895">
        <f>ROUND(calls[[#This Row],[Satisfaction Rating]],0)</f>
        <v>5</v>
      </c>
    </row>
    <row r="896" spans="1:11" x14ac:dyDescent="0.3">
      <c r="A896" s="41" t="s">
        <v>1947</v>
      </c>
      <c r="B896" s="10" t="s">
        <v>1109</v>
      </c>
      <c r="C896" s="10">
        <v>62</v>
      </c>
      <c r="D896" s="39" t="s">
        <v>1043</v>
      </c>
      <c r="E896" s="40">
        <v>45231</v>
      </c>
      <c r="F896" s="10">
        <v>78</v>
      </c>
      <c r="G896" s="42">
        <v>3.5</v>
      </c>
      <c r="H896">
        <f>IF(MONTH(calls[[#This Row],[Date of Call]])&lt;=6,YEAR(calls[[#This Row],[Date of Call]]),YEAR(calls[[#This Row],[Date of Call]])+1)</f>
        <v>2024</v>
      </c>
      <c r="I896" t="str">
        <f>TEXT(calls[[#This Row],[Date of Call]],"DDDD")</f>
        <v>Wednesday</v>
      </c>
      <c r="J896" t="str" cm="1">
        <f t="array" ref="J896">_xlfn.IFS(calls[[#This Row],[Duration]]&lt;=10,"UNDER 10 MINS",calls[[#This Row],[Duration]]&lt;=30,"10 TO 30 MINS",calls[[#This Row],[Duration]]&lt;=60,"30 TO 60 MINS",calls[[#This Row],[Duration]]&lt;=120,"1 TO 2 HRS",TRUE,"MORE THAN 2 HRS")</f>
        <v>1 TO 2 HRS</v>
      </c>
      <c r="K896">
        <f>ROUND(calls[[#This Row],[Satisfaction Rating]],0)</f>
        <v>4</v>
      </c>
    </row>
    <row r="897" spans="1:11" x14ac:dyDescent="0.3">
      <c r="A897" s="41" t="s">
        <v>1948</v>
      </c>
      <c r="B897" s="10" t="s">
        <v>1045</v>
      </c>
      <c r="C897" s="10">
        <v>103</v>
      </c>
      <c r="D897" s="39" t="s">
        <v>1053</v>
      </c>
      <c r="E897" s="40">
        <v>45232</v>
      </c>
      <c r="F897" s="10">
        <v>66</v>
      </c>
      <c r="G897" s="42">
        <v>4.4000000000000004</v>
      </c>
      <c r="H897">
        <f>IF(MONTH(calls[[#This Row],[Date of Call]])&lt;=6,YEAR(calls[[#This Row],[Date of Call]]),YEAR(calls[[#This Row],[Date of Call]])+1)</f>
        <v>2024</v>
      </c>
      <c r="I897" t="str">
        <f>TEXT(calls[[#This Row],[Date of Call]],"DDDD")</f>
        <v>Thursday</v>
      </c>
      <c r="J897" t="str" cm="1">
        <f t="array" ref="J897">_xlfn.IFS(calls[[#This Row],[Duration]]&lt;=10,"UNDER 10 MINS",calls[[#This Row],[Duration]]&lt;=30,"10 TO 30 MINS",calls[[#This Row],[Duration]]&lt;=60,"30 TO 60 MINS",calls[[#This Row],[Duration]]&lt;=120,"1 TO 2 HRS",TRUE,"MORE THAN 2 HRS")</f>
        <v>1 TO 2 HRS</v>
      </c>
      <c r="K897">
        <f>ROUND(calls[[#This Row],[Satisfaction Rating]],0)</f>
        <v>4</v>
      </c>
    </row>
    <row r="898" spans="1:11" x14ac:dyDescent="0.3">
      <c r="A898" s="41" t="s">
        <v>1949</v>
      </c>
      <c r="B898" s="10" t="s">
        <v>1089</v>
      </c>
      <c r="C898" s="10">
        <v>56</v>
      </c>
      <c r="D898" s="39" t="s">
        <v>1057</v>
      </c>
      <c r="E898" s="40">
        <v>45233</v>
      </c>
      <c r="F898" s="10">
        <v>160</v>
      </c>
      <c r="G898" s="42">
        <v>3.8</v>
      </c>
      <c r="H898">
        <f>IF(MONTH(calls[[#This Row],[Date of Call]])&lt;=6,YEAR(calls[[#This Row],[Date of Call]]),YEAR(calls[[#This Row],[Date of Call]])+1)</f>
        <v>2024</v>
      </c>
      <c r="I898" t="str">
        <f>TEXT(calls[[#This Row],[Date of Call]],"DDDD")</f>
        <v>Friday</v>
      </c>
      <c r="J898" t="str" cm="1">
        <f t="array" ref="J898">_xlfn.IFS(calls[[#This Row],[Duration]]&lt;=10,"UNDER 10 MINS",calls[[#This Row],[Duration]]&lt;=30,"10 TO 30 MINS",calls[[#This Row],[Duration]]&lt;=60,"30 TO 60 MINS",calls[[#This Row],[Duration]]&lt;=120,"1 TO 2 HRS",TRUE,"MORE THAN 2 HRS")</f>
        <v>30 TO 60 MINS</v>
      </c>
      <c r="K898">
        <f>ROUND(calls[[#This Row],[Satisfaction Rating]],0)</f>
        <v>4</v>
      </c>
    </row>
    <row r="899" spans="1:11" x14ac:dyDescent="0.3">
      <c r="A899" s="41" t="s">
        <v>1950</v>
      </c>
      <c r="B899" s="10" t="s">
        <v>1079</v>
      </c>
      <c r="C899" s="10">
        <v>114</v>
      </c>
      <c r="D899" s="39" t="s">
        <v>1038</v>
      </c>
      <c r="E899" s="40">
        <v>45234</v>
      </c>
      <c r="F899" s="10">
        <v>144</v>
      </c>
      <c r="G899" s="42">
        <v>3.8</v>
      </c>
      <c r="H899">
        <f>IF(MONTH(calls[[#This Row],[Date of Call]])&lt;=6,YEAR(calls[[#This Row],[Date of Call]]),YEAR(calls[[#This Row],[Date of Call]])+1)</f>
        <v>2024</v>
      </c>
      <c r="I899" t="str">
        <f>TEXT(calls[[#This Row],[Date of Call]],"DDDD")</f>
        <v>Saturday</v>
      </c>
      <c r="J899" t="str" cm="1">
        <f t="array" ref="J899">_xlfn.IFS(calls[[#This Row],[Duration]]&lt;=10,"UNDER 10 MINS",calls[[#This Row],[Duration]]&lt;=30,"10 TO 30 MINS",calls[[#This Row],[Duration]]&lt;=60,"30 TO 60 MINS",calls[[#This Row],[Duration]]&lt;=120,"1 TO 2 HRS",TRUE,"MORE THAN 2 HRS")</f>
        <v>1 TO 2 HRS</v>
      </c>
      <c r="K899">
        <f>ROUND(calls[[#This Row],[Satisfaction Rating]],0)</f>
        <v>4</v>
      </c>
    </row>
    <row r="900" spans="1:11" x14ac:dyDescent="0.3">
      <c r="A900" s="41" t="s">
        <v>1951</v>
      </c>
      <c r="B900" s="10" t="s">
        <v>1089</v>
      </c>
      <c r="C900" s="10">
        <v>112</v>
      </c>
      <c r="D900" s="39" t="s">
        <v>1048</v>
      </c>
      <c r="E900" s="40">
        <v>45234</v>
      </c>
      <c r="F900" s="10">
        <v>200</v>
      </c>
      <c r="G900" s="42">
        <v>4.5999999999999996</v>
      </c>
      <c r="H900">
        <f>IF(MONTH(calls[[#This Row],[Date of Call]])&lt;=6,YEAR(calls[[#This Row],[Date of Call]]),YEAR(calls[[#This Row],[Date of Call]])+1)</f>
        <v>2024</v>
      </c>
      <c r="I900" t="str">
        <f>TEXT(calls[[#This Row],[Date of Call]],"DDDD")</f>
        <v>Saturday</v>
      </c>
      <c r="J900" t="str" cm="1">
        <f t="array" ref="J900">_xlfn.IFS(calls[[#This Row],[Duration]]&lt;=10,"UNDER 10 MINS",calls[[#This Row],[Duration]]&lt;=30,"10 TO 30 MINS",calls[[#This Row],[Duration]]&lt;=60,"30 TO 60 MINS",calls[[#This Row],[Duration]]&lt;=120,"1 TO 2 HRS",TRUE,"MORE THAN 2 HRS")</f>
        <v>1 TO 2 HRS</v>
      </c>
      <c r="K900">
        <f>ROUND(calls[[#This Row],[Satisfaction Rating]],0)</f>
        <v>5</v>
      </c>
    </row>
    <row r="901" spans="1:11" x14ac:dyDescent="0.3">
      <c r="A901" s="41" t="s">
        <v>1952</v>
      </c>
      <c r="B901" s="10" t="s">
        <v>1051</v>
      </c>
      <c r="C901" s="10">
        <v>52</v>
      </c>
      <c r="D901" s="39" t="s">
        <v>1043</v>
      </c>
      <c r="E901" s="40">
        <v>45236</v>
      </c>
      <c r="F901" s="10">
        <v>220</v>
      </c>
      <c r="G901" s="42">
        <v>5</v>
      </c>
      <c r="H901">
        <f>IF(MONTH(calls[[#This Row],[Date of Call]])&lt;=6,YEAR(calls[[#This Row],[Date of Call]]),YEAR(calls[[#This Row],[Date of Call]])+1)</f>
        <v>2024</v>
      </c>
      <c r="I901" t="str">
        <f>TEXT(calls[[#This Row],[Date of Call]],"DDDD")</f>
        <v>Monday</v>
      </c>
      <c r="J901" t="str" cm="1">
        <f t="array" ref="J901">_xlfn.IFS(calls[[#This Row],[Duration]]&lt;=10,"UNDER 10 MINS",calls[[#This Row],[Duration]]&lt;=30,"10 TO 30 MINS",calls[[#This Row],[Duration]]&lt;=60,"30 TO 60 MINS",calls[[#This Row],[Duration]]&lt;=120,"1 TO 2 HRS",TRUE,"MORE THAN 2 HRS")</f>
        <v>30 TO 60 MINS</v>
      </c>
      <c r="K901">
        <f>ROUND(calls[[#This Row],[Satisfaction Rating]],0)</f>
        <v>5</v>
      </c>
    </row>
    <row r="902" spans="1:11" x14ac:dyDescent="0.3">
      <c r="A902" s="41" t="s">
        <v>1953</v>
      </c>
      <c r="B902" s="10" t="s">
        <v>1045</v>
      </c>
      <c r="C902" s="10">
        <v>105</v>
      </c>
      <c r="D902" s="39" t="s">
        <v>1053</v>
      </c>
      <c r="E902" s="40">
        <v>45237</v>
      </c>
      <c r="F902" s="10">
        <v>112</v>
      </c>
      <c r="G902" s="42">
        <v>3.2</v>
      </c>
      <c r="H902">
        <f>IF(MONTH(calls[[#This Row],[Date of Call]])&lt;=6,YEAR(calls[[#This Row],[Date of Call]]),YEAR(calls[[#This Row],[Date of Call]])+1)</f>
        <v>2024</v>
      </c>
      <c r="I902" t="str">
        <f>TEXT(calls[[#This Row],[Date of Call]],"DDDD")</f>
        <v>Tuesday</v>
      </c>
      <c r="J902" t="str" cm="1">
        <f t="array" ref="J902">_xlfn.IFS(calls[[#This Row],[Duration]]&lt;=10,"UNDER 10 MINS",calls[[#This Row],[Duration]]&lt;=30,"10 TO 30 MINS",calls[[#This Row],[Duration]]&lt;=60,"30 TO 60 MINS",calls[[#This Row],[Duration]]&lt;=120,"1 TO 2 HRS",TRUE,"MORE THAN 2 HRS")</f>
        <v>1 TO 2 HRS</v>
      </c>
      <c r="K902">
        <f>ROUND(calls[[#This Row],[Satisfaction Rating]],0)</f>
        <v>3</v>
      </c>
    </row>
    <row r="903" spans="1:11" x14ac:dyDescent="0.3">
      <c r="A903" s="41" t="s">
        <v>1954</v>
      </c>
      <c r="B903" s="10" t="s">
        <v>1042</v>
      </c>
      <c r="C903" s="10">
        <v>91</v>
      </c>
      <c r="D903" s="39" t="s">
        <v>1057</v>
      </c>
      <c r="E903" s="40">
        <v>45237</v>
      </c>
      <c r="F903" s="10">
        <v>110</v>
      </c>
      <c r="G903" s="42">
        <v>3.7</v>
      </c>
      <c r="H903">
        <f>IF(MONTH(calls[[#This Row],[Date of Call]])&lt;=6,YEAR(calls[[#This Row],[Date of Call]]),YEAR(calls[[#This Row],[Date of Call]])+1)</f>
        <v>2024</v>
      </c>
      <c r="I903" t="str">
        <f>TEXT(calls[[#This Row],[Date of Call]],"DDDD")</f>
        <v>Tuesday</v>
      </c>
      <c r="J903" t="str" cm="1">
        <f t="array" ref="J903">_xlfn.IFS(calls[[#This Row],[Duration]]&lt;=10,"UNDER 10 MINS",calls[[#This Row],[Duration]]&lt;=30,"10 TO 30 MINS",calls[[#This Row],[Duration]]&lt;=60,"30 TO 60 MINS",calls[[#This Row],[Duration]]&lt;=120,"1 TO 2 HRS",TRUE,"MORE THAN 2 HRS")</f>
        <v>1 TO 2 HRS</v>
      </c>
      <c r="K903">
        <f>ROUND(calls[[#This Row],[Satisfaction Rating]],0)</f>
        <v>4</v>
      </c>
    </row>
    <row r="904" spans="1:11" x14ac:dyDescent="0.3">
      <c r="A904" s="41" t="s">
        <v>1955</v>
      </c>
      <c r="B904" s="10" t="s">
        <v>1076</v>
      </c>
      <c r="C904" s="10">
        <v>74</v>
      </c>
      <c r="D904" s="39" t="s">
        <v>1038</v>
      </c>
      <c r="E904" s="40">
        <v>45238</v>
      </c>
      <c r="F904" s="10">
        <v>160</v>
      </c>
      <c r="G904" s="42">
        <v>2.7</v>
      </c>
      <c r="H904">
        <f>IF(MONTH(calls[[#This Row],[Date of Call]])&lt;=6,YEAR(calls[[#This Row],[Date of Call]]),YEAR(calls[[#This Row],[Date of Call]])+1)</f>
        <v>2024</v>
      </c>
      <c r="I904" t="str">
        <f>TEXT(calls[[#This Row],[Date of Call]],"DDDD")</f>
        <v>Wednesday</v>
      </c>
      <c r="J904" t="str" cm="1">
        <f t="array" ref="J904">_xlfn.IFS(calls[[#This Row],[Duration]]&lt;=10,"UNDER 10 MINS",calls[[#This Row],[Duration]]&lt;=30,"10 TO 30 MINS",calls[[#This Row],[Duration]]&lt;=60,"30 TO 60 MINS",calls[[#This Row],[Duration]]&lt;=120,"1 TO 2 HRS",TRUE,"MORE THAN 2 HRS")</f>
        <v>1 TO 2 HRS</v>
      </c>
      <c r="K904">
        <f>ROUND(calls[[#This Row],[Satisfaction Rating]],0)</f>
        <v>3</v>
      </c>
    </row>
    <row r="905" spans="1:11" x14ac:dyDescent="0.3">
      <c r="A905" s="41" t="s">
        <v>1956</v>
      </c>
      <c r="B905" s="10" t="s">
        <v>1076</v>
      </c>
      <c r="C905" s="10">
        <v>30</v>
      </c>
      <c r="D905" s="39" t="s">
        <v>1057</v>
      </c>
      <c r="E905" s="40">
        <v>45238</v>
      </c>
      <c r="F905" s="10">
        <v>84</v>
      </c>
      <c r="G905" s="42">
        <v>4</v>
      </c>
      <c r="H905">
        <f>IF(MONTH(calls[[#This Row],[Date of Call]])&lt;=6,YEAR(calls[[#This Row],[Date of Call]]),YEAR(calls[[#This Row],[Date of Call]])+1)</f>
        <v>2024</v>
      </c>
      <c r="I905" t="str">
        <f>TEXT(calls[[#This Row],[Date of Call]],"DDDD")</f>
        <v>Wednesday</v>
      </c>
      <c r="J905" t="str" cm="1">
        <f t="array" ref="J905">_xlfn.IFS(calls[[#This Row],[Duration]]&lt;=10,"UNDER 10 MINS",calls[[#This Row],[Duration]]&lt;=30,"10 TO 30 MINS",calls[[#This Row],[Duration]]&lt;=60,"30 TO 60 MINS",calls[[#This Row],[Duration]]&lt;=120,"1 TO 2 HRS",TRUE,"MORE THAN 2 HRS")</f>
        <v>10 TO 30 MINS</v>
      </c>
      <c r="K905">
        <f>ROUND(calls[[#This Row],[Satisfaction Rating]],0)</f>
        <v>4</v>
      </c>
    </row>
    <row r="906" spans="1:11" x14ac:dyDescent="0.3">
      <c r="A906" s="41" t="s">
        <v>1957</v>
      </c>
      <c r="B906" s="10" t="s">
        <v>1042</v>
      </c>
      <c r="C906" s="10">
        <v>56</v>
      </c>
      <c r="D906" s="39" t="s">
        <v>1043</v>
      </c>
      <c r="E906" s="40">
        <v>45238</v>
      </c>
      <c r="F906" s="10">
        <v>124</v>
      </c>
      <c r="G906" s="42">
        <v>2.6</v>
      </c>
      <c r="H906">
        <f>IF(MONTH(calls[[#This Row],[Date of Call]])&lt;=6,YEAR(calls[[#This Row],[Date of Call]]),YEAR(calls[[#This Row],[Date of Call]])+1)</f>
        <v>2024</v>
      </c>
      <c r="I906" t="str">
        <f>TEXT(calls[[#This Row],[Date of Call]],"DDDD")</f>
        <v>Wednesday</v>
      </c>
      <c r="J906" t="str" cm="1">
        <f t="array" ref="J906">_xlfn.IFS(calls[[#This Row],[Duration]]&lt;=10,"UNDER 10 MINS",calls[[#This Row],[Duration]]&lt;=30,"10 TO 30 MINS",calls[[#This Row],[Duration]]&lt;=60,"30 TO 60 MINS",calls[[#This Row],[Duration]]&lt;=120,"1 TO 2 HRS",TRUE,"MORE THAN 2 HRS")</f>
        <v>30 TO 60 MINS</v>
      </c>
      <c r="K906">
        <f>ROUND(calls[[#This Row],[Satisfaction Rating]],0)</f>
        <v>3</v>
      </c>
    </row>
    <row r="907" spans="1:11" x14ac:dyDescent="0.3">
      <c r="A907" s="41" t="s">
        <v>1958</v>
      </c>
      <c r="B907" s="10" t="s">
        <v>1076</v>
      </c>
      <c r="C907" s="10">
        <v>151</v>
      </c>
      <c r="D907" s="39" t="s">
        <v>1048</v>
      </c>
      <c r="E907" s="40">
        <v>45238</v>
      </c>
      <c r="F907" s="10">
        <v>84</v>
      </c>
      <c r="G907" s="42">
        <v>4.5999999999999996</v>
      </c>
      <c r="H907">
        <f>IF(MONTH(calls[[#This Row],[Date of Call]])&lt;=6,YEAR(calls[[#This Row],[Date of Call]]),YEAR(calls[[#This Row],[Date of Call]])+1)</f>
        <v>2024</v>
      </c>
      <c r="I907" t="str">
        <f>TEXT(calls[[#This Row],[Date of Call]],"DDDD")</f>
        <v>Wednesday</v>
      </c>
      <c r="J907" t="str" cm="1">
        <f t="array" ref="J907">_xlfn.IFS(calls[[#This Row],[Duration]]&lt;=10,"UNDER 10 MINS",calls[[#This Row],[Duration]]&lt;=30,"10 TO 30 MINS",calls[[#This Row],[Duration]]&lt;=60,"30 TO 60 MINS",calls[[#This Row],[Duration]]&lt;=120,"1 TO 2 HRS",TRUE,"MORE THAN 2 HRS")</f>
        <v>MORE THAN 2 HRS</v>
      </c>
      <c r="K907">
        <f>ROUND(calls[[#This Row],[Satisfaction Rating]],0)</f>
        <v>5</v>
      </c>
    </row>
    <row r="908" spans="1:11" x14ac:dyDescent="0.3">
      <c r="A908" s="41" t="s">
        <v>1959</v>
      </c>
      <c r="B908" s="10" t="s">
        <v>1040</v>
      </c>
      <c r="C908" s="10">
        <v>108</v>
      </c>
      <c r="D908" s="39" t="s">
        <v>1053</v>
      </c>
      <c r="E908" s="40">
        <v>45239</v>
      </c>
      <c r="F908" s="10">
        <v>130</v>
      </c>
      <c r="G908" s="42">
        <v>2.7</v>
      </c>
      <c r="H908">
        <f>IF(MONTH(calls[[#This Row],[Date of Call]])&lt;=6,YEAR(calls[[#This Row],[Date of Call]]),YEAR(calls[[#This Row],[Date of Call]])+1)</f>
        <v>2024</v>
      </c>
      <c r="I908" t="str">
        <f>TEXT(calls[[#This Row],[Date of Call]],"DDDD")</f>
        <v>Thursday</v>
      </c>
      <c r="J908" t="str" cm="1">
        <f t="array" ref="J908">_xlfn.IFS(calls[[#This Row],[Duration]]&lt;=10,"UNDER 10 MINS",calls[[#This Row],[Duration]]&lt;=30,"10 TO 30 MINS",calls[[#This Row],[Duration]]&lt;=60,"30 TO 60 MINS",calls[[#This Row],[Duration]]&lt;=120,"1 TO 2 HRS",TRUE,"MORE THAN 2 HRS")</f>
        <v>1 TO 2 HRS</v>
      </c>
      <c r="K908">
        <f>ROUND(calls[[#This Row],[Satisfaction Rating]],0)</f>
        <v>3</v>
      </c>
    </row>
    <row r="909" spans="1:11" x14ac:dyDescent="0.3">
      <c r="A909" s="41" t="s">
        <v>1960</v>
      </c>
      <c r="B909" s="10" t="s">
        <v>1079</v>
      </c>
      <c r="C909" s="10">
        <v>124</v>
      </c>
      <c r="D909" s="39" t="s">
        <v>1038</v>
      </c>
      <c r="E909" s="40">
        <v>45239</v>
      </c>
      <c r="F909" s="10">
        <v>215</v>
      </c>
      <c r="G909" s="42">
        <v>3.5</v>
      </c>
      <c r="H909">
        <f>IF(MONTH(calls[[#This Row],[Date of Call]])&lt;=6,YEAR(calls[[#This Row],[Date of Call]]),YEAR(calls[[#This Row],[Date of Call]])+1)</f>
        <v>2024</v>
      </c>
      <c r="I909" t="str">
        <f>TEXT(calls[[#This Row],[Date of Call]],"DDDD")</f>
        <v>Thursday</v>
      </c>
      <c r="J909" t="str" cm="1">
        <f t="array" ref="J909">_xlfn.IFS(calls[[#This Row],[Duration]]&lt;=10,"UNDER 10 MINS",calls[[#This Row],[Duration]]&lt;=30,"10 TO 30 MINS",calls[[#This Row],[Duration]]&lt;=60,"30 TO 60 MINS",calls[[#This Row],[Duration]]&lt;=120,"1 TO 2 HRS",TRUE,"MORE THAN 2 HRS")</f>
        <v>MORE THAN 2 HRS</v>
      </c>
      <c r="K909">
        <f>ROUND(calls[[#This Row],[Satisfaction Rating]],0)</f>
        <v>4</v>
      </c>
    </row>
    <row r="910" spans="1:11" x14ac:dyDescent="0.3">
      <c r="A910" s="41" t="s">
        <v>1961</v>
      </c>
      <c r="B910" s="10" t="s">
        <v>1045</v>
      </c>
      <c r="C910" s="10">
        <v>110</v>
      </c>
      <c r="D910" s="39" t="s">
        <v>1043</v>
      </c>
      <c r="E910" s="40">
        <v>45240</v>
      </c>
      <c r="F910" s="10">
        <v>132</v>
      </c>
      <c r="G910" s="42">
        <v>3.6</v>
      </c>
      <c r="H910">
        <f>IF(MONTH(calls[[#This Row],[Date of Call]])&lt;=6,YEAR(calls[[#This Row],[Date of Call]]),YEAR(calls[[#This Row],[Date of Call]])+1)</f>
        <v>2024</v>
      </c>
      <c r="I910" t="str">
        <f>TEXT(calls[[#This Row],[Date of Call]],"DDDD")</f>
        <v>Friday</v>
      </c>
      <c r="J910" t="str" cm="1">
        <f t="array" ref="J910">_xlfn.IFS(calls[[#This Row],[Duration]]&lt;=10,"UNDER 10 MINS",calls[[#This Row],[Duration]]&lt;=30,"10 TO 30 MINS",calls[[#This Row],[Duration]]&lt;=60,"30 TO 60 MINS",calls[[#This Row],[Duration]]&lt;=120,"1 TO 2 HRS",TRUE,"MORE THAN 2 HRS")</f>
        <v>1 TO 2 HRS</v>
      </c>
      <c r="K910">
        <f>ROUND(calls[[#This Row],[Satisfaction Rating]],0)</f>
        <v>4</v>
      </c>
    </row>
    <row r="911" spans="1:11" x14ac:dyDescent="0.3">
      <c r="A911" s="41" t="s">
        <v>1962</v>
      </c>
      <c r="B911" s="10" t="s">
        <v>1056</v>
      </c>
      <c r="C911" s="10">
        <v>89</v>
      </c>
      <c r="D911" s="39" t="s">
        <v>1053</v>
      </c>
      <c r="E911" s="40">
        <v>45240</v>
      </c>
      <c r="F911" s="10">
        <v>88</v>
      </c>
      <c r="G911" s="42">
        <v>4.9000000000000004</v>
      </c>
      <c r="H911">
        <f>IF(MONTH(calls[[#This Row],[Date of Call]])&lt;=6,YEAR(calls[[#This Row],[Date of Call]]),YEAR(calls[[#This Row],[Date of Call]])+1)</f>
        <v>2024</v>
      </c>
      <c r="I911" t="str">
        <f>TEXT(calls[[#This Row],[Date of Call]],"DDDD")</f>
        <v>Friday</v>
      </c>
      <c r="J911" t="str" cm="1">
        <f t="array" ref="J911">_xlfn.IFS(calls[[#This Row],[Duration]]&lt;=10,"UNDER 10 MINS",calls[[#This Row],[Duration]]&lt;=30,"10 TO 30 MINS",calls[[#This Row],[Duration]]&lt;=60,"30 TO 60 MINS",calls[[#This Row],[Duration]]&lt;=120,"1 TO 2 HRS",TRUE,"MORE THAN 2 HRS")</f>
        <v>1 TO 2 HRS</v>
      </c>
      <c r="K911">
        <f>ROUND(calls[[#This Row],[Satisfaction Rating]],0)</f>
        <v>5</v>
      </c>
    </row>
    <row r="912" spans="1:11" x14ac:dyDescent="0.3">
      <c r="A912" s="41" t="s">
        <v>1963</v>
      </c>
      <c r="B912" s="10" t="s">
        <v>1037</v>
      </c>
      <c r="C912" s="10">
        <v>95</v>
      </c>
      <c r="D912" s="39" t="s">
        <v>1043</v>
      </c>
      <c r="E912" s="40">
        <v>45240</v>
      </c>
      <c r="F912" s="10">
        <v>140</v>
      </c>
      <c r="G912" s="42">
        <v>3.9</v>
      </c>
      <c r="H912">
        <f>IF(MONTH(calls[[#This Row],[Date of Call]])&lt;=6,YEAR(calls[[#This Row],[Date of Call]]),YEAR(calls[[#This Row],[Date of Call]])+1)</f>
        <v>2024</v>
      </c>
      <c r="I912" t="str">
        <f>TEXT(calls[[#This Row],[Date of Call]],"DDDD")</f>
        <v>Friday</v>
      </c>
      <c r="J912" t="str" cm="1">
        <f t="array" ref="J912">_xlfn.IFS(calls[[#This Row],[Duration]]&lt;=10,"UNDER 10 MINS",calls[[#This Row],[Duration]]&lt;=30,"10 TO 30 MINS",calls[[#This Row],[Duration]]&lt;=60,"30 TO 60 MINS",calls[[#This Row],[Duration]]&lt;=120,"1 TO 2 HRS",TRUE,"MORE THAN 2 HRS")</f>
        <v>1 TO 2 HRS</v>
      </c>
      <c r="K912">
        <f>ROUND(calls[[#This Row],[Satisfaction Rating]],0)</f>
        <v>4</v>
      </c>
    </row>
    <row r="913" spans="1:11" x14ac:dyDescent="0.3">
      <c r="A913" s="41" t="s">
        <v>1964</v>
      </c>
      <c r="B913" s="10" t="s">
        <v>1076</v>
      </c>
      <c r="C913" s="10">
        <v>84</v>
      </c>
      <c r="D913" s="39" t="s">
        <v>1053</v>
      </c>
      <c r="E913" s="40">
        <v>45241</v>
      </c>
      <c r="F913" s="10">
        <v>66</v>
      </c>
      <c r="G913" s="42">
        <v>4.7</v>
      </c>
      <c r="H913">
        <f>IF(MONTH(calls[[#This Row],[Date of Call]])&lt;=6,YEAR(calls[[#This Row],[Date of Call]]),YEAR(calls[[#This Row],[Date of Call]])+1)</f>
        <v>2024</v>
      </c>
      <c r="I913" t="str">
        <f>TEXT(calls[[#This Row],[Date of Call]],"DDDD")</f>
        <v>Saturday</v>
      </c>
      <c r="J913" t="str" cm="1">
        <f t="array" ref="J913">_xlfn.IFS(calls[[#This Row],[Duration]]&lt;=10,"UNDER 10 MINS",calls[[#This Row],[Duration]]&lt;=30,"10 TO 30 MINS",calls[[#This Row],[Duration]]&lt;=60,"30 TO 60 MINS",calls[[#This Row],[Duration]]&lt;=120,"1 TO 2 HRS",TRUE,"MORE THAN 2 HRS")</f>
        <v>1 TO 2 HRS</v>
      </c>
      <c r="K913">
        <f>ROUND(calls[[#This Row],[Satisfaction Rating]],0)</f>
        <v>5</v>
      </c>
    </row>
    <row r="914" spans="1:11" x14ac:dyDescent="0.3">
      <c r="A914" s="41" t="s">
        <v>1965</v>
      </c>
      <c r="B914" s="10" t="s">
        <v>1062</v>
      </c>
      <c r="C914" s="10">
        <v>89</v>
      </c>
      <c r="D914" s="39" t="s">
        <v>1038</v>
      </c>
      <c r="E914" s="40">
        <v>45241</v>
      </c>
      <c r="F914" s="10">
        <v>23</v>
      </c>
      <c r="G914" s="42">
        <v>4.5</v>
      </c>
      <c r="H914">
        <f>IF(MONTH(calls[[#This Row],[Date of Call]])&lt;=6,YEAR(calls[[#This Row],[Date of Call]]),YEAR(calls[[#This Row],[Date of Call]])+1)</f>
        <v>2024</v>
      </c>
      <c r="I914" t="str">
        <f>TEXT(calls[[#This Row],[Date of Call]],"DDDD")</f>
        <v>Saturday</v>
      </c>
      <c r="J914" t="str" cm="1">
        <f t="array" ref="J914">_xlfn.IFS(calls[[#This Row],[Duration]]&lt;=10,"UNDER 10 MINS",calls[[#This Row],[Duration]]&lt;=30,"10 TO 30 MINS",calls[[#This Row],[Duration]]&lt;=60,"30 TO 60 MINS",calls[[#This Row],[Duration]]&lt;=120,"1 TO 2 HRS",TRUE,"MORE THAN 2 HRS")</f>
        <v>1 TO 2 HRS</v>
      </c>
      <c r="K914">
        <f>ROUND(calls[[#This Row],[Satisfaction Rating]],0)</f>
        <v>5</v>
      </c>
    </row>
    <row r="915" spans="1:11" x14ac:dyDescent="0.3">
      <c r="A915" s="41" t="s">
        <v>1966</v>
      </c>
      <c r="B915" s="10" t="s">
        <v>1056</v>
      </c>
      <c r="C915" s="10">
        <v>146</v>
      </c>
      <c r="D915" s="39" t="s">
        <v>1038</v>
      </c>
      <c r="E915" s="40">
        <v>45242</v>
      </c>
      <c r="F915" s="10">
        <v>220</v>
      </c>
      <c r="G915" s="42">
        <v>4.5</v>
      </c>
      <c r="H915">
        <f>IF(MONTH(calls[[#This Row],[Date of Call]])&lt;=6,YEAR(calls[[#This Row],[Date of Call]]),YEAR(calls[[#This Row],[Date of Call]])+1)</f>
        <v>2024</v>
      </c>
      <c r="I915" t="str">
        <f>TEXT(calls[[#This Row],[Date of Call]],"DDDD")</f>
        <v>Sunday</v>
      </c>
      <c r="J915" t="str" cm="1">
        <f t="array" ref="J915">_xlfn.IFS(calls[[#This Row],[Duration]]&lt;=10,"UNDER 10 MINS",calls[[#This Row],[Duration]]&lt;=30,"10 TO 30 MINS",calls[[#This Row],[Duration]]&lt;=60,"30 TO 60 MINS",calls[[#This Row],[Duration]]&lt;=120,"1 TO 2 HRS",TRUE,"MORE THAN 2 HRS")</f>
        <v>MORE THAN 2 HRS</v>
      </c>
      <c r="K915">
        <f>ROUND(calls[[#This Row],[Satisfaction Rating]],0)</f>
        <v>5</v>
      </c>
    </row>
    <row r="916" spans="1:11" x14ac:dyDescent="0.3">
      <c r="A916" s="41" t="s">
        <v>1967</v>
      </c>
      <c r="B916" s="10" t="s">
        <v>1060</v>
      </c>
      <c r="C916" s="10">
        <v>62</v>
      </c>
      <c r="D916" s="39" t="s">
        <v>1057</v>
      </c>
      <c r="E916" s="40">
        <v>45243</v>
      </c>
      <c r="F916" s="10">
        <v>175</v>
      </c>
      <c r="G916" s="42">
        <v>4.4000000000000004</v>
      </c>
      <c r="H916">
        <f>IF(MONTH(calls[[#This Row],[Date of Call]])&lt;=6,YEAR(calls[[#This Row],[Date of Call]]),YEAR(calls[[#This Row],[Date of Call]])+1)</f>
        <v>2024</v>
      </c>
      <c r="I916" t="str">
        <f>TEXT(calls[[#This Row],[Date of Call]],"DDDD")</f>
        <v>Monday</v>
      </c>
      <c r="J916" t="str" cm="1">
        <f t="array" ref="J916">_xlfn.IFS(calls[[#This Row],[Duration]]&lt;=10,"UNDER 10 MINS",calls[[#This Row],[Duration]]&lt;=30,"10 TO 30 MINS",calls[[#This Row],[Duration]]&lt;=60,"30 TO 60 MINS",calls[[#This Row],[Duration]]&lt;=120,"1 TO 2 HRS",TRUE,"MORE THAN 2 HRS")</f>
        <v>1 TO 2 HRS</v>
      </c>
      <c r="K916">
        <f>ROUND(calls[[#This Row],[Satisfaction Rating]],0)</f>
        <v>4</v>
      </c>
    </row>
    <row r="917" spans="1:11" x14ac:dyDescent="0.3">
      <c r="A917" s="41" t="s">
        <v>1968</v>
      </c>
      <c r="B917" s="10" t="s">
        <v>1089</v>
      </c>
      <c r="C917" s="10">
        <v>82</v>
      </c>
      <c r="D917" s="39" t="s">
        <v>1038</v>
      </c>
      <c r="E917" s="40">
        <v>45243</v>
      </c>
      <c r="F917" s="10">
        <v>172</v>
      </c>
      <c r="G917" s="42">
        <v>4.0999999999999996</v>
      </c>
      <c r="H917">
        <f>IF(MONTH(calls[[#This Row],[Date of Call]])&lt;=6,YEAR(calls[[#This Row],[Date of Call]]),YEAR(calls[[#This Row],[Date of Call]])+1)</f>
        <v>2024</v>
      </c>
      <c r="I917" t="str">
        <f>TEXT(calls[[#This Row],[Date of Call]],"DDDD")</f>
        <v>Monday</v>
      </c>
      <c r="J917" t="str" cm="1">
        <f t="array" ref="J917">_xlfn.IFS(calls[[#This Row],[Duration]]&lt;=10,"UNDER 10 MINS",calls[[#This Row],[Duration]]&lt;=30,"10 TO 30 MINS",calls[[#This Row],[Duration]]&lt;=60,"30 TO 60 MINS",calls[[#This Row],[Duration]]&lt;=120,"1 TO 2 HRS",TRUE,"MORE THAN 2 HRS")</f>
        <v>1 TO 2 HRS</v>
      </c>
      <c r="K917">
        <f>ROUND(calls[[#This Row],[Satisfaction Rating]],0)</f>
        <v>4</v>
      </c>
    </row>
    <row r="918" spans="1:11" x14ac:dyDescent="0.3">
      <c r="A918" s="41" t="s">
        <v>1969</v>
      </c>
      <c r="B918" s="10" t="s">
        <v>1068</v>
      </c>
      <c r="C918" s="10">
        <v>91</v>
      </c>
      <c r="D918" s="39" t="s">
        <v>1048</v>
      </c>
      <c r="E918" s="40">
        <v>45243</v>
      </c>
      <c r="F918" s="10">
        <v>108</v>
      </c>
      <c r="G918" s="42">
        <v>3.8</v>
      </c>
      <c r="H918">
        <f>IF(MONTH(calls[[#This Row],[Date of Call]])&lt;=6,YEAR(calls[[#This Row],[Date of Call]]),YEAR(calls[[#This Row],[Date of Call]])+1)</f>
        <v>2024</v>
      </c>
      <c r="I918" t="str">
        <f>TEXT(calls[[#This Row],[Date of Call]],"DDDD")</f>
        <v>Monday</v>
      </c>
      <c r="J918" t="str" cm="1">
        <f t="array" ref="J918">_xlfn.IFS(calls[[#This Row],[Duration]]&lt;=10,"UNDER 10 MINS",calls[[#This Row],[Duration]]&lt;=30,"10 TO 30 MINS",calls[[#This Row],[Duration]]&lt;=60,"30 TO 60 MINS",calls[[#This Row],[Duration]]&lt;=120,"1 TO 2 HRS",TRUE,"MORE THAN 2 HRS")</f>
        <v>1 TO 2 HRS</v>
      </c>
      <c r="K918">
        <f>ROUND(calls[[#This Row],[Satisfaction Rating]],0)</f>
        <v>4</v>
      </c>
    </row>
    <row r="919" spans="1:11" x14ac:dyDescent="0.3">
      <c r="A919" s="41" t="s">
        <v>1970</v>
      </c>
      <c r="B919" s="10" t="s">
        <v>1062</v>
      </c>
      <c r="C919" s="10">
        <v>39</v>
      </c>
      <c r="D919" s="39" t="s">
        <v>1038</v>
      </c>
      <c r="E919" s="40">
        <v>45244</v>
      </c>
      <c r="F919" s="10">
        <v>43</v>
      </c>
      <c r="G919" s="42">
        <v>4.2</v>
      </c>
      <c r="H919">
        <f>IF(MONTH(calls[[#This Row],[Date of Call]])&lt;=6,YEAR(calls[[#This Row],[Date of Call]]),YEAR(calls[[#This Row],[Date of Call]])+1)</f>
        <v>2024</v>
      </c>
      <c r="I919" t="str">
        <f>TEXT(calls[[#This Row],[Date of Call]],"DDDD")</f>
        <v>Tuesday</v>
      </c>
      <c r="J919" t="str" cm="1">
        <f t="array" ref="J919">_xlfn.IFS(calls[[#This Row],[Duration]]&lt;=10,"UNDER 10 MINS",calls[[#This Row],[Duration]]&lt;=30,"10 TO 30 MINS",calls[[#This Row],[Duration]]&lt;=60,"30 TO 60 MINS",calls[[#This Row],[Duration]]&lt;=120,"1 TO 2 HRS",TRUE,"MORE THAN 2 HRS")</f>
        <v>30 TO 60 MINS</v>
      </c>
      <c r="K919">
        <f>ROUND(calls[[#This Row],[Satisfaction Rating]],0)</f>
        <v>4</v>
      </c>
    </row>
    <row r="920" spans="1:11" x14ac:dyDescent="0.3">
      <c r="A920" s="41" t="s">
        <v>1971</v>
      </c>
      <c r="B920" s="10" t="s">
        <v>1056</v>
      </c>
      <c r="C920" s="10">
        <v>149</v>
      </c>
      <c r="D920" s="39" t="s">
        <v>1043</v>
      </c>
      <c r="E920" s="40">
        <v>45244</v>
      </c>
      <c r="F920" s="10">
        <v>44</v>
      </c>
      <c r="G920" s="42">
        <v>2.2000000000000002</v>
      </c>
      <c r="H920">
        <f>IF(MONTH(calls[[#This Row],[Date of Call]])&lt;=6,YEAR(calls[[#This Row],[Date of Call]]),YEAR(calls[[#This Row],[Date of Call]])+1)</f>
        <v>2024</v>
      </c>
      <c r="I920" t="str">
        <f>TEXT(calls[[#This Row],[Date of Call]],"DDDD")</f>
        <v>Tuesday</v>
      </c>
      <c r="J920" t="str" cm="1">
        <f t="array" ref="J920">_xlfn.IFS(calls[[#This Row],[Duration]]&lt;=10,"UNDER 10 MINS",calls[[#This Row],[Duration]]&lt;=30,"10 TO 30 MINS",calls[[#This Row],[Duration]]&lt;=60,"30 TO 60 MINS",calls[[#This Row],[Duration]]&lt;=120,"1 TO 2 HRS",TRUE,"MORE THAN 2 HRS")</f>
        <v>MORE THAN 2 HRS</v>
      </c>
      <c r="K920">
        <f>ROUND(calls[[#This Row],[Satisfaction Rating]],0)</f>
        <v>2</v>
      </c>
    </row>
    <row r="921" spans="1:11" x14ac:dyDescent="0.3">
      <c r="A921" s="41" t="s">
        <v>1972</v>
      </c>
      <c r="B921" s="10" t="s">
        <v>1089</v>
      </c>
      <c r="C921" s="10">
        <v>138</v>
      </c>
      <c r="D921" s="39" t="s">
        <v>1057</v>
      </c>
      <c r="E921" s="40">
        <v>45244</v>
      </c>
      <c r="F921" s="10">
        <v>105</v>
      </c>
      <c r="G921" s="42">
        <v>3.9</v>
      </c>
      <c r="H921">
        <f>IF(MONTH(calls[[#This Row],[Date of Call]])&lt;=6,YEAR(calls[[#This Row],[Date of Call]]),YEAR(calls[[#This Row],[Date of Call]])+1)</f>
        <v>2024</v>
      </c>
      <c r="I921" t="str">
        <f>TEXT(calls[[#This Row],[Date of Call]],"DDDD")</f>
        <v>Tuesday</v>
      </c>
      <c r="J921" t="str" cm="1">
        <f t="array" ref="J921">_xlfn.IFS(calls[[#This Row],[Duration]]&lt;=10,"UNDER 10 MINS",calls[[#This Row],[Duration]]&lt;=30,"10 TO 30 MINS",calls[[#This Row],[Duration]]&lt;=60,"30 TO 60 MINS",calls[[#This Row],[Duration]]&lt;=120,"1 TO 2 HRS",TRUE,"MORE THAN 2 HRS")</f>
        <v>MORE THAN 2 HRS</v>
      </c>
      <c r="K921">
        <f>ROUND(calls[[#This Row],[Satisfaction Rating]],0)</f>
        <v>4</v>
      </c>
    </row>
    <row r="922" spans="1:11" x14ac:dyDescent="0.3">
      <c r="A922" s="41" t="s">
        <v>1973</v>
      </c>
      <c r="B922" s="10" t="s">
        <v>1060</v>
      </c>
      <c r="C922" s="10">
        <v>113</v>
      </c>
      <c r="D922" s="39" t="s">
        <v>1043</v>
      </c>
      <c r="E922" s="40">
        <v>45245</v>
      </c>
      <c r="F922" s="10">
        <v>34</v>
      </c>
      <c r="G922" s="42">
        <v>3.9</v>
      </c>
      <c r="H922">
        <f>IF(MONTH(calls[[#This Row],[Date of Call]])&lt;=6,YEAR(calls[[#This Row],[Date of Call]]),YEAR(calls[[#This Row],[Date of Call]])+1)</f>
        <v>2024</v>
      </c>
      <c r="I922" t="str">
        <f>TEXT(calls[[#This Row],[Date of Call]],"DDDD")</f>
        <v>Wednesday</v>
      </c>
      <c r="J922" t="str" cm="1">
        <f t="array" ref="J922">_xlfn.IFS(calls[[#This Row],[Duration]]&lt;=10,"UNDER 10 MINS",calls[[#This Row],[Duration]]&lt;=30,"10 TO 30 MINS",calls[[#This Row],[Duration]]&lt;=60,"30 TO 60 MINS",calls[[#This Row],[Duration]]&lt;=120,"1 TO 2 HRS",TRUE,"MORE THAN 2 HRS")</f>
        <v>1 TO 2 HRS</v>
      </c>
      <c r="K922">
        <f>ROUND(calls[[#This Row],[Satisfaction Rating]],0)</f>
        <v>4</v>
      </c>
    </row>
    <row r="923" spans="1:11" x14ac:dyDescent="0.3">
      <c r="A923" s="41" t="s">
        <v>1974</v>
      </c>
      <c r="B923" s="10" t="s">
        <v>1047</v>
      </c>
      <c r="C923" s="10">
        <v>88</v>
      </c>
      <c r="D923" s="39" t="s">
        <v>1038</v>
      </c>
      <c r="E923" s="40">
        <v>45245</v>
      </c>
      <c r="F923" s="10">
        <v>220</v>
      </c>
      <c r="G923" s="42">
        <v>4.0999999999999996</v>
      </c>
      <c r="H923">
        <f>IF(MONTH(calls[[#This Row],[Date of Call]])&lt;=6,YEAR(calls[[#This Row],[Date of Call]]),YEAR(calls[[#This Row],[Date of Call]])+1)</f>
        <v>2024</v>
      </c>
      <c r="I923" t="str">
        <f>TEXT(calls[[#This Row],[Date of Call]],"DDDD")</f>
        <v>Wednesday</v>
      </c>
      <c r="J923" t="str" cm="1">
        <f t="array" ref="J923">_xlfn.IFS(calls[[#This Row],[Duration]]&lt;=10,"UNDER 10 MINS",calls[[#This Row],[Duration]]&lt;=30,"10 TO 30 MINS",calls[[#This Row],[Duration]]&lt;=60,"30 TO 60 MINS",calls[[#This Row],[Duration]]&lt;=120,"1 TO 2 HRS",TRUE,"MORE THAN 2 HRS")</f>
        <v>1 TO 2 HRS</v>
      </c>
      <c r="K923">
        <f>ROUND(calls[[#This Row],[Satisfaction Rating]],0)</f>
        <v>4</v>
      </c>
    </row>
    <row r="924" spans="1:11" x14ac:dyDescent="0.3">
      <c r="A924" s="41" t="s">
        <v>1975</v>
      </c>
      <c r="B924" s="10" t="s">
        <v>1037</v>
      </c>
      <c r="C924" s="10">
        <v>64</v>
      </c>
      <c r="D924" s="39" t="s">
        <v>1057</v>
      </c>
      <c r="E924" s="40">
        <v>45245</v>
      </c>
      <c r="F924" s="10">
        <v>225</v>
      </c>
      <c r="G924" s="42">
        <v>4.5999999999999996</v>
      </c>
      <c r="H924">
        <f>IF(MONTH(calls[[#This Row],[Date of Call]])&lt;=6,YEAR(calls[[#This Row],[Date of Call]]),YEAR(calls[[#This Row],[Date of Call]])+1)</f>
        <v>2024</v>
      </c>
      <c r="I924" t="str">
        <f>TEXT(calls[[#This Row],[Date of Call]],"DDDD")</f>
        <v>Wednesday</v>
      </c>
      <c r="J924" t="str" cm="1">
        <f t="array" ref="J924">_xlfn.IFS(calls[[#This Row],[Duration]]&lt;=10,"UNDER 10 MINS",calls[[#This Row],[Duration]]&lt;=30,"10 TO 30 MINS",calls[[#This Row],[Duration]]&lt;=60,"30 TO 60 MINS",calls[[#This Row],[Duration]]&lt;=120,"1 TO 2 HRS",TRUE,"MORE THAN 2 HRS")</f>
        <v>1 TO 2 HRS</v>
      </c>
      <c r="K924">
        <f>ROUND(calls[[#This Row],[Satisfaction Rating]],0)</f>
        <v>5</v>
      </c>
    </row>
    <row r="925" spans="1:11" x14ac:dyDescent="0.3">
      <c r="A925" s="41" t="s">
        <v>1976</v>
      </c>
      <c r="B925" s="10" t="s">
        <v>1042</v>
      </c>
      <c r="C925" s="10">
        <v>53</v>
      </c>
      <c r="D925" s="39" t="s">
        <v>1057</v>
      </c>
      <c r="E925" s="40">
        <v>45246</v>
      </c>
      <c r="F925" s="10">
        <v>37</v>
      </c>
      <c r="G925" s="42">
        <v>4.0999999999999996</v>
      </c>
      <c r="H925">
        <f>IF(MONTH(calls[[#This Row],[Date of Call]])&lt;=6,YEAR(calls[[#This Row],[Date of Call]]),YEAR(calls[[#This Row],[Date of Call]])+1)</f>
        <v>2024</v>
      </c>
      <c r="I925" t="str">
        <f>TEXT(calls[[#This Row],[Date of Call]],"DDDD")</f>
        <v>Thursday</v>
      </c>
      <c r="J925" t="str" cm="1">
        <f t="array" ref="J925">_xlfn.IFS(calls[[#This Row],[Duration]]&lt;=10,"UNDER 10 MINS",calls[[#This Row],[Duration]]&lt;=30,"10 TO 30 MINS",calls[[#This Row],[Duration]]&lt;=60,"30 TO 60 MINS",calls[[#This Row],[Duration]]&lt;=120,"1 TO 2 HRS",TRUE,"MORE THAN 2 HRS")</f>
        <v>30 TO 60 MINS</v>
      </c>
      <c r="K925">
        <f>ROUND(calls[[#This Row],[Satisfaction Rating]],0)</f>
        <v>4</v>
      </c>
    </row>
    <row r="926" spans="1:11" x14ac:dyDescent="0.3">
      <c r="A926" s="41" t="s">
        <v>1977</v>
      </c>
      <c r="B926" s="10" t="s">
        <v>1079</v>
      </c>
      <c r="C926" s="10">
        <v>63</v>
      </c>
      <c r="D926" s="39" t="s">
        <v>1043</v>
      </c>
      <c r="E926" s="40">
        <v>45246</v>
      </c>
      <c r="F926" s="10">
        <v>44</v>
      </c>
      <c r="G926" s="42">
        <v>5</v>
      </c>
      <c r="H926">
        <f>IF(MONTH(calls[[#This Row],[Date of Call]])&lt;=6,YEAR(calls[[#This Row],[Date of Call]]),YEAR(calls[[#This Row],[Date of Call]])+1)</f>
        <v>2024</v>
      </c>
      <c r="I926" t="str">
        <f>TEXT(calls[[#This Row],[Date of Call]],"DDDD")</f>
        <v>Thursday</v>
      </c>
      <c r="J926" t="str" cm="1">
        <f t="array" ref="J926">_xlfn.IFS(calls[[#This Row],[Duration]]&lt;=10,"UNDER 10 MINS",calls[[#This Row],[Duration]]&lt;=30,"10 TO 30 MINS",calls[[#This Row],[Duration]]&lt;=60,"30 TO 60 MINS",calls[[#This Row],[Duration]]&lt;=120,"1 TO 2 HRS",TRUE,"MORE THAN 2 HRS")</f>
        <v>1 TO 2 HRS</v>
      </c>
      <c r="K926">
        <f>ROUND(calls[[#This Row],[Satisfaction Rating]],0)</f>
        <v>5</v>
      </c>
    </row>
    <row r="927" spans="1:11" x14ac:dyDescent="0.3">
      <c r="A927" s="41" t="s">
        <v>1978</v>
      </c>
      <c r="B927" s="10" t="s">
        <v>1051</v>
      </c>
      <c r="C927" s="10">
        <v>54</v>
      </c>
      <c r="D927" s="39" t="s">
        <v>1043</v>
      </c>
      <c r="E927" s="40">
        <v>45247</v>
      </c>
      <c r="F927" s="10">
        <v>35</v>
      </c>
      <c r="G927" s="42">
        <v>2.8</v>
      </c>
      <c r="H927">
        <f>IF(MONTH(calls[[#This Row],[Date of Call]])&lt;=6,YEAR(calls[[#This Row],[Date of Call]]),YEAR(calls[[#This Row],[Date of Call]])+1)</f>
        <v>2024</v>
      </c>
      <c r="I927" t="str">
        <f>TEXT(calls[[#This Row],[Date of Call]],"DDDD")</f>
        <v>Friday</v>
      </c>
      <c r="J927" t="str" cm="1">
        <f t="array" ref="J927">_xlfn.IFS(calls[[#This Row],[Duration]]&lt;=10,"UNDER 10 MINS",calls[[#This Row],[Duration]]&lt;=30,"10 TO 30 MINS",calls[[#This Row],[Duration]]&lt;=60,"30 TO 60 MINS",calls[[#This Row],[Duration]]&lt;=120,"1 TO 2 HRS",TRUE,"MORE THAN 2 HRS")</f>
        <v>30 TO 60 MINS</v>
      </c>
      <c r="K927">
        <f>ROUND(calls[[#This Row],[Satisfaction Rating]],0)</f>
        <v>3</v>
      </c>
    </row>
    <row r="928" spans="1:11" x14ac:dyDescent="0.3">
      <c r="A928" s="41" t="s">
        <v>1979</v>
      </c>
      <c r="B928" s="10" t="s">
        <v>1079</v>
      </c>
      <c r="C928" s="10">
        <v>54</v>
      </c>
      <c r="D928" s="39" t="s">
        <v>1038</v>
      </c>
      <c r="E928" s="40">
        <v>45247</v>
      </c>
      <c r="F928" s="10">
        <v>145</v>
      </c>
      <c r="G928" s="42">
        <v>2.7</v>
      </c>
      <c r="H928">
        <f>IF(MONTH(calls[[#This Row],[Date of Call]])&lt;=6,YEAR(calls[[#This Row],[Date of Call]]),YEAR(calls[[#This Row],[Date of Call]])+1)</f>
        <v>2024</v>
      </c>
      <c r="I928" t="str">
        <f>TEXT(calls[[#This Row],[Date of Call]],"DDDD")</f>
        <v>Friday</v>
      </c>
      <c r="J928" t="str" cm="1">
        <f t="array" ref="J928">_xlfn.IFS(calls[[#This Row],[Duration]]&lt;=10,"UNDER 10 MINS",calls[[#This Row],[Duration]]&lt;=30,"10 TO 30 MINS",calls[[#This Row],[Duration]]&lt;=60,"30 TO 60 MINS",calls[[#This Row],[Duration]]&lt;=120,"1 TO 2 HRS",TRUE,"MORE THAN 2 HRS")</f>
        <v>30 TO 60 MINS</v>
      </c>
      <c r="K928">
        <f>ROUND(calls[[#This Row],[Satisfaction Rating]],0)</f>
        <v>3</v>
      </c>
    </row>
    <row r="929" spans="1:11" x14ac:dyDescent="0.3">
      <c r="A929" s="41" t="s">
        <v>1980</v>
      </c>
      <c r="B929" s="10" t="s">
        <v>1056</v>
      </c>
      <c r="C929" s="10">
        <v>71</v>
      </c>
      <c r="D929" s="39" t="s">
        <v>1057</v>
      </c>
      <c r="E929" s="40">
        <v>45247</v>
      </c>
      <c r="F929" s="10">
        <v>64</v>
      </c>
      <c r="G929" s="42">
        <v>3.9</v>
      </c>
      <c r="H929">
        <f>IF(MONTH(calls[[#This Row],[Date of Call]])&lt;=6,YEAR(calls[[#This Row],[Date of Call]]),YEAR(calls[[#This Row],[Date of Call]])+1)</f>
        <v>2024</v>
      </c>
      <c r="I929" t="str">
        <f>TEXT(calls[[#This Row],[Date of Call]],"DDDD")</f>
        <v>Friday</v>
      </c>
      <c r="J929" t="str" cm="1">
        <f t="array" ref="J929">_xlfn.IFS(calls[[#This Row],[Duration]]&lt;=10,"UNDER 10 MINS",calls[[#This Row],[Duration]]&lt;=30,"10 TO 30 MINS",calls[[#This Row],[Duration]]&lt;=60,"30 TO 60 MINS",calls[[#This Row],[Duration]]&lt;=120,"1 TO 2 HRS",TRUE,"MORE THAN 2 HRS")</f>
        <v>1 TO 2 HRS</v>
      </c>
      <c r="K929">
        <f>ROUND(calls[[#This Row],[Satisfaction Rating]],0)</f>
        <v>4</v>
      </c>
    </row>
    <row r="930" spans="1:11" x14ac:dyDescent="0.3">
      <c r="A930" s="41" t="s">
        <v>1981</v>
      </c>
      <c r="B930" s="10" t="s">
        <v>1079</v>
      </c>
      <c r="C930" s="10">
        <v>93</v>
      </c>
      <c r="D930" s="39" t="s">
        <v>1038</v>
      </c>
      <c r="E930" s="40">
        <v>45248</v>
      </c>
      <c r="F930" s="10">
        <v>185</v>
      </c>
      <c r="G930" s="42">
        <v>4.3</v>
      </c>
      <c r="H930">
        <f>IF(MONTH(calls[[#This Row],[Date of Call]])&lt;=6,YEAR(calls[[#This Row],[Date of Call]]),YEAR(calls[[#This Row],[Date of Call]])+1)</f>
        <v>2024</v>
      </c>
      <c r="I930" t="str">
        <f>TEXT(calls[[#This Row],[Date of Call]],"DDDD")</f>
        <v>Saturday</v>
      </c>
      <c r="J930" t="str" cm="1">
        <f t="array" ref="J930">_xlfn.IFS(calls[[#This Row],[Duration]]&lt;=10,"UNDER 10 MINS",calls[[#This Row],[Duration]]&lt;=30,"10 TO 30 MINS",calls[[#This Row],[Duration]]&lt;=60,"30 TO 60 MINS",calls[[#This Row],[Duration]]&lt;=120,"1 TO 2 HRS",TRUE,"MORE THAN 2 HRS")</f>
        <v>1 TO 2 HRS</v>
      </c>
      <c r="K930">
        <f>ROUND(calls[[#This Row],[Satisfaction Rating]],0)</f>
        <v>4</v>
      </c>
    </row>
    <row r="931" spans="1:11" x14ac:dyDescent="0.3">
      <c r="A931" s="41" t="s">
        <v>1982</v>
      </c>
      <c r="B931" s="10" t="s">
        <v>1045</v>
      </c>
      <c r="C931" s="10">
        <v>96</v>
      </c>
      <c r="D931" s="39" t="s">
        <v>1043</v>
      </c>
      <c r="E931" s="40">
        <v>45248</v>
      </c>
      <c r="F931" s="10">
        <v>215</v>
      </c>
      <c r="G931" s="42">
        <v>2.5</v>
      </c>
      <c r="H931">
        <f>IF(MONTH(calls[[#This Row],[Date of Call]])&lt;=6,YEAR(calls[[#This Row],[Date of Call]]),YEAR(calls[[#This Row],[Date of Call]])+1)</f>
        <v>2024</v>
      </c>
      <c r="I931" t="str">
        <f>TEXT(calls[[#This Row],[Date of Call]],"DDDD")</f>
        <v>Saturday</v>
      </c>
      <c r="J931" t="str" cm="1">
        <f t="array" ref="J931">_xlfn.IFS(calls[[#This Row],[Duration]]&lt;=10,"UNDER 10 MINS",calls[[#This Row],[Duration]]&lt;=30,"10 TO 30 MINS",calls[[#This Row],[Duration]]&lt;=60,"30 TO 60 MINS",calls[[#This Row],[Duration]]&lt;=120,"1 TO 2 HRS",TRUE,"MORE THAN 2 HRS")</f>
        <v>1 TO 2 HRS</v>
      </c>
      <c r="K931">
        <f>ROUND(calls[[#This Row],[Satisfaction Rating]],0)</f>
        <v>3</v>
      </c>
    </row>
    <row r="932" spans="1:11" x14ac:dyDescent="0.3">
      <c r="A932" s="41" t="s">
        <v>1983</v>
      </c>
      <c r="B932" s="10" t="s">
        <v>1062</v>
      </c>
      <c r="C932" s="10">
        <v>31</v>
      </c>
      <c r="D932" s="39" t="s">
        <v>1048</v>
      </c>
      <c r="E932" s="40">
        <v>45248</v>
      </c>
      <c r="F932" s="10">
        <v>88</v>
      </c>
      <c r="G932" s="42">
        <v>3.4</v>
      </c>
      <c r="H932">
        <f>IF(MONTH(calls[[#This Row],[Date of Call]])&lt;=6,YEAR(calls[[#This Row],[Date of Call]]),YEAR(calls[[#This Row],[Date of Call]])+1)</f>
        <v>2024</v>
      </c>
      <c r="I932" t="str">
        <f>TEXT(calls[[#This Row],[Date of Call]],"DDDD")</f>
        <v>Saturday</v>
      </c>
      <c r="J932" t="str" cm="1">
        <f t="array" ref="J932">_xlfn.IFS(calls[[#This Row],[Duration]]&lt;=10,"UNDER 10 MINS",calls[[#This Row],[Duration]]&lt;=30,"10 TO 30 MINS",calls[[#This Row],[Duration]]&lt;=60,"30 TO 60 MINS",calls[[#This Row],[Duration]]&lt;=120,"1 TO 2 HRS",TRUE,"MORE THAN 2 HRS")</f>
        <v>30 TO 60 MINS</v>
      </c>
      <c r="K932">
        <f>ROUND(calls[[#This Row],[Satisfaction Rating]],0)</f>
        <v>3</v>
      </c>
    </row>
    <row r="933" spans="1:11" x14ac:dyDescent="0.3">
      <c r="A933" s="41" t="s">
        <v>1984</v>
      </c>
      <c r="B933" s="10" t="s">
        <v>1079</v>
      </c>
      <c r="C933" s="10">
        <v>107</v>
      </c>
      <c r="D933" s="39" t="s">
        <v>1057</v>
      </c>
      <c r="E933" s="40">
        <v>45248</v>
      </c>
      <c r="F933" s="10">
        <v>23</v>
      </c>
      <c r="G933" s="42">
        <v>3.4</v>
      </c>
      <c r="H933">
        <f>IF(MONTH(calls[[#This Row],[Date of Call]])&lt;=6,YEAR(calls[[#This Row],[Date of Call]]),YEAR(calls[[#This Row],[Date of Call]])+1)</f>
        <v>2024</v>
      </c>
      <c r="I933" t="str">
        <f>TEXT(calls[[#This Row],[Date of Call]],"DDDD")</f>
        <v>Saturday</v>
      </c>
      <c r="J933" t="str" cm="1">
        <f t="array" ref="J933">_xlfn.IFS(calls[[#This Row],[Duration]]&lt;=10,"UNDER 10 MINS",calls[[#This Row],[Duration]]&lt;=30,"10 TO 30 MINS",calls[[#This Row],[Duration]]&lt;=60,"30 TO 60 MINS",calls[[#This Row],[Duration]]&lt;=120,"1 TO 2 HRS",TRUE,"MORE THAN 2 HRS")</f>
        <v>1 TO 2 HRS</v>
      </c>
      <c r="K933">
        <f>ROUND(calls[[#This Row],[Satisfaction Rating]],0)</f>
        <v>3</v>
      </c>
    </row>
    <row r="934" spans="1:11" x14ac:dyDescent="0.3">
      <c r="A934" s="41" t="s">
        <v>1985</v>
      </c>
      <c r="B934" s="10" t="s">
        <v>1042</v>
      </c>
      <c r="C934" s="10">
        <v>50</v>
      </c>
      <c r="D934" s="39" t="s">
        <v>1048</v>
      </c>
      <c r="E934" s="40">
        <v>45249</v>
      </c>
      <c r="F934" s="10">
        <v>180</v>
      </c>
      <c r="G934" s="42">
        <v>1.8</v>
      </c>
      <c r="H934">
        <f>IF(MONTH(calls[[#This Row],[Date of Call]])&lt;=6,YEAR(calls[[#This Row],[Date of Call]]),YEAR(calls[[#This Row],[Date of Call]])+1)</f>
        <v>2024</v>
      </c>
      <c r="I934" t="str">
        <f>TEXT(calls[[#This Row],[Date of Call]],"DDDD")</f>
        <v>Sunday</v>
      </c>
      <c r="J934" t="str" cm="1">
        <f t="array" ref="J934">_xlfn.IFS(calls[[#This Row],[Duration]]&lt;=10,"UNDER 10 MINS",calls[[#This Row],[Duration]]&lt;=30,"10 TO 30 MINS",calls[[#This Row],[Duration]]&lt;=60,"30 TO 60 MINS",calls[[#This Row],[Duration]]&lt;=120,"1 TO 2 HRS",TRUE,"MORE THAN 2 HRS")</f>
        <v>30 TO 60 MINS</v>
      </c>
      <c r="K934">
        <f>ROUND(calls[[#This Row],[Satisfaction Rating]],0)</f>
        <v>2</v>
      </c>
    </row>
    <row r="935" spans="1:11" x14ac:dyDescent="0.3">
      <c r="A935" s="41" t="s">
        <v>1986</v>
      </c>
      <c r="B935" s="10" t="s">
        <v>1089</v>
      </c>
      <c r="C935" s="10">
        <v>69</v>
      </c>
      <c r="D935" s="39" t="s">
        <v>1057</v>
      </c>
      <c r="E935" s="40">
        <v>45250</v>
      </c>
      <c r="F935" s="10">
        <v>225</v>
      </c>
      <c r="G935" s="42">
        <v>3.7</v>
      </c>
      <c r="H935">
        <f>IF(MONTH(calls[[#This Row],[Date of Call]])&lt;=6,YEAR(calls[[#This Row],[Date of Call]]),YEAR(calls[[#This Row],[Date of Call]])+1)</f>
        <v>2024</v>
      </c>
      <c r="I935" t="str">
        <f>TEXT(calls[[#This Row],[Date of Call]],"DDDD")</f>
        <v>Monday</v>
      </c>
      <c r="J935" t="str" cm="1">
        <f t="array" ref="J935">_xlfn.IFS(calls[[#This Row],[Duration]]&lt;=10,"UNDER 10 MINS",calls[[#This Row],[Duration]]&lt;=30,"10 TO 30 MINS",calls[[#This Row],[Duration]]&lt;=60,"30 TO 60 MINS",calls[[#This Row],[Duration]]&lt;=120,"1 TO 2 HRS",TRUE,"MORE THAN 2 HRS")</f>
        <v>1 TO 2 HRS</v>
      </c>
      <c r="K935">
        <f>ROUND(calls[[#This Row],[Satisfaction Rating]],0)</f>
        <v>4</v>
      </c>
    </row>
    <row r="936" spans="1:11" x14ac:dyDescent="0.3">
      <c r="A936" s="41" t="s">
        <v>1987</v>
      </c>
      <c r="B936" s="10" t="s">
        <v>1047</v>
      </c>
      <c r="C936" s="10">
        <v>26</v>
      </c>
      <c r="D936" s="39" t="s">
        <v>1043</v>
      </c>
      <c r="E936" s="40">
        <v>45251</v>
      </c>
      <c r="F936" s="10">
        <v>74</v>
      </c>
      <c r="G936" s="42">
        <v>4.0999999999999996</v>
      </c>
      <c r="H936">
        <f>IF(MONTH(calls[[#This Row],[Date of Call]])&lt;=6,YEAR(calls[[#This Row],[Date of Call]]),YEAR(calls[[#This Row],[Date of Call]])+1)</f>
        <v>2024</v>
      </c>
      <c r="I936" t="str">
        <f>TEXT(calls[[#This Row],[Date of Call]],"DDDD")</f>
        <v>Tuesday</v>
      </c>
      <c r="J936" t="str" cm="1">
        <f t="array" ref="J936">_xlfn.IFS(calls[[#This Row],[Duration]]&lt;=10,"UNDER 10 MINS",calls[[#This Row],[Duration]]&lt;=30,"10 TO 30 MINS",calls[[#This Row],[Duration]]&lt;=60,"30 TO 60 MINS",calls[[#This Row],[Duration]]&lt;=120,"1 TO 2 HRS",TRUE,"MORE THAN 2 HRS")</f>
        <v>10 TO 30 MINS</v>
      </c>
      <c r="K936">
        <f>ROUND(calls[[#This Row],[Satisfaction Rating]],0)</f>
        <v>4</v>
      </c>
    </row>
    <row r="937" spans="1:11" x14ac:dyDescent="0.3">
      <c r="A937" s="41" t="s">
        <v>1988</v>
      </c>
      <c r="B937" s="10" t="s">
        <v>1045</v>
      </c>
      <c r="C937" s="10">
        <v>158</v>
      </c>
      <c r="D937" s="39" t="s">
        <v>1057</v>
      </c>
      <c r="E937" s="40">
        <v>45251</v>
      </c>
      <c r="F937" s="10">
        <v>36</v>
      </c>
      <c r="G937" s="42">
        <v>3</v>
      </c>
      <c r="H937">
        <f>IF(MONTH(calls[[#This Row],[Date of Call]])&lt;=6,YEAR(calls[[#This Row],[Date of Call]]),YEAR(calls[[#This Row],[Date of Call]])+1)</f>
        <v>2024</v>
      </c>
      <c r="I937" t="str">
        <f>TEXT(calls[[#This Row],[Date of Call]],"DDDD")</f>
        <v>Tuesday</v>
      </c>
      <c r="J937" t="str" cm="1">
        <f t="array" ref="J937">_xlfn.IFS(calls[[#This Row],[Duration]]&lt;=10,"UNDER 10 MINS",calls[[#This Row],[Duration]]&lt;=30,"10 TO 30 MINS",calls[[#This Row],[Duration]]&lt;=60,"30 TO 60 MINS",calls[[#This Row],[Duration]]&lt;=120,"1 TO 2 HRS",TRUE,"MORE THAN 2 HRS")</f>
        <v>MORE THAN 2 HRS</v>
      </c>
      <c r="K937">
        <f>ROUND(calls[[#This Row],[Satisfaction Rating]],0)</f>
        <v>3</v>
      </c>
    </row>
    <row r="938" spans="1:11" x14ac:dyDescent="0.3">
      <c r="A938" s="41" t="s">
        <v>1989</v>
      </c>
      <c r="B938" s="10" t="s">
        <v>1051</v>
      </c>
      <c r="C938" s="10">
        <v>99</v>
      </c>
      <c r="D938" s="39" t="s">
        <v>1057</v>
      </c>
      <c r="E938" s="40">
        <v>45253</v>
      </c>
      <c r="F938" s="10">
        <v>116</v>
      </c>
      <c r="G938" s="42">
        <v>3.9</v>
      </c>
      <c r="H938">
        <f>IF(MONTH(calls[[#This Row],[Date of Call]])&lt;=6,YEAR(calls[[#This Row],[Date of Call]]),YEAR(calls[[#This Row],[Date of Call]])+1)</f>
        <v>2024</v>
      </c>
      <c r="I938" t="str">
        <f>TEXT(calls[[#This Row],[Date of Call]],"DDDD")</f>
        <v>Thursday</v>
      </c>
      <c r="J938" t="str" cm="1">
        <f t="array" ref="J938">_xlfn.IFS(calls[[#This Row],[Duration]]&lt;=10,"UNDER 10 MINS",calls[[#This Row],[Duration]]&lt;=30,"10 TO 30 MINS",calls[[#This Row],[Duration]]&lt;=60,"30 TO 60 MINS",calls[[#This Row],[Duration]]&lt;=120,"1 TO 2 HRS",TRUE,"MORE THAN 2 HRS")</f>
        <v>1 TO 2 HRS</v>
      </c>
      <c r="K938">
        <f>ROUND(calls[[#This Row],[Satisfaction Rating]],0)</f>
        <v>4</v>
      </c>
    </row>
    <row r="939" spans="1:11" x14ac:dyDescent="0.3">
      <c r="A939" s="41" t="s">
        <v>1990</v>
      </c>
      <c r="B939" s="10" t="s">
        <v>1045</v>
      </c>
      <c r="C939" s="10">
        <v>78</v>
      </c>
      <c r="D939" s="39" t="s">
        <v>1048</v>
      </c>
      <c r="E939" s="40">
        <v>45253</v>
      </c>
      <c r="F939" s="10">
        <v>140</v>
      </c>
      <c r="G939" s="42">
        <v>4</v>
      </c>
      <c r="H939">
        <f>IF(MONTH(calls[[#This Row],[Date of Call]])&lt;=6,YEAR(calls[[#This Row],[Date of Call]]),YEAR(calls[[#This Row],[Date of Call]])+1)</f>
        <v>2024</v>
      </c>
      <c r="I939" t="str">
        <f>TEXT(calls[[#This Row],[Date of Call]],"DDDD")</f>
        <v>Thursday</v>
      </c>
      <c r="J939" t="str" cm="1">
        <f t="array" ref="J939">_xlfn.IFS(calls[[#This Row],[Duration]]&lt;=10,"UNDER 10 MINS",calls[[#This Row],[Duration]]&lt;=30,"10 TO 30 MINS",calls[[#This Row],[Duration]]&lt;=60,"30 TO 60 MINS",calls[[#This Row],[Duration]]&lt;=120,"1 TO 2 HRS",TRUE,"MORE THAN 2 HRS")</f>
        <v>1 TO 2 HRS</v>
      </c>
      <c r="K939">
        <f>ROUND(calls[[#This Row],[Satisfaction Rating]],0)</f>
        <v>4</v>
      </c>
    </row>
    <row r="940" spans="1:11" x14ac:dyDescent="0.3">
      <c r="A940" s="41" t="s">
        <v>1991</v>
      </c>
      <c r="B940" s="10" t="s">
        <v>1045</v>
      </c>
      <c r="C940" s="10">
        <v>102</v>
      </c>
      <c r="D940" s="39" t="s">
        <v>1043</v>
      </c>
      <c r="E940" s="40">
        <v>45254</v>
      </c>
      <c r="F940" s="10">
        <v>104</v>
      </c>
      <c r="G940" s="42">
        <v>4.5</v>
      </c>
      <c r="H940">
        <f>IF(MONTH(calls[[#This Row],[Date of Call]])&lt;=6,YEAR(calls[[#This Row],[Date of Call]]),YEAR(calls[[#This Row],[Date of Call]])+1)</f>
        <v>2024</v>
      </c>
      <c r="I940" t="str">
        <f>TEXT(calls[[#This Row],[Date of Call]],"DDDD")</f>
        <v>Friday</v>
      </c>
      <c r="J940" t="str" cm="1">
        <f t="array" ref="J940">_xlfn.IFS(calls[[#This Row],[Duration]]&lt;=10,"UNDER 10 MINS",calls[[#This Row],[Duration]]&lt;=30,"10 TO 30 MINS",calls[[#This Row],[Duration]]&lt;=60,"30 TO 60 MINS",calls[[#This Row],[Duration]]&lt;=120,"1 TO 2 HRS",TRUE,"MORE THAN 2 HRS")</f>
        <v>1 TO 2 HRS</v>
      </c>
      <c r="K940">
        <f>ROUND(calls[[#This Row],[Satisfaction Rating]],0)</f>
        <v>5</v>
      </c>
    </row>
    <row r="941" spans="1:11" x14ac:dyDescent="0.3">
      <c r="A941" s="41" t="s">
        <v>1992</v>
      </c>
      <c r="B941" s="10" t="s">
        <v>1051</v>
      </c>
      <c r="C941" s="10">
        <v>158</v>
      </c>
      <c r="D941" s="39" t="s">
        <v>1053</v>
      </c>
      <c r="E941" s="40">
        <v>45254</v>
      </c>
      <c r="F941" s="10">
        <v>148</v>
      </c>
      <c r="G941" s="42">
        <v>4</v>
      </c>
      <c r="H941">
        <f>IF(MONTH(calls[[#This Row],[Date of Call]])&lt;=6,YEAR(calls[[#This Row],[Date of Call]]),YEAR(calls[[#This Row],[Date of Call]])+1)</f>
        <v>2024</v>
      </c>
      <c r="I941" t="str">
        <f>TEXT(calls[[#This Row],[Date of Call]],"DDDD")</f>
        <v>Friday</v>
      </c>
      <c r="J941" t="str" cm="1">
        <f t="array" ref="J941">_xlfn.IFS(calls[[#This Row],[Duration]]&lt;=10,"UNDER 10 MINS",calls[[#This Row],[Duration]]&lt;=30,"10 TO 30 MINS",calls[[#This Row],[Duration]]&lt;=60,"30 TO 60 MINS",calls[[#This Row],[Duration]]&lt;=120,"1 TO 2 HRS",TRUE,"MORE THAN 2 HRS")</f>
        <v>MORE THAN 2 HRS</v>
      </c>
      <c r="K941">
        <f>ROUND(calls[[#This Row],[Satisfaction Rating]],0)</f>
        <v>4</v>
      </c>
    </row>
    <row r="942" spans="1:11" x14ac:dyDescent="0.3">
      <c r="A942" s="41" t="s">
        <v>1993</v>
      </c>
      <c r="B942" s="10" t="s">
        <v>1062</v>
      </c>
      <c r="C942" s="10">
        <v>56</v>
      </c>
      <c r="D942" s="39" t="s">
        <v>1057</v>
      </c>
      <c r="E942" s="40">
        <v>45254</v>
      </c>
      <c r="F942" s="10">
        <v>205</v>
      </c>
      <c r="G942" s="42">
        <v>4.3</v>
      </c>
      <c r="H942">
        <f>IF(MONTH(calls[[#This Row],[Date of Call]])&lt;=6,YEAR(calls[[#This Row],[Date of Call]]),YEAR(calls[[#This Row],[Date of Call]])+1)</f>
        <v>2024</v>
      </c>
      <c r="I942" t="str">
        <f>TEXT(calls[[#This Row],[Date of Call]],"DDDD")</f>
        <v>Friday</v>
      </c>
      <c r="J942" t="str" cm="1">
        <f t="array" ref="J942">_xlfn.IFS(calls[[#This Row],[Duration]]&lt;=10,"UNDER 10 MINS",calls[[#This Row],[Duration]]&lt;=30,"10 TO 30 MINS",calls[[#This Row],[Duration]]&lt;=60,"30 TO 60 MINS",calls[[#This Row],[Duration]]&lt;=120,"1 TO 2 HRS",TRUE,"MORE THAN 2 HRS")</f>
        <v>30 TO 60 MINS</v>
      </c>
      <c r="K942">
        <f>ROUND(calls[[#This Row],[Satisfaction Rating]],0)</f>
        <v>4</v>
      </c>
    </row>
    <row r="943" spans="1:11" x14ac:dyDescent="0.3">
      <c r="A943" s="41" t="s">
        <v>1994</v>
      </c>
      <c r="B943" s="10" t="s">
        <v>1040</v>
      </c>
      <c r="C943" s="10">
        <v>17</v>
      </c>
      <c r="D943" s="39" t="s">
        <v>1038</v>
      </c>
      <c r="E943" s="40">
        <v>45254</v>
      </c>
      <c r="F943" s="10">
        <v>210</v>
      </c>
      <c r="G943" s="42">
        <v>4.8</v>
      </c>
      <c r="H943">
        <f>IF(MONTH(calls[[#This Row],[Date of Call]])&lt;=6,YEAR(calls[[#This Row],[Date of Call]]),YEAR(calls[[#This Row],[Date of Call]])+1)</f>
        <v>2024</v>
      </c>
      <c r="I943" t="str">
        <f>TEXT(calls[[#This Row],[Date of Call]],"DDDD")</f>
        <v>Friday</v>
      </c>
      <c r="J943" t="str" cm="1">
        <f t="array" ref="J943">_xlfn.IFS(calls[[#This Row],[Duration]]&lt;=10,"UNDER 10 MINS",calls[[#This Row],[Duration]]&lt;=30,"10 TO 30 MINS",calls[[#This Row],[Duration]]&lt;=60,"30 TO 60 MINS",calls[[#This Row],[Duration]]&lt;=120,"1 TO 2 HRS",TRUE,"MORE THAN 2 HRS")</f>
        <v>10 TO 30 MINS</v>
      </c>
      <c r="K943">
        <f>ROUND(calls[[#This Row],[Satisfaction Rating]],0)</f>
        <v>5</v>
      </c>
    </row>
    <row r="944" spans="1:11" x14ac:dyDescent="0.3">
      <c r="A944" s="41" t="s">
        <v>1995</v>
      </c>
      <c r="B944" s="10" t="s">
        <v>1047</v>
      </c>
      <c r="C944" s="10">
        <v>104</v>
      </c>
      <c r="D944" s="39" t="s">
        <v>1053</v>
      </c>
      <c r="E944" s="40">
        <v>45256</v>
      </c>
      <c r="F944" s="10">
        <v>41</v>
      </c>
      <c r="G944" s="42">
        <v>4.7</v>
      </c>
      <c r="H944">
        <f>IF(MONTH(calls[[#This Row],[Date of Call]])&lt;=6,YEAR(calls[[#This Row],[Date of Call]]),YEAR(calls[[#This Row],[Date of Call]])+1)</f>
        <v>2024</v>
      </c>
      <c r="I944" t="str">
        <f>TEXT(calls[[#This Row],[Date of Call]],"DDDD")</f>
        <v>Sunday</v>
      </c>
      <c r="J944" t="str" cm="1">
        <f t="array" ref="J944">_xlfn.IFS(calls[[#This Row],[Duration]]&lt;=10,"UNDER 10 MINS",calls[[#This Row],[Duration]]&lt;=30,"10 TO 30 MINS",calls[[#This Row],[Duration]]&lt;=60,"30 TO 60 MINS",calls[[#This Row],[Duration]]&lt;=120,"1 TO 2 HRS",TRUE,"MORE THAN 2 HRS")</f>
        <v>1 TO 2 HRS</v>
      </c>
      <c r="K944">
        <f>ROUND(calls[[#This Row],[Satisfaction Rating]],0)</f>
        <v>5</v>
      </c>
    </row>
    <row r="945" spans="1:11" x14ac:dyDescent="0.3">
      <c r="A945" s="41" t="s">
        <v>1996</v>
      </c>
      <c r="B945" s="10" t="s">
        <v>1076</v>
      </c>
      <c r="C945" s="10">
        <v>96</v>
      </c>
      <c r="D945" s="39" t="s">
        <v>1048</v>
      </c>
      <c r="E945" s="40">
        <v>45256</v>
      </c>
      <c r="F945" s="10">
        <v>136</v>
      </c>
      <c r="G945" s="42">
        <v>5</v>
      </c>
      <c r="H945">
        <f>IF(MONTH(calls[[#This Row],[Date of Call]])&lt;=6,YEAR(calls[[#This Row],[Date of Call]]),YEAR(calls[[#This Row],[Date of Call]])+1)</f>
        <v>2024</v>
      </c>
      <c r="I945" t="str">
        <f>TEXT(calls[[#This Row],[Date of Call]],"DDDD")</f>
        <v>Sunday</v>
      </c>
      <c r="J945" t="str" cm="1">
        <f t="array" ref="J945">_xlfn.IFS(calls[[#This Row],[Duration]]&lt;=10,"UNDER 10 MINS",calls[[#This Row],[Duration]]&lt;=30,"10 TO 30 MINS",calls[[#This Row],[Duration]]&lt;=60,"30 TO 60 MINS",calls[[#This Row],[Duration]]&lt;=120,"1 TO 2 HRS",TRUE,"MORE THAN 2 HRS")</f>
        <v>1 TO 2 HRS</v>
      </c>
      <c r="K945">
        <f>ROUND(calls[[#This Row],[Satisfaction Rating]],0)</f>
        <v>5</v>
      </c>
    </row>
    <row r="946" spans="1:11" x14ac:dyDescent="0.3">
      <c r="A946" s="41" t="s">
        <v>1997</v>
      </c>
      <c r="B946" s="10" t="s">
        <v>1068</v>
      </c>
      <c r="C946" s="10">
        <v>83</v>
      </c>
      <c r="D946" s="39" t="s">
        <v>1043</v>
      </c>
      <c r="E946" s="40">
        <v>45257</v>
      </c>
      <c r="F946" s="10">
        <v>126</v>
      </c>
      <c r="G946" s="42">
        <v>1.5</v>
      </c>
      <c r="H946">
        <f>IF(MONTH(calls[[#This Row],[Date of Call]])&lt;=6,YEAR(calls[[#This Row],[Date of Call]]),YEAR(calls[[#This Row],[Date of Call]])+1)</f>
        <v>2024</v>
      </c>
      <c r="I946" t="str">
        <f>TEXT(calls[[#This Row],[Date of Call]],"DDDD")</f>
        <v>Monday</v>
      </c>
      <c r="J946" t="str" cm="1">
        <f t="array" ref="J946">_xlfn.IFS(calls[[#This Row],[Duration]]&lt;=10,"UNDER 10 MINS",calls[[#This Row],[Duration]]&lt;=30,"10 TO 30 MINS",calls[[#This Row],[Duration]]&lt;=60,"30 TO 60 MINS",calls[[#This Row],[Duration]]&lt;=120,"1 TO 2 HRS",TRUE,"MORE THAN 2 HRS")</f>
        <v>1 TO 2 HRS</v>
      </c>
      <c r="K946">
        <f>ROUND(calls[[#This Row],[Satisfaction Rating]],0)</f>
        <v>2</v>
      </c>
    </row>
    <row r="947" spans="1:11" x14ac:dyDescent="0.3">
      <c r="A947" s="41" t="s">
        <v>1998</v>
      </c>
      <c r="B947" s="10" t="s">
        <v>1042</v>
      </c>
      <c r="C947" s="10">
        <v>80</v>
      </c>
      <c r="D947" s="39" t="s">
        <v>1038</v>
      </c>
      <c r="E947" s="40">
        <v>45258</v>
      </c>
      <c r="F947" s="10">
        <v>148</v>
      </c>
      <c r="G947" s="42">
        <v>4.0999999999999996</v>
      </c>
      <c r="H947">
        <f>IF(MONTH(calls[[#This Row],[Date of Call]])&lt;=6,YEAR(calls[[#This Row],[Date of Call]]),YEAR(calls[[#This Row],[Date of Call]])+1)</f>
        <v>2024</v>
      </c>
      <c r="I947" t="str">
        <f>TEXT(calls[[#This Row],[Date of Call]],"DDDD")</f>
        <v>Tuesday</v>
      </c>
      <c r="J947" t="str" cm="1">
        <f t="array" ref="J947">_xlfn.IFS(calls[[#This Row],[Duration]]&lt;=10,"UNDER 10 MINS",calls[[#This Row],[Duration]]&lt;=30,"10 TO 30 MINS",calls[[#This Row],[Duration]]&lt;=60,"30 TO 60 MINS",calls[[#This Row],[Duration]]&lt;=120,"1 TO 2 HRS",TRUE,"MORE THAN 2 HRS")</f>
        <v>1 TO 2 HRS</v>
      </c>
      <c r="K947">
        <f>ROUND(calls[[#This Row],[Satisfaction Rating]],0)</f>
        <v>4</v>
      </c>
    </row>
    <row r="948" spans="1:11" x14ac:dyDescent="0.3">
      <c r="A948" s="41" t="s">
        <v>1999</v>
      </c>
      <c r="B948" s="10" t="s">
        <v>1068</v>
      </c>
      <c r="C948" s="10">
        <v>152</v>
      </c>
      <c r="D948" s="39" t="s">
        <v>1043</v>
      </c>
      <c r="E948" s="40">
        <v>45258</v>
      </c>
      <c r="F948" s="10">
        <v>125</v>
      </c>
      <c r="G948" s="42">
        <v>3.9</v>
      </c>
      <c r="H948">
        <f>IF(MONTH(calls[[#This Row],[Date of Call]])&lt;=6,YEAR(calls[[#This Row],[Date of Call]]),YEAR(calls[[#This Row],[Date of Call]])+1)</f>
        <v>2024</v>
      </c>
      <c r="I948" t="str">
        <f>TEXT(calls[[#This Row],[Date of Call]],"DDDD")</f>
        <v>Tuesday</v>
      </c>
      <c r="J948" t="str" cm="1">
        <f t="array" ref="J948">_xlfn.IFS(calls[[#This Row],[Duration]]&lt;=10,"UNDER 10 MINS",calls[[#This Row],[Duration]]&lt;=30,"10 TO 30 MINS",calls[[#This Row],[Duration]]&lt;=60,"30 TO 60 MINS",calls[[#This Row],[Duration]]&lt;=120,"1 TO 2 HRS",TRUE,"MORE THAN 2 HRS")</f>
        <v>MORE THAN 2 HRS</v>
      </c>
      <c r="K948">
        <f>ROUND(calls[[#This Row],[Satisfaction Rating]],0)</f>
        <v>4</v>
      </c>
    </row>
    <row r="949" spans="1:11" x14ac:dyDescent="0.3">
      <c r="A949" s="41" t="s">
        <v>2000</v>
      </c>
      <c r="B949" s="10" t="s">
        <v>1056</v>
      </c>
      <c r="C949" s="10">
        <v>34</v>
      </c>
      <c r="D949" s="39" t="s">
        <v>1048</v>
      </c>
      <c r="E949" s="40">
        <v>45258</v>
      </c>
      <c r="F949" s="10">
        <v>25</v>
      </c>
      <c r="G949" s="42">
        <v>4.0999999999999996</v>
      </c>
      <c r="H949">
        <f>IF(MONTH(calls[[#This Row],[Date of Call]])&lt;=6,YEAR(calls[[#This Row],[Date of Call]]),YEAR(calls[[#This Row],[Date of Call]])+1)</f>
        <v>2024</v>
      </c>
      <c r="I949" t="str">
        <f>TEXT(calls[[#This Row],[Date of Call]],"DDDD")</f>
        <v>Tuesday</v>
      </c>
      <c r="J949" t="str" cm="1">
        <f t="array" ref="J949">_xlfn.IFS(calls[[#This Row],[Duration]]&lt;=10,"UNDER 10 MINS",calls[[#This Row],[Duration]]&lt;=30,"10 TO 30 MINS",calls[[#This Row],[Duration]]&lt;=60,"30 TO 60 MINS",calls[[#This Row],[Duration]]&lt;=120,"1 TO 2 HRS",TRUE,"MORE THAN 2 HRS")</f>
        <v>30 TO 60 MINS</v>
      </c>
      <c r="K949">
        <f>ROUND(calls[[#This Row],[Satisfaction Rating]],0)</f>
        <v>4</v>
      </c>
    </row>
    <row r="950" spans="1:11" x14ac:dyDescent="0.3">
      <c r="A950" s="41" t="s">
        <v>2001</v>
      </c>
      <c r="B950" s="10" t="s">
        <v>1060</v>
      </c>
      <c r="C950" s="10">
        <v>2</v>
      </c>
      <c r="D950" s="39" t="s">
        <v>1057</v>
      </c>
      <c r="E950" s="40">
        <v>45259</v>
      </c>
      <c r="F950" s="10">
        <v>62</v>
      </c>
      <c r="G950" s="42">
        <v>2.8</v>
      </c>
      <c r="H950">
        <f>IF(MONTH(calls[[#This Row],[Date of Call]])&lt;=6,YEAR(calls[[#This Row],[Date of Call]]),YEAR(calls[[#This Row],[Date of Call]])+1)</f>
        <v>2024</v>
      </c>
      <c r="I950" t="str">
        <f>TEXT(calls[[#This Row],[Date of Call]],"DDDD")</f>
        <v>Wednesday</v>
      </c>
      <c r="J950" t="str" cm="1">
        <f t="array" ref="J950">_xlfn.IFS(calls[[#This Row],[Duration]]&lt;=10,"UNDER 10 MINS",calls[[#This Row],[Duration]]&lt;=30,"10 TO 30 MINS",calls[[#This Row],[Duration]]&lt;=60,"30 TO 60 MINS",calls[[#This Row],[Duration]]&lt;=120,"1 TO 2 HRS",TRUE,"MORE THAN 2 HRS")</f>
        <v>UNDER 10 MINS</v>
      </c>
      <c r="K950">
        <f>ROUND(calls[[#This Row],[Satisfaction Rating]],0)</f>
        <v>3</v>
      </c>
    </row>
    <row r="951" spans="1:11" x14ac:dyDescent="0.3">
      <c r="A951" s="41" t="s">
        <v>2002</v>
      </c>
      <c r="B951" s="10" t="s">
        <v>1042</v>
      </c>
      <c r="C951" s="10">
        <v>140</v>
      </c>
      <c r="D951" s="39" t="s">
        <v>1048</v>
      </c>
      <c r="E951" s="40">
        <v>45260</v>
      </c>
      <c r="F951" s="10">
        <v>90</v>
      </c>
      <c r="G951" s="42">
        <v>4.5999999999999996</v>
      </c>
      <c r="H951">
        <f>IF(MONTH(calls[[#This Row],[Date of Call]])&lt;=6,YEAR(calls[[#This Row],[Date of Call]]),YEAR(calls[[#This Row],[Date of Call]])+1)</f>
        <v>2024</v>
      </c>
      <c r="I951" t="str">
        <f>TEXT(calls[[#This Row],[Date of Call]],"DDDD")</f>
        <v>Thursday</v>
      </c>
      <c r="J951" t="str" cm="1">
        <f t="array" ref="J951">_xlfn.IFS(calls[[#This Row],[Duration]]&lt;=10,"UNDER 10 MINS",calls[[#This Row],[Duration]]&lt;=30,"10 TO 30 MINS",calls[[#This Row],[Duration]]&lt;=60,"30 TO 60 MINS",calls[[#This Row],[Duration]]&lt;=120,"1 TO 2 HRS",TRUE,"MORE THAN 2 HRS")</f>
        <v>MORE THAN 2 HRS</v>
      </c>
      <c r="K951">
        <f>ROUND(calls[[#This Row],[Satisfaction Rating]],0)</f>
        <v>5</v>
      </c>
    </row>
    <row r="952" spans="1:11" x14ac:dyDescent="0.3">
      <c r="A952" s="41" t="s">
        <v>2003</v>
      </c>
      <c r="B952" s="10" t="s">
        <v>1040</v>
      </c>
      <c r="C952" s="10">
        <v>126</v>
      </c>
      <c r="D952" s="39" t="s">
        <v>1053</v>
      </c>
      <c r="E952" s="40">
        <v>45261</v>
      </c>
      <c r="F952" s="10">
        <v>33</v>
      </c>
      <c r="G952" s="42">
        <v>4.8</v>
      </c>
      <c r="H952">
        <f>IF(MONTH(calls[[#This Row],[Date of Call]])&lt;=6,YEAR(calls[[#This Row],[Date of Call]]),YEAR(calls[[#This Row],[Date of Call]])+1)</f>
        <v>2024</v>
      </c>
      <c r="I952" t="str">
        <f>TEXT(calls[[#This Row],[Date of Call]],"DDDD")</f>
        <v>Friday</v>
      </c>
      <c r="J952" t="str" cm="1">
        <f t="array" ref="J952">_xlfn.IFS(calls[[#This Row],[Duration]]&lt;=10,"UNDER 10 MINS",calls[[#This Row],[Duration]]&lt;=30,"10 TO 30 MINS",calls[[#This Row],[Duration]]&lt;=60,"30 TO 60 MINS",calls[[#This Row],[Duration]]&lt;=120,"1 TO 2 HRS",TRUE,"MORE THAN 2 HRS")</f>
        <v>MORE THAN 2 HRS</v>
      </c>
      <c r="K952">
        <f>ROUND(calls[[#This Row],[Satisfaction Rating]],0)</f>
        <v>5</v>
      </c>
    </row>
    <row r="953" spans="1:11" x14ac:dyDescent="0.3">
      <c r="A953" s="41" t="s">
        <v>2004</v>
      </c>
      <c r="B953" s="10" t="s">
        <v>1045</v>
      </c>
      <c r="C953" s="10">
        <v>79</v>
      </c>
      <c r="D953" s="39" t="s">
        <v>1057</v>
      </c>
      <c r="E953" s="40">
        <v>45261</v>
      </c>
      <c r="F953" s="10">
        <v>115</v>
      </c>
      <c r="G953" s="42">
        <v>2.2999999999999998</v>
      </c>
      <c r="H953">
        <f>IF(MONTH(calls[[#This Row],[Date of Call]])&lt;=6,YEAR(calls[[#This Row],[Date of Call]]),YEAR(calls[[#This Row],[Date of Call]])+1)</f>
        <v>2024</v>
      </c>
      <c r="I953" t="str">
        <f>TEXT(calls[[#This Row],[Date of Call]],"DDDD")</f>
        <v>Friday</v>
      </c>
      <c r="J953" t="str" cm="1">
        <f t="array" ref="J953">_xlfn.IFS(calls[[#This Row],[Duration]]&lt;=10,"UNDER 10 MINS",calls[[#This Row],[Duration]]&lt;=30,"10 TO 30 MINS",calls[[#This Row],[Duration]]&lt;=60,"30 TO 60 MINS",calls[[#This Row],[Duration]]&lt;=120,"1 TO 2 HRS",TRUE,"MORE THAN 2 HRS")</f>
        <v>1 TO 2 HRS</v>
      </c>
      <c r="K953">
        <f>ROUND(calls[[#This Row],[Satisfaction Rating]],0)</f>
        <v>2</v>
      </c>
    </row>
    <row r="954" spans="1:11" x14ac:dyDescent="0.3">
      <c r="A954" s="41" t="s">
        <v>2005</v>
      </c>
      <c r="B954" s="10" t="s">
        <v>1040</v>
      </c>
      <c r="C954" s="10">
        <v>133</v>
      </c>
      <c r="D954" s="39" t="s">
        <v>1053</v>
      </c>
      <c r="E954" s="40">
        <v>45261</v>
      </c>
      <c r="F954" s="10">
        <v>45</v>
      </c>
      <c r="G954" s="42">
        <v>2.6</v>
      </c>
      <c r="H954">
        <f>IF(MONTH(calls[[#This Row],[Date of Call]])&lt;=6,YEAR(calls[[#This Row],[Date of Call]]),YEAR(calls[[#This Row],[Date of Call]])+1)</f>
        <v>2024</v>
      </c>
      <c r="I954" t="str">
        <f>TEXT(calls[[#This Row],[Date of Call]],"DDDD")</f>
        <v>Friday</v>
      </c>
      <c r="J954" t="str" cm="1">
        <f t="array" ref="J954">_xlfn.IFS(calls[[#This Row],[Duration]]&lt;=10,"UNDER 10 MINS",calls[[#This Row],[Duration]]&lt;=30,"10 TO 30 MINS",calls[[#This Row],[Duration]]&lt;=60,"30 TO 60 MINS",calls[[#This Row],[Duration]]&lt;=120,"1 TO 2 HRS",TRUE,"MORE THAN 2 HRS")</f>
        <v>MORE THAN 2 HRS</v>
      </c>
      <c r="K954">
        <f>ROUND(calls[[#This Row],[Satisfaction Rating]],0)</f>
        <v>3</v>
      </c>
    </row>
    <row r="955" spans="1:11" x14ac:dyDescent="0.3">
      <c r="A955" s="41" t="s">
        <v>2006</v>
      </c>
      <c r="B955" s="10" t="s">
        <v>1056</v>
      </c>
      <c r="C955" s="10">
        <v>97</v>
      </c>
      <c r="D955" s="39" t="s">
        <v>1038</v>
      </c>
      <c r="E955" s="40">
        <v>45261</v>
      </c>
      <c r="F955" s="10">
        <v>114</v>
      </c>
      <c r="G955" s="42">
        <v>4.8</v>
      </c>
      <c r="H955">
        <f>IF(MONTH(calls[[#This Row],[Date of Call]])&lt;=6,YEAR(calls[[#This Row],[Date of Call]]),YEAR(calls[[#This Row],[Date of Call]])+1)</f>
        <v>2024</v>
      </c>
      <c r="I955" t="str">
        <f>TEXT(calls[[#This Row],[Date of Call]],"DDDD")</f>
        <v>Friday</v>
      </c>
      <c r="J955" t="str" cm="1">
        <f t="array" ref="J955">_xlfn.IFS(calls[[#This Row],[Duration]]&lt;=10,"UNDER 10 MINS",calls[[#This Row],[Duration]]&lt;=30,"10 TO 30 MINS",calls[[#This Row],[Duration]]&lt;=60,"30 TO 60 MINS",calls[[#This Row],[Duration]]&lt;=120,"1 TO 2 HRS",TRUE,"MORE THAN 2 HRS")</f>
        <v>1 TO 2 HRS</v>
      </c>
      <c r="K955">
        <f>ROUND(calls[[#This Row],[Satisfaction Rating]],0)</f>
        <v>5</v>
      </c>
    </row>
    <row r="956" spans="1:11" x14ac:dyDescent="0.3">
      <c r="A956" s="41" t="s">
        <v>2007</v>
      </c>
      <c r="B956" s="10" t="s">
        <v>1045</v>
      </c>
      <c r="C956" s="10">
        <v>102</v>
      </c>
      <c r="D956" s="39" t="s">
        <v>1043</v>
      </c>
      <c r="E956" s="40">
        <v>45262</v>
      </c>
      <c r="F956" s="10">
        <v>72</v>
      </c>
      <c r="G956" s="42">
        <v>3.7</v>
      </c>
      <c r="H956">
        <f>IF(MONTH(calls[[#This Row],[Date of Call]])&lt;=6,YEAR(calls[[#This Row],[Date of Call]]),YEAR(calls[[#This Row],[Date of Call]])+1)</f>
        <v>2024</v>
      </c>
      <c r="I956" t="str">
        <f>TEXT(calls[[#This Row],[Date of Call]],"DDDD")</f>
        <v>Saturday</v>
      </c>
      <c r="J956" t="str" cm="1">
        <f t="array" ref="J956">_xlfn.IFS(calls[[#This Row],[Duration]]&lt;=10,"UNDER 10 MINS",calls[[#This Row],[Duration]]&lt;=30,"10 TO 30 MINS",calls[[#This Row],[Duration]]&lt;=60,"30 TO 60 MINS",calls[[#This Row],[Duration]]&lt;=120,"1 TO 2 HRS",TRUE,"MORE THAN 2 HRS")</f>
        <v>1 TO 2 HRS</v>
      </c>
      <c r="K956">
        <f>ROUND(calls[[#This Row],[Satisfaction Rating]],0)</f>
        <v>4</v>
      </c>
    </row>
    <row r="957" spans="1:11" x14ac:dyDescent="0.3">
      <c r="A957" s="41" t="s">
        <v>2008</v>
      </c>
      <c r="B957" s="10" t="s">
        <v>1071</v>
      </c>
      <c r="C957" s="10">
        <v>62</v>
      </c>
      <c r="D957" s="39" t="s">
        <v>1038</v>
      </c>
      <c r="E957" s="40">
        <v>45262</v>
      </c>
      <c r="F957" s="10">
        <v>205</v>
      </c>
      <c r="G957" s="42">
        <v>4.2</v>
      </c>
      <c r="H957">
        <f>IF(MONTH(calls[[#This Row],[Date of Call]])&lt;=6,YEAR(calls[[#This Row],[Date of Call]]),YEAR(calls[[#This Row],[Date of Call]])+1)</f>
        <v>2024</v>
      </c>
      <c r="I957" t="str">
        <f>TEXT(calls[[#This Row],[Date of Call]],"DDDD")</f>
        <v>Saturday</v>
      </c>
      <c r="J957" t="str" cm="1">
        <f t="array" ref="J957">_xlfn.IFS(calls[[#This Row],[Duration]]&lt;=10,"UNDER 10 MINS",calls[[#This Row],[Duration]]&lt;=30,"10 TO 30 MINS",calls[[#This Row],[Duration]]&lt;=60,"30 TO 60 MINS",calls[[#This Row],[Duration]]&lt;=120,"1 TO 2 HRS",TRUE,"MORE THAN 2 HRS")</f>
        <v>1 TO 2 HRS</v>
      </c>
      <c r="K957">
        <f>ROUND(calls[[#This Row],[Satisfaction Rating]],0)</f>
        <v>4</v>
      </c>
    </row>
    <row r="958" spans="1:11" x14ac:dyDescent="0.3">
      <c r="A958" s="41" t="s">
        <v>2009</v>
      </c>
      <c r="B958" s="10" t="s">
        <v>1040</v>
      </c>
      <c r="C958" s="10">
        <v>149</v>
      </c>
      <c r="D958" s="39" t="s">
        <v>1043</v>
      </c>
      <c r="E958" s="40">
        <v>45263</v>
      </c>
      <c r="F958" s="10">
        <v>42</v>
      </c>
      <c r="G958" s="42">
        <v>3.3</v>
      </c>
      <c r="H958">
        <f>IF(MONTH(calls[[#This Row],[Date of Call]])&lt;=6,YEAR(calls[[#This Row],[Date of Call]]),YEAR(calls[[#This Row],[Date of Call]])+1)</f>
        <v>2024</v>
      </c>
      <c r="I958" t="str">
        <f>TEXT(calls[[#This Row],[Date of Call]],"DDDD")</f>
        <v>Sunday</v>
      </c>
      <c r="J958" t="str" cm="1">
        <f t="array" ref="J958">_xlfn.IFS(calls[[#This Row],[Duration]]&lt;=10,"UNDER 10 MINS",calls[[#This Row],[Duration]]&lt;=30,"10 TO 30 MINS",calls[[#This Row],[Duration]]&lt;=60,"30 TO 60 MINS",calls[[#This Row],[Duration]]&lt;=120,"1 TO 2 HRS",TRUE,"MORE THAN 2 HRS")</f>
        <v>MORE THAN 2 HRS</v>
      </c>
      <c r="K958">
        <f>ROUND(calls[[#This Row],[Satisfaction Rating]],0)</f>
        <v>3</v>
      </c>
    </row>
    <row r="959" spans="1:11" x14ac:dyDescent="0.3">
      <c r="A959" s="41" t="s">
        <v>2010</v>
      </c>
      <c r="B959" s="10" t="s">
        <v>1060</v>
      </c>
      <c r="C959" s="10">
        <v>133</v>
      </c>
      <c r="D959" s="39" t="s">
        <v>1038</v>
      </c>
      <c r="E959" s="40">
        <v>45263</v>
      </c>
      <c r="F959" s="10">
        <v>96</v>
      </c>
      <c r="G959" s="42">
        <v>4.3</v>
      </c>
      <c r="H959">
        <f>IF(MONTH(calls[[#This Row],[Date of Call]])&lt;=6,YEAR(calls[[#This Row],[Date of Call]]),YEAR(calls[[#This Row],[Date of Call]])+1)</f>
        <v>2024</v>
      </c>
      <c r="I959" t="str">
        <f>TEXT(calls[[#This Row],[Date of Call]],"DDDD")</f>
        <v>Sunday</v>
      </c>
      <c r="J959" t="str" cm="1">
        <f t="array" ref="J959">_xlfn.IFS(calls[[#This Row],[Duration]]&lt;=10,"UNDER 10 MINS",calls[[#This Row],[Duration]]&lt;=30,"10 TO 30 MINS",calls[[#This Row],[Duration]]&lt;=60,"30 TO 60 MINS",calls[[#This Row],[Duration]]&lt;=120,"1 TO 2 HRS",TRUE,"MORE THAN 2 HRS")</f>
        <v>MORE THAN 2 HRS</v>
      </c>
      <c r="K959">
        <f>ROUND(calls[[#This Row],[Satisfaction Rating]],0)</f>
        <v>4</v>
      </c>
    </row>
    <row r="960" spans="1:11" x14ac:dyDescent="0.3">
      <c r="A960" s="41" t="s">
        <v>2011</v>
      </c>
      <c r="B960" s="10" t="s">
        <v>1045</v>
      </c>
      <c r="C960" s="10">
        <v>51</v>
      </c>
      <c r="D960" s="39" t="s">
        <v>1057</v>
      </c>
      <c r="E960" s="40">
        <v>45263</v>
      </c>
      <c r="F960" s="10">
        <v>64</v>
      </c>
      <c r="G960" s="42">
        <v>3.7</v>
      </c>
      <c r="H960">
        <f>IF(MONTH(calls[[#This Row],[Date of Call]])&lt;=6,YEAR(calls[[#This Row],[Date of Call]]),YEAR(calls[[#This Row],[Date of Call]])+1)</f>
        <v>2024</v>
      </c>
      <c r="I960" t="str">
        <f>TEXT(calls[[#This Row],[Date of Call]],"DDDD")</f>
        <v>Sunday</v>
      </c>
      <c r="J960" t="str" cm="1">
        <f t="array" ref="J960">_xlfn.IFS(calls[[#This Row],[Duration]]&lt;=10,"UNDER 10 MINS",calls[[#This Row],[Duration]]&lt;=30,"10 TO 30 MINS",calls[[#This Row],[Duration]]&lt;=60,"30 TO 60 MINS",calls[[#This Row],[Duration]]&lt;=120,"1 TO 2 HRS",TRUE,"MORE THAN 2 HRS")</f>
        <v>30 TO 60 MINS</v>
      </c>
      <c r="K960">
        <f>ROUND(calls[[#This Row],[Satisfaction Rating]],0)</f>
        <v>4</v>
      </c>
    </row>
    <row r="961" spans="1:11" x14ac:dyDescent="0.3">
      <c r="A961" s="41" t="s">
        <v>2012</v>
      </c>
      <c r="B961" s="10" t="s">
        <v>1071</v>
      </c>
      <c r="C961" s="10">
        <v>110</v>
      </c>
      <c r="D961" s="39" t="s">
        <v>1038</v>
      </c>
      <c r="E961" s="40">
        <v>45264</v>
      </c>
      <c r="F961" s="10">
        <v>72</v>
      </c>
      <c r="G961" s="42">
        <v>3.7</v>
      </c>
      <c r="H961">
        <f>IF(MONTH(calls[[#This Row],[Date of Call]])&lt;=6,YEAR(calls[[#This Row],[Date of Call]]),YEAR(calls[[#This Row],[Date of Call]])+1)</f>
        <v>2024</v>
      </c>
      <c r="I961" t="str">
        <f>TEXT(calls[[#This Row],[Date of Call]],"DDDD")</f>
        <v>Monday</v>
      </c>
      <c r="J961" t="str" cm="1">
        <f t="array" ref="J961">_xlfn.IFS(calls[[#This Row],[Duration]]&lt;=10,"UNDER 10 MINS",calls[[#This Row],[Duration]]&lt;=30,"10 TO 30 MINS",calls[[#This Row],[Duration]]&lt;=60,"30 TO 60 MINS",calls[[#This Row],[Duration]]&lt;=120,"1 TO 2 HRS",TRUE,"MORE THAN 2 HRS")</f>
        <v>1 TO 2 HRS</v>
      </c>
      <c r="K961">
        <f>ROUND(calls[[#This Row],[Satisfaction Rating]],0)</f>
        <v>4</v>
      </c>
    </row>
    <row r="962" spans="1:11" x14ac:dyDescent="0.3">
      <c r="A962" s="41" t="s">
        <v>2013</v>
      </c>
      <c r="B962" s="10" t="s">
        <v>1056</v>
      </c>
      <c r="C962" s="10">
        <v>38</v>
      </c>
      <c r="D962" s="39" t="s">
        <v>1053</v>
      </c>
      <c r="E962" s="40">
        <v>45265</v>
      </c>
      <c r="F962" s="10">
        <v>27</v>
      </c>
      <c r="G962" s="42">
        <v>3.1</v>
      </c>
      <c r="H962">
        <f>IF(MONTH(calls[[#This Row],[Date of Call]])&lt;=6,YEAR(calls[[#This Row],[Date of Call]]),YEAR(calls[[#This Row],[Date of Call]])+1)</f>
        <v>2024</v>
      </c>
      <c r="I962" t="str">
        <f>TEXT(calls[[#This Row],[Date of Call]],"DDDD")</f>
        <v>Tuesday</v>
      </c>
      <c r="J962" t="str" cm="1">
        <f t="array" ref="J962">_xlfn.IFS(calls[[#This Row],[Duration]]&lt;=10,"UNDER 10 MINS",calls[[#This Row],[Duration]]&lt;=30,"10 TO 30 MINS",calls[[#This Row],[Duration]]&lt;=60,"30 TO 60 MINS",calls[[#This Row],[Duration]]&lt;=120,"1 TO 2 HRS",TRUE,"MORE THAN 2 HRS")</f>
        <v>30 TO 60 MINS</v>
      </c>
      <c r="K962">
        <f>ROUND(calls[[#This Row],[Satisfaction Rating]],0)</f>
        <v>3</v>
      </c>
    </row>
    <row r="963" spans="1:11" x14ac:dyDescent="0.3">
      <c r="A963" s="41" t="s">
        <v>2014</v>
      </c>
      <c r="B963" s="10" t="s">
        <v>1060</v>
      </c>
      <c r="C963" s="10">
        <v>78</v>
      </c>
      <c r="D963" s="39" t="s">
        <v>1053</v>
      </c>
      <c r="E963" s="40">
        <v>45267</v>
      </c>
      <c r="F963" s="10">
        <v>200</v>
      </c>
      <c r="G963" s="42">
        <v>2.4</v>
      </c>
      <c r="H963">
        <f>IF(MONTH(calls[[#This Row],[Date of Call]])&lt;=6,YEAR(calls[[#This Row],[Date of Call]]),YEAR(calls[[#This Row],[Date of Call]])+1)</f>
        <v>2024</v>
      </c>
      <c r="I963" t="str">
        <f>TEXT(calls[[#This Row],[Date of Call]],"DDDD")</f>
        <v>Thursday</v>
      </c>
      <c r="J963" t="str" cm="1">
        <f t="array" ref="J963">_xlfn.IFS(calls[[#This Row],[Duration]]&lt;=10,"UNDER 10 MINS",calls[[#This Row],[Duration]]&lt;=30,"10 TO 30 MINS",calls[[#This Row],[Duration]]&lt;=60,"30 TO 60 MINS",calls[[#This Row],[Duration]]&lt;=120,"1 TO 2 HRS",TRUE,"MORE THAN 2 HRS")</f>
        <v>1 TO 2 HRS</v>
      </c>
      <c r="K963">
        <f>ROUND(calls[[#This Row],[Satisfaction Rating]],0)</f>
        <v>2</v>
      </c>
    </row>
    <row r="964" spans="1:11" x14ac:dyDescent="0.3">
      <c r="A964" s="41" t="s">
        <v>2015</v>
      </c>
      <c r="B964" s="10" t="s">
        <v>1056</v>
      </c>
      <c r="C964" s="10">
        <v>25</v>
      </c>
      <c r="D964" s="39" t="s">
        <v>1043</v>
      </c>
      <c r="E964" s="40">
        <v>45268</v>
      </c>
      <c r="F964" s="10">
        <v>93</v>
      </c>
      <c r="G964" s="42">
        <v>3.5</v>
      </c>
      <c r="H964">
        <f>IF(MONTH(calls[[#This Row],[Date of Call]])&lt;=6,YEAR(calls[[#This Row],[Date of Call]]),YEAR(calls[[#This Row],[Date of Call]])+1)</f>
        <v>2024</v>
      </c>
      <c r="I964" t="str">
        <f>TEXT(calls[[#This Row],[Date of Call]],"DDDD")</f>
        <v>Friday</v>
      </c>
      <c r="J964" t="str" cm="1">
        <f t="array" ref="J964">_xlfn.IFS(calls[[#This Row],[Duration]]&lt;=10,"UNDER 10 MINS",calls[[#This Row],[Duration]]&lt;=30,"10 TO 30 MINS",calls[[#This Row],[Duration]]&lt;=60,"30 TO 60 MINS",calls[[#This Row],[Duration]]&lt;=120,"1 TO 2 HRS",TRUE,"MORE THAN 2 HRS")</f>
        <v>10 TO 30 MINS</v>
      </c>
      <c r="K964">
        <f>ROUND(calls[[#This Row],[Satisfaction Rating]],0)</f>
        <v>4</v>
      </c>
    </row>
    <row r="965" spans="1:11" x14ac:dyDescent="0.3">
      <c r="A965" s="41" t="s">
        <v>2016</v>
      </c>
      <c r="B965" s="10" t="s">
        <v>1079</v>
      </c>
      <c r="C965" s="10">
        <v>50</v>
      </c>
      <c r="D965" s="39" t="s">
        <v>1057</v>
      </c>
      <c r="E965" s="40">
        <v>45268</v>
      </c>
      <c r="F965" s="10">
        <v>54</v>
      </c>
      <c r="G965" s="42">
        <v>4.3</v>
      </c>
      <c r="H965">
        <f>IF(MONTH(calls[[#This Row],[Date of Call]])&lt;=6,YEAR(calls[[#This Row],[Date of Call]]),YEAR(calls[[#This Row],[Date of Call]])+1)</f>
        <v>2024</v>
      </c>
      <c r="I965" t="str">
        <f>TEXT(calls[[#This Row],[Date of Call]],"DDDD")</f>
        <v>Friday</v>
      </c>
      <c r="J965" t="str" cm="1">
        <f t="array" ref="J965">_xlfn.IFS(calls[[#This Row],[Duration]]&lt;=10,"UNDER 10 MINS",calls[[#This Row],[Duration]]&lt;=30,"10 TO 30 MINS",calls[[#This Row],[Duration]]&lt;=60,"30 TO 60 MINS",calls[[#This Row],[Duration]]&lt;=120,"1 TO 2 HRS",TRUE,"MORE THAN 2 HRS")</f>
        <v>30 TO 60 MINS</v>
      </c>
      <c r="K965">
        <f>ROUND(calls[[#This Row],[Satisfaction Rating]],0)</f>
        <v>4</v>
      </c>
    </row>
    <row r="966" spans="1:11" x14ac:dyDescent="0.3">
      <c r="A966" s="41" t="s">
        <v>2017</v>
      </c>
      <c r="B966" s="10" t="s">
        <v>1056</v>
      </c>
      <c r="C966" s="10">
        <v>103</v>
      </c>
      <c r="D966" s="39" t="s">
        <v>1043</v>
      </c>
      <c r="E966" s="40">
        <v>45269</v>
      </c>
      <c r="F966" s="10">
        <v>72</v>
      </c>
      <c r="G966" s="42">
        <v>3.4</v>
      </c>
      <c r="H966">
        <f>IF(MONTH(calls[[#This Row],[Date of Call]])&lt;=6,YEAR(calls[[#This Row],[Date of Call]]),YEAR(calls[[#This Row],[Date of Call]])+1)</f>
        <v>2024</v>
      </c>
      <c r="I966" t="str">
        <f>TEXT(calls[[#This Row],[Date of Call]],"DDDD")</f>
        <v>Saturday</v>
      </c>
      <c r="J966" t="str" cm="1">
        <f t="array" ref="J966">_xlfn.IFS(calls[[#This Row],[Duration]]&lt;=10,"UNDER 10 MINS",calls[[#This Row],[Duration]]&lt;=30,"10 TO 30 MINS",calls[[#This Row],[Duration]]&lt;=60,"30 TO 60 MINS",calls[[#This Row],[Duration]]&lt;=120,"1 TO 2 HRS",TRUE,"MORE THAN 2 HRS")</f>
        <v>1 TO 2 HRS</v>
      </c>
      <c r="K966">
        <f>ROUND(calls[[#This Row],[Satisfaction Rating]],0)</f>
        <v>3</v>
      </c>
    </row>
    <row r="967" spans="1:11" x14ac:dyDescent="0.3">
      <c r="A967" s="41" t="s">
        <v>2018</v>
      </c>
      <c r="B967" s="10" t="s">
        <v>1068</v>
      </c>
      <c r="C967" s="10">
        <v>63</v>
      </c>
      <c r="D967" s="39" t="s">
        <v>1048</v>
      </c>
      <c r="E967" s="40">
        <v>45269</v>
      </c>
      <c r="F967" s="10">
        <v>82</v>
      </c>
      <c r="G967" s="42">
        <v>3.7</v>
      </c>
      <c r="H967">
        <f>IF(MONTH(calls[[#This Row],[Date of Call]])&lt;=6,YEAR(calls[[#This Row],[Date of Call]]),YEAR(calls[[#This Row],[Date of Call]])+1)</f>
        <v>2024</v>
      </c>
      <c r="I967" t="str">
        <f>TEXT(calls[[#This Row],[Date of Call]],"DDDD")</f>
        <v>Saturday</v>
      </c>
      <c r="J967" t="str" cm="1">
        <f t="array" ref="J967">_xlfn.IFS(calls[[#This Row],[Duration]]&lt;=10,"UNDER 10 MINS",calls[[#This Row],[Duration]]&lt;=30,"10 TO 30 MINS",calls[[#This Row],[Duration]]&lt;=60,"30 TO 60 MINS",calls[[#This Row],[Duration]]&lt;=120,"1 TO 2 HRS",TRUE,"MORE THAN 2 HRS")</f>
        <v>1 TO 2 HRS</v>
      </c>
      <c r="K967">
        <f>ROUND(calls[[#This Row],[Satisfaction Rating]],0)</f>
        <v>4</v>
      </c>
    </row>
    <row r="968" spans="1:11" x14ac:dyDescent="0.3">
      <c r="A968" s="41" t="s">
        <v>2019</v>
      </c>
      <c r="B968" s="10" t="s">
        <v>1079</v>
      </c>
      <c r="C968" s="10">
        <v>96</v>
      </c>
      <c r="D968" s="39" t="s">
        <v>1057</v>
      </c>
      <c r="E968" s="40">
        <v>45273</v>
      </c>
      <c r="F968" s="10">
        <v>164</v>
      </c>
      <c r="G968" s="42">
        <v>4.8</v>
      </c>
      <c r="H968">
        <f>IF(MONTH(calls[[#This Row],[Date of Call]])&lt;=6,YEAR(calls[[#This Row],[Date of Call]]),YEAR(calls[[#This Row],[Date of Call]])+1)</f>
        <v>2024</v>
      </c>
      <c r="I968" t="str">
        <f>TEXT(calls[[#This Row],[Date of Call]],"DDDD")</f>
        <v>Wednesday</v>
      </c>
      <c r="J968" t="str" cm="1">
        <f t="array" ref="J968">_xlfn.IFS(calls[[#This Row],[Duration]]&lt;=10,"UNDER 10 MINS",calls[[#This Row],[Duration]]&lt;=30,"10 TO 30 MINS",calls[[#This Row],[Duration]]&lt;=60,"30 TO 60 MINS",calls[[#This Row],[Duration]]&lt;=120,"1 TO 2 HRS",TRUE,"MORE THAN 2 HRS")</f>
        <v>1 TO 2 HRS</v>
      </c>
      <c r="K968">
        <f>ROUND(calls[[#This Row],[Satisfaction Rating]],0)</f>
        <v>5</v>
      </c>
    </row>
    <row r="969" spans="1:11" x14ac:dyDescent="0.3">
      <c r="A969" s="41" t="s">
        <v>2020</v>
      </c>
      <c r="B969" s="10" t="s">
        <v>1042</v>
      </c>
      <c r="C969" s="10">
        <v>94</v>
      </c>
      <c r="D969" s="39" t="s">
        <v>1043</v>
      </c>
      <c r="E969" s="40">
        <v>45273</v>
      </c>
      <c r="F969" s="10">
        <v>78</v>
      </c>
      <c r="G969" s="42">
        <v>3.3</v>
      </c>
      <c r="H969">
        <f>IF(MONTH(calls[[#This Row],[Date of Call]])&lt;=6,YEAR(calls[[#This Row],[Date of Call]]),YEAR(calls[[#This Row],[Date of Call]])+1)</f>
        <v>2024</v>
      </c>
      <c r="I969" t="str">
        <f>TEXT(calls[[#This Row],[Date of Call]],"DDDD")</f>
        <v>Wednesday</v>
      </c>
      <c r="J969" t="str" cm="1">
        <f t="array" ref="J969">_xlfn.IFS(calls[[#This Row],[Duration]]&lt;=10,"UNDER 10 MINS",calls[[#This Row],[Duration]]&lt;=30,"10 TO 30 MINS",calls[[#This Row],[Duration]]&lt;=60,"30 TO 60 MINS",calls[[#This Row],[Duration]]&lt;=120,"1 TO 2 HRS",TRUE,"MORE THAN 2 HRS")</f>
        <v>1 TO 2 HRS</v>
      </c>
      <c r="K969">
        <f>ROUND(calls[[#This Row],[Satisfaction Rating]],0)</f>
        <v>3</v>
      </c>
    </row>
    <row r="970" spans="1:11" x14ac:dyDescent="0.3">
      <c r="A970" s="41" t="s">
        <v>2021</v>
      </c>
      <c r="B970" s="10" t="s">
        <v>1071</v>
      </c>
      <c r="C970" s="10">
        <v>46</v>
      </c>
      <c r="D970" s="39" t="s">
        <v>1053</v>
      </c>
      <c r="E970" s="40">
        <v>45274</v>
      </c>
      <c r="F970" s="10">
        <v>135</v>
      </c>
      <c r="G970" s="42">
        <v>4.2</v>
      </c>
      <c r="H970">
        <f>IF(MONTH(calls[[#This Row],[Date of Call]])&lt;=6,YEAR(calls[[#This Row],[Date of Call]]),YEAR(calls[[#This Row],[Date of Call]])+1)</f>
        <v>2024</v>
      </c>
      <c r="I970" t="str">
        <f>TEXT(calls[[#This Row],[Date of Call]],"DDDD")</f>
        <v>Thursday</v>
      </c>
      <c r="J970" t="str" cm="1">
        <f t="array" ref="J970">_xlfn.IFS(calls[[#This Row],[Duration]]&lt;=10,"UNDER 10 MINS",calls[[#This Row],[Duration]]&lt;=30,"10 TO 30 MINS",calls[[#This Row],[Duration]]&lt;=60,"30 TO 60 MINS",calls[[#This Row],[Duration]]&lt;=120,"1 TO 2 HRS",TRUE,"MORE THAN 2 HRS")</f>
        <v>30 TO 60 MINS</v>
      </c>
      <c r="K970">
        <f>ROUND(calls[[#This Row],[Satisfaction Rating]],0)</f>
        <v>4</v>
      </c>
    </row>
    <row r="971" spans="1:11" x14ac:dyDescent="0.3">
      <c r="A971" s="41" t="s">
        <v>2022</v>
      </c>
      <c r="B971" s="10" t="s">
        <v>1109</v>
      </c>
      <c r="C971" s="10">
        <v>127</v>
      </c>
      <c r="D971" s="39" t="s">
        <v>1057</v>
      </c>
      <c r="E971" s="40">
        <v>45275</v>
      </c>
      <c r="F971" s="10">
        <v>145</v>
      </c>
      <c r="G971" s="42">
        <v>2.6</v>
      </c>
      <c r="H971">
        <f>IF(MONTH(calls[[#This Row],[Date of Call]])&lt;=6,YEAR(calls[[#This Row],[Date of Call]]),YEAR(calls[[#This Row],[Date of Call]])+1)</f>
        <v>2024</v>
      </c>
      <c r="I971" t="str">
        <f>TEXT(calls[[#This Row],[Date of Call]],"DDDD")</f>
        <v>Friday</v>
      </c>
      <c r="J971" t="str" cm="1">
        <f t="array" ref="J971">_xlfn.IFS(calls[[#This Row],[Duration]]&lt;=10,"UNDER 10 MINS",calls[[#This Row],[Duration]]&lt;=30,"10 TO 30 MINS",calls[[#This Row],[Duration]]&lt;=60,"30 TO 60 MINS",calls[[#This Row],[Duration]]&lt;=120,"1 TO 2 HRS",TRUE,"MORE THAN 2 HRS")</f>
        <v>MORE THAN 2 HRS</v>
      </c>
      <c r="K971">
        <f>ROUND(calls[[#This Row],[Satisfaction Rating]],0)</f>
        <v>3</v>
      </c>
    </row>
    <row r="972" spans="1:11" x14ac:dyDescent="0.3">
      <c r="A972" s="41" t="s">
        <v>2023</v>
      </c>
      <c r="B972" s="10" t="s">
        <v>1051</v>
      </c>
      <c r="C972" s="10">
        <v>96</v>
      </c>
      <c r="D972" s="39" t="s">
        <v>1053</v>
      </c>
      <c r="E972" s="40">
        <v>45275</v>
      </c>
      <c r="F972" s="10">
        <v>115</v>
      </c>
      <c r="G972" s="42">
        <v>4.9000000000000004</v>
      </c>
      <c r="H972">
        <f>IF(MONTH(calls[[#This Row],[Date of Call]])&lt;=6,YEAR(calls[[#This Row],[Date of Call]]),YEAR(calls[[#This Row],[Date of Call]])+1)</f>
        <v>2024</v>
      </c>
      <c r="I972" t="str">
        <f>TEXT(calls[[#This Row],[Date of Call]],"DDDD")</f>
        <v>Friday</v>
      </c>
      <c r="J972" t="str" cm="1">
        <f t="array" ref="J972">_xlfn.IFS(calls[[#This Row],[Duration]]&lt;=10,"UNDER 10 MINS",calls[[#This Row],[Duration]]&lt;=30,"10 TO 30 MINS",calls[[#This Row],[Duration]]&lt;=60,"30 TO 60 MINS",calls[[#This Row],[Duration]]&lt;=120,"1 TO 2 HRS",TRUE,"MORE THAN 2 HRS")</f>
        <v>1 TO 2 HRS</v>
      </c>
      <c r="K972">
        <f>ROUND(calls[[#This Row],[Satisfaction Rating]],0)</f>
        <v>5</v>
      </c>
    </row>
    <row r="973" spans="1:11" x14ac:dyDescent="0.3">
      <c r="A973" s="41" t="s">
        <v>2024</v>
      </c>
      <c r="B973" s="10" t="s">
        <v>1089</v>
      </c>
      <c r="C973" s="10">
        <v>151</v>
      </c>
      <c r="D973" s="39" t="s">
        <v>1043</v>
      </c>
      <c r="E973" s="40">
        <v>45275</v>
      </c>
      <c r="F973" s="10">
        <v>117</v>
      </c>
      <c r="G973" s="42">
        <v>2</v>
      </c>
      <c r="H973">
        <f>IF(MONTH(calls[[#This Row],[Date of Call]])&lt;=6,YEAR(calls[[#This Row],[Date of Call]]),YEAR(calls[[#This Row],[Date of Call]])+1)</f>
        <v>2024</v>
      </c>
      <c r="I973" t="str">
        <f>TEXT(calls[[#This Row],[Date of Call]],"DDDD")</f>
        <v>Friday</v>
      </c>
      <c r="J973" t="str" cm="1">
        <f t="array" ref="J973">_xlfn.IFS(calls[[#This Row],[Duration]]&lt;=10,"UNDER 10 MINS",calls[[#This Row],[Duration]]&lt;=30,"10 TO 30 MINS",calls[[#This Row],[Duration]]&lt;=60,"30 TO 60 MINS",calls[[#This Row],[Duration]]&lt;=120,"1 TO 2 HRS",TRUE,"MORE THAN 2 HRS")</f>
        <v>MORE THAN 2 HRS</v>
      </c>
      <c r="K973">
        <f>ROUND(calls[[#This Row],[Satisfaction Rating]],0)</f>
        <v>2</v>
      </c>
    </row>
    <row r="974" spans="1:11" x14ac:dyDescent="0.3">
      <c r="A974" s="41" t="s">
        <v>2025</v>
      </c>
      <c r="B974" s="10" t="s">
        <v>1109</v>
      </c>
      <c r="C974" s="10">
        <v>158</v>
      </c>
      <c r="D974" s="39" t="s">
        <v>1038</v>
      </c>
      <c r="E974" s="40">
        <v>45276</v>
      </c>
      <c r="F974" s="10">
        <v>36</v>
      </c>
      <c r="G974" s="42">
        <v>4.7</v>
      </c>
      <c r="H974">
        <f>IF(MONTH(calls[[#This Row],[Date of Call]])&lt;=6,YEAR(calls[[#This Row],[Date of Call]]),YEAR(calls[[#This Row],[Date of Call]])+1)</f>
        <v>2024</v>
      </c>
      <c r="I974" t="str">
        <f>TEXT(calls[[#This Row],[Date of Call]],"DDDD")</f>
        <v>Saturday</v>
      </c>
      <c r="J974" t="str" cm="1">
        <f t="array" ref="J974">_xlfn.IFS(calls[[#This Row],[Duration]]&lt;=10,"UNDER 10 MINS",calls[[#This Row],[Duration]]&lt;=30,"10 TO 30 MINS",calls[[#This Row],[Duration]]&lt;=60,"30 TO 60 MINS",calls[[#This Row],[Duration]]&lt;=120,"1 TO 2 HRS",TRUE,"MORE THAN 2 HRS")</f>
        <v>MORE THAN 2 HRS</v>
      </c>
      <c r="K974">
        <f>ROUND(calls[[#This Row],[Satisfaction Rating]],0)</f>
        <v>5</v>
      </c>
    </row>
    <row r="975" spans="1:11" x14ac:dyDescent="0.3">
      <c r="A975" s="41" t="s">
        <v>2026</v>
      </c>
      <c r="B975" s="10" t="s">
        <v>1042</v>
      </c>
      <c r="C975" s="10">
        <v>45</v>
      </c>
      <c r="D975" s="39" t="s">
        <v>1038</v>
      </c>
      <c r="E975" s="40">
        <v>45276</v>
      </c>
      <c r="F975" s="10">
        <v>84</v>
      </c>
      <c r="G975" s="42">
        <v>2.8</v>
      </c>
      <c r="H975">
        <f>IF(MONTH(calls[[#This Row],[Date of Call]])&lt;=6,YEAR(calls[[#This Row],[Date of Call]]),YEAR(calls[[#This Row],[Date of Call]])+1)</f>
        <v>2024</v>
      </c>
      <c r="I975" t="str">
        <f>TEXT(calls[[#This Row],[Date of Call]],"DDDD")</f>
        <v>Saturday</v>
      </c>
      <c r="J975" t="str" cm="1">
        <f t="array" ref="J975">_xlfn.IFS(calls[[#This Row],[Duration]]&lt;=10,"UNDER 10 MINS",calls[[#This Row],[Duration]]&lt;=30,"10 TO 30 MINS",calls[[#This Row],[Duration]]&lt;=60,"30 TO 60 MINS",calls[[#This Row],[Duration]]&lt;=120,"1 TO 2 HRS",TRUE,"MORE THAN 2 HRS")</f>
        <v>30 TO 60 MINS</v>
      </c>
      <c r="K975">
        <f>ROUND(calls[[#This Row],[Satisfaction Rating]],0)</f>
        <v>3</v>
      </c>
    </row>
    <row r="976" spans="1:11" x14ac:dyDescent="0.3">
      <c r="A976" s="41" t="s">
        <v>2027</v>
      </c>
      <c r="B976" s="10" t="s">
        <v>1062</v>
      </c>
      <c r="C976" s="10">
        <v>141</v>
      </c>
      <c r="D976" s="39" t="s">
        <v>1038</v>
      </c>
      <c r="E976" s="40">
        <v>45276</v>
      </c>
      <c r="F976" s="10">
        <v>66</v>
      </c>
      <c r="G976" s="42">
        <v>3.2</v>
      </c>
      <c r="H976">
        <f>IF(MONTH(calls[[#This Row],[Date of Call]])&lt;=6,YEAR(calls[[#This Row],[Date of Call]]),YEAR(calls[[#This Row],[Date of Call]])+1)</f>
        <v>2024</v>
      </c>
      <c r="I976" t="str">
        <f>TEXT(calls[[#This Row],[Date of Call]],"DDDD")</f>
        <v>Saturday</v>
      </c>
      <c r="J976" t="str" cm="1">
        <f t="array" ref="J976">_xlfn.IFS(calls[[#This Row],[Duration]]&lt;=10,"UNDER 10 MINS",calls[[#This Row],[Duration]]&lt;=30,"10 TO 30 MINS",calls[[#This Row],[Duration]]&lt;=60,"30 TO 60 MINS",calls[[#This Row],[Duration]]&lt;=120,"1 TO 2 HRS",TRUE,"MORE THAN 2 HRS")</f>
        <v>MORE THAN 2 HRS</v>
      </c>
      <c r="K976">
        <f>ROUND(calls[[#This Row],[Satisfaction Rating]],0)</f>
        <v>3</v>
      </c>
    </row>
    <row r="977" spans="1:11" x14ac:dyDescent="0.3">
      <c r="A977" s="41" t="s">
        <v>2028</v>
      </c>
      <c r="B977" s="10" t="s">
        <v>1056</v>
      </c>
      <c r="C977" s="10">
        <v>147</v>
      </c>
      <c r="D977" s="39" t="s">
        <v>1053</v>
      </c>
      <c r="E977" s="40">
        <v>45276</v>
      </c>
      <c r="F977" s="10">
        <v>76</v>
      </c>
      <c r="G977" s="42">
        <v>4.7</v>
      </c>
      <c r="H977">
        <f>IF(MONTH(calls[[#This Row],[Date of Call]])&lt;=6,YEAR(calls[[#This Row],[Date of Call]]),YEAR(calls[[#This Row],[Date of Call]])+1)</f>
        <v>2024</v>
      </c>
      <c r="I977" t="str">
        <f>TEXT(calls[[#This Row],[Date of Call]],"DDDD")</f>
        <v>Saturday</v>
      </c>
      <c r="J977" t="str" cm="1">
        <f t="array" ref="J977">_xlfn.IFS(calls[[#This Row],[Duration]]&lt;=10,"UNDER 10 MINS",calls[[#This Row],[Duration]]&lt;=30,"10 TO 30 MINS",calls[[#This Row],[Duration]]&lt;=60,"30 TO 60 MINS",calls[[#This Row],[Duration]]&lt;=120,"1 TO 2 HRS",TRUE,"MORE THAN 2 HRS")</f>
        <v>MORE THAN 2 HRS</v>
      </c>
      <c r="K977">
        <f>ROUND(calls[[#This Row],[Satisfaction Rating]],0)</f>
        <v>5</v>
      </c>
    </row>
    <row r="978" spans="1:11" x14ac:dyDescent="0.3">
      <c r="A978" s="41" t="s">
        <v>2029</v>
      </c>
      <c r="B978" s="10" t="s">
        <v>1076</v>
      </c>
      <c r="C978" s="10">
        <v>126</v>
      </c>
      <c r="D978" s="39" t="s">
        <v>1053</v>
      </c>
      <c r="E978" s="40">
        <v>45276</v>
      </c>
      <c r="F978" s="10">
        <v>185</v>
      </c>
      <c r="G978" s="42">
        <v>4.8</v>
      </c>
      <c r="H978">
        <f>IF(MONTH(calls[[#This Row],[Date of Call]])&lt;=6,YEAR(calls[[#This Row],[Date of Call]]),YEAR(calls[[#This Row],[Date of Call]])+1)</f>
        <v>2024</v>
      </c>
      <c r="I978" t="str">
        <f>TEXT(calls[[#This Row],[Date of Call]],"DDDD")</f>
        <v>Saturday</v>
      </c>
      <c r="J978" t="str" cm="1">
        <f t="array" ref="J978">_xlfn.IFS(calls[[#This Row],[Duration]]&lt;=10,"UNDER 10 MINS",calls[[#This Row],[Duration]]&lt;=30,"10 TO 30 MINS",calls[[#This Row],[Duration]]&lt;=60,"30 TO 60 MINS",calls[[#This Row],[Duration]]&lt;=120,"1 TO 2 HRS",TRUE,"MORE THAN 2 HRS")</f>
        <v>MORE THAN 2 HRS</v>
      </c>
      <c r="K978">
        <f>ROUND(calls[[#This Row],[Satisfaction Rating]],0)</f>
        <v>5</v>
      </c>
    </row>
    <row r="979" spans="1:11" x14ac:dyDescent="0.3">
      <c r="A979" s="41" t="s">
        <v>2030</v>
      </c>
      <c r="B979" s="10" t="s">
        <v>1042</v>
      </c>
      <c r="C979" s="10">
        <v>126</v>
      </c>
      <c r="D979" s="39" t="s">
        <v>1048</v>
      </c>
      <c r="E979" s="40">
        <v>45277</v>
      </c>
      <c r="F979" s="10">
        <v>80</v>
      </c>
      <c r="G979" s="42">
        <v>4.7</v>
      </c>
      <c r="H979">
        <f>IF(MONTH(calls[[#This Row],[Date of Call]])&lt;=6,YEAR(calls[[#This Row],[Date of Call]]),YEAR(calls[[#This Row],[Date of Call]])+1)</f>
        <v>2024</v>
      </c>
      <c r="I979" t="str">
        <f>TEXT(calls[[#This Row],[Date of Call]],"DDDD")</f>
        <v>Sunday</v>
      </c>
      <c r="J979" t="str" cm="1">
        <f t="array" ref="J979">_xlfn.IFS(calls[[#This Row],[Duration]]&lt;=10,"UNDER 10 MINS",calls[[#This Row],[Duration]]&lt;=30,"10 TO 30 MINS",calls[[#This Row],[Duration]]&lt;=60,"30 TO 60 MINS",calls[[#This Row],[Duration]]&lt;=120,"1 TO 2 HRS",TRUE,"MORE THAN 2 HRS")</f>
        <v>MORE THAN 2 HRS</v>
      </c>
      <c r="K979">
        <f>ROUND(calls[[#This Row],[Satisfaction Rating]],0)</f>
        <v>5</v>
      </c>
    </row>
    <row r="980" spans="1:11" x14ac:dyDescent="0.3">
      <c r="A980" s="41" t="s">
        <v>2031</v>
      </c>
      <c r="B980" s="10" t="s">
        <v>1060</v>
      </c>
      <c r="C980" s="10">
        <v>32</v>
      </c>
      <c r="D980" s="39" t="s">
        <v>1053</v>
      </c>
      <c r="E980" s="40">
        <v>45277</v>
      </c>
      <c r="F980" s="10">
        <v>148</v>
      </c>
      <c r="G980" s="42">
        <v>4</v>
      </c>
      <c r="H980">
        <f>IF(MONTH(calls[[#This Row],[Date of Call]])&lt;=6,YEAR(calls[[#This Row],[Date of Call]]),YEAR(calls[[#This Row],[Date of Call]])+1)</f>
        <v>2024</v>
      </c>
      <c r="I980" t="str">
        <f>TEXT(calls[[#This Row],[Date of Call]],"DDDD")</f>
        <v>Sunday</v>
      </c>
      <c r="J980" t="str" cm="1">
        <f t="array" ref="J980">_xlfn.IFS(calls[[#This Row],[Duration]]&lt;=10,"UNDER 10 MINS",calls[[#This Row],[Duration]]&lt;=30,"10 TO 30 MINS",calls[[#This Row],[Duration]]&lt;=60,"30 TO 60 MINS",calls[[#This Row],[Duration]]&lt;=120,"1 TO 2 HRS",TRUE,"MORE THAN 2 HRS")</f>
        <v>30 TO 60 MINS</v>
      </c>
      <c r="K980">
        <f>ROUND(calls[[#This Row],[Satisfaction Rating]],0)</f>
        <v>4</v>
      </c>
    </row>
    <row r="981" spans="1:11" x14ac:dyDescent="0.3">
      <c r="A981" s="41" t="s">
        <v>2032</v>
      </c>
      <c r="B981" s="10" t="s">
        <v>1042</v>
      </c>
      <c r="C981" s="10">
        <v>84</v>
      </c>
      <c r="D981" s="39" t="s">
        <v>1057</v>
      </c>
      <c r="E981" s="40">
        <v>45279</v>
      </c>
      <c r="F981" s="10">
        <v>180</v>
      </c>
      <c r="G981" s="42">
        <v>4.9000000000000004</v>
      </c>
      <c r="H981">
        <f>IF(MONTH(calls[[#This Row],[Date of Call]])&lt;=6,YEAR(calls[[#This Row],[Date of Call]]),YEAR(calls[[#This Row],[Date of Call]])+1)</f>
        <v>2024</v>
      </c>
      <c r="I981" t="str">
        <f>TEXT(calls[[#This Row],[Date of Call]],"DDDD")</f>
        <v>Tuesday</v>
      </c>
      <c r="J981" t="str" cm="1">
        <f t="array" ref="J981">_xlfn.IFS(calls[[#This Row],[Duration]]&lt;=10,"UNDER 10 MINS",calls[[#This Row],[Duration]]&lt;=30,"10 TO 30 MINS",calls[[#This Row],[Duration]]&lt;=60,"30 TO 60 MINS",calls[[#This Row],[Duration]]&lt;=120,"1 TO 2 HRS",TRUE,"MORE THAN 2 HRS")</f>
        <v>1 TO 2 HRS</v>
      </c>
      <c r="K981">
        <f>ROUND(calls[[#This Row],[Satisfaction Rating]],0)</f>
        <v>5</v>
      </c>
    </row>
    <row r="982" spans="1:11" x14ac:dyDescent="0.3">
      <c r="A982" s="41" t="s">
        <v>2033</v>
      </c>
      <c r="B982" s="10" t="s">
        <v>1068</v>
      </c>
      <c r="C982" s="10">
        <v>120</v>
      </c>
      <c r="D982" s="39" t="s">
        <v>1048</v>
      </c>
      <c r="E982" s="40">
        <v>45280</v>
      </c>
      <c r="F982" s="10">
        <v>190</v>
      </c>
      <c r="G982" s="42">
        <v>3.7</v>
      </c>
      <c r="H982">
        <f>IF(MONTH(calls[[#This Row],[Date of Call]])&lt;=6,YEAR(calls[[#This Row],[Date of Call]]),YEAR(calls[[#This Row],[Date of Call]])+1)</f>
        <v>2024</v>
      </c>
      <c r="I982" t="str">
        <f>TEXT(calls[[#This Row],[Date of Call]],"DDDD")</f>
        <v>Wednesday</v>
      </c>
      <c r="J982" t="str" cm="1">
        <f t="array" ref="J982">_xlfn.IFS(calls[[#This Row],[Duration]]&lt;=10,"UNDER 10 MINS",calls[[#This Row],[Duration]]&lt;=30,"10 TO 30 MINS",calls[[#This Row],[Duration]]&lt;=60,"30 TO 60 MINS",calls[[#This Row],[Duration]]&lt;=120,"1 TO 2 HRS",TRUE,"MORE THAN 2 HRS")</f>
        <v>1 TO 2 HRS</v>
      </c>
      <c r="K982">
        <f>ROUND(calls[[#This Row],[Satisfaction Rating]],0)</f>
        <v>4</v>
      </c>
    </row>
    <row r="983" spans="1:11" x14ac:dyDescent="0.3">
      <c r="A983" s="41" t="s">
        <v>2034</v>
      </c>
      <c r="B983" s="10" t="s">
        <v>1047</v>
      </c>
      <c r="C983" s="10">
        <v>93</v>
      </c>
      <c r="D983" s="39" t="s">
        <v>1053</v>
      </c>
      <c r="E983" s="40">
        <v>45280</v>
      </c>
      <c r="F983" s="10">
        <v>38</v>
      </c>
      <c r="G983" s="42">
        <v>4.5</v>
      </c>
      <c r="H983">
        <f>IF(MONTH(calls[[#This Row],[Date of Call]])&lt;=6,YEAR(calls[[#This Row],[Date of Call]]),YEAR(calls[[#This Row],[Date of Call]])+1)</f>
        <v>2024</v>
      </c>
      <c r="I983" t="str">
        <f>TEXT(calls[[#This Row],[Date of Call]],"DDDD")</f>
        <v>Wednesday</v>
      </c>
      <c r="J983" t="str" cm="1">
        <f t="array" ref="J983">_xlfn.IFS(calls[[#This Row],[Duration]]&lt;=10,"UNDER 10 MINS",calls[[#This Row],[Duration]]&lt;=30,"10 TO 30 MINS",calls[[#This Row],[Duration]]&lt;=60,"30 TO 60 MINS",calls[[#This Row],[Duration]]&lt;=120,"1 TO 2 HRS",TRUE,"MORE THAN 2 HRS")</f>
        <v>1 TO 2 HRS</v>
      </c>
      <c r="K983">
        <f>ROUND(calls[[#This Row],[Satisfaction Rating]],0)</f>
        <v>5</v>
      </c>
    </row>
    <row r="984" spans="1:11" x14ac:dyDescent="0.3">
      <c r="A984" s="41" t="s">
        <v>2035</v>
      </c>
      <c r="B984" s="10" t="s">
        <v>1051</v>
      </c>
      <c r="C984" s="10">
        <v>76</v>
      </c>
      <c r="D984" s="39" t="s">
        <v>1043</v>
      </c>
      <c r="E984" s="40">
        <v>45281</v>
      </c>
      <c r="F984" s="10">
        <v>82</v>
      </c>
      <c r="G984" s="42">
        <v>2.1</v>
      </c>
      <c r="H984">
        <f>IF(MONTH(calls[[#This Row],[Date of Call]])&lt;=6,YEAR(calls[[#This Row],[Date of Call]]),YEAR(calls[[#This Row],[Date of Call]])+1)</f>
        <v>2024</v>
      </c>
      <c r="I984" t="str">
        <f>TEXT(calls[[#This Row],[Date of Call]],"DDDD")</f>
        <v>Thursday</v>
      </c>
      <c r="J984" t="str" cm="1">
        <f t="array" ref="J984">_xlfn.IFS(calls[[#This Row],[Duration]]&lt;=10,"UNDER 10 MINS",calls[[#This Row],[Duration]]&lt;=30,"10 TO 30 MINS",calls[[#This Row],[Duration]]&lt;=60,"30 TO 60 MINS",calls[[#This Row],[Duration]]&lt;=120,"1 TO 2 HRS",TRUE,"MORE THAN 2 HRS")</f>
        <v>1 TO 2 HRS</v>
      </c>
      <c r="K984">
        <f>ROUND(calls[[#This Row],[Satisfaction Rating]],0)</f>
        <v>2</v>
      </c>
    </row>
    <row r="985" spans="1:11" x14ac:dyDescent="0.3">
      <c r="A985" s="41" t="s">
        <v>2036</v>
      </c>
      <c r="B985" s="10" t="s">
        <v>1109</v>
      </c>
      <c r="C985" s="10">
        <v>89</v>
      </c>
      <c r="D985" s="39" t="s">
        <v>1053</v>
      </c>
      <c r="E985" s="40">
        <v>45284</v>
      </c>
      <c r="F985" s="10">
        <v>88</v>
      </c>
      <c r="G985" s="42">
        <v>2.8</v>
      </c>
      <c r="H985">
        <f>IF(MONTH(calls[[#This Row],[Date of Call]])&lt;=6,YEAR(calls[[#This Row],[Date of Call]]),YEAR(calls[[#This Row],[Date of Call]])+1)</f>
        <v>2024</v>
      </c>
      <c r="I985" t="str">
        <f>TEXT(calls[[#This Row],[Date of Call]],"DDDD")</f>
        <v>Sunday</v>
      </c>
      <c r="J985" t="str" cm="1">
        <f t="array" ref="J985">_xlfn.IFS(calls[[#This Row],[Duration]]&lt;=10,"UNDER 10 MINS",calls[[#This Row],[Duration]]&lt;=30,"10 TO 30 MINS",calls[[#This Row],[Duration]]&lt;=60,"30 TO 60 MINS",calls[[#This Row],[Duration]]&lt;=120,"1 TO 2 HRS",TRUE,"MORE THAN 2 HRS")</f>
        <v>1 TO 2 HRS</v>
      </c>
      <c r="K985">
        <f>ROUND(calls[[#This Row],[Satisfaction Rating]],0)</f>
        <v>3</v>
      </c>
    </row>
    <row r="986" spans="1:11" x14ac:dyDescent="0.3">
      <c r="A986" s="41" t="s">
        <v>2037</v>
      </c>
      <c r="B986" s="10" t="s">
        <v>1045</v>
      </c>
      <c r="C986" s="10">
        <v>91</v>
      </c>
      <c r="D986" s="39" t="s">
        <v>1057</v>
      </c>
      <c r="E986" s="40">
        <v>45284</v>
      </c>
      <c r="F986" s="10">
        <v>42</v>
      </c>
      <c r="G986" s="42">
        <v>4.0999999999999996</v>
      </c>
      <c r="H986">
        <f>IF(MONTH(calls[[#This Row],[Date of Call]])&lt;=6,YEAR(calls[[#This Row],[Date of Call]]),YEAR(calls[[#This Row],[Date of Call]])+1)</f>
        <v>2024</v>
      </c>
      <c r="I986" t="str">
        <f>TEXT(calls[[#This Row],[Date of Call]],"DDDD")</f>
        <v>Sunday</v>
      </c>
      <c r="J986" t="str" cm="1">
        <f t="array" ref="J986">_xlfn.IFS(calls[[#This Row],[Duration]]&lt;=10,"UNDER 10 MINS",calls[[#This Row],[Duration]]&lt;=30,"10 TO 30 MINS",calls[[#This Row],[Duration]]&lt;=60,"30 TO 60 MINS",calls[[#This Row],[Duration]]&lt;=120,"1 TO 2 HRS",TRUE,"MORE THAN 2 HRS")</f>
        <v>1 TO 2 HRS</v>
      </c>
      <c r="K986">
        <f>ROUND(calls[[#This Row],[Satisfaction Rating]],0)</f>
        <v>4</v>
      </c>
    </row>
    <row r="987" spans="1:11" x14ac:dyDescent="0.3">
      <c r="A987" s="41" t="s">
        <v>2038</v>
      </c>
      <c r="B987" s="10" t="s">
        <v>1071</v>
      </c>
      <c r="C987" s="10">
        <v>7</v>
      </c>
      <c r="D987" s="39" t="s">
        <v>1038</v>
      </c>
      <c r="E987" s="40">
        <v>45285</v>
      </c>
      <c r="F987" s="10">
        <v>64</v>
      </c>
      <c r="G987" s="42">
        <v>3.3</v>
      </c>
      <c r="H987">
        <f>IF(MONTH(calls[[#This Row],[Date of Call]])&lt;=6,YEAR(calls[[#This Row],[Date of Call]]),YEAR(calls[[#This Row],[Date of Call]])+1)</f>
        <v>2024</v>
      </c>
      <c r="I987" t="str">
        <f>TEXT(calls[[#This Row],[Date of Call]],"DDDD")</f>
        <v>Monday</v>
      </c>
      <c r="J987" t="str" cm="1">
        <f t="array" ref="J987">_xlfn.IFS(calls[[#This Row],[Duration]]&lt;=10,"UNDER 10 MINS",calls[[#This Row],[Duration]]&lt;=30,"10 TO 30 MINS",calls[[#This Row],[Duration]]&lt;=60,"30 TO 60 MINS",calls[[#This Row],[Duration]]&lt;=120,"1 TO 2 HRS",TRUE,"MORE THAN 2 HRS")</f>
        <v>UNDER 10 MINS</v>
      </c>
      <c r="K987">
        <f>ROUND(calls[[#This Row],[Satisfaction Rating]],0)</f>
        <v>3</v>
      </c>
    </row>
    <row r="988" spans="1:11" x14ac:dyDescent="0.3">
      <c r="A988" s="41" t="s">
        <v>2039</v>
      </c>
      <c r="B988" s="10" t="s">
        <v>1060</v>
      </c>
      <c r="C988" s="10">
        <v>140</v>
      </c>
      <c r="D988" s="39" t="s">
        <v>1038</v>
      </c>
      <c r="E988" s="40">
        <v>45285</v>
      </c>
      <c r="F988" s="10">
        <v>105</v>
      </c>
      <c r="G988" s="42">
        <v>1.7</v>
      </c>
      <c r="H988">
        <f>IF(MONTH(calls[[#This Row],[Date of Call]])&lt;=6,YEAR(calls[[#This Row],[Date of Call]]),YEAR(calls[[#This Row],[Date of Call]])+1)</f>
        <v>2024</v>
      </c>
      <c r="I988" t="str">
        <f>TEXT(calls[[#This Row],[Date of Call]],"DDDD")</f>
        <v>Monday</v>
      </c>
      <c r="J988" t="str" cm="1">
        <f t="array" ref="J988">_xlfn.IFS(calls[[#This Row],[Duration]]&lt;=10,"UNDER 10 MINS",calls[[#This Row],[Duration]]&lt;=30,"10 TO 30 MINS",calls[[#This Row],[Duration]]&lt;=60,"30 TO 60 MINS",calls[[#This Row],[Duration]]&lt;=120,"1 TO 2 HRS",TRUE,"MORE THAN 2 HRS")</f>
        <v>MORE THAN 2 HRS</v>
      </c>
      <c r="K988">
        <f>ROUND(calls[[#This Row],[Satisfaction Rating]],0)</f>
        <v>2</v>
      </c>
    </row>
    <row r="989" spans="1:11" x14ac:dyDescent="0.3">
      <c r="A989" s="41" t="s">
        <v>2040</v>
      </c>
      <c r="B989" s="10" t="s">
        <v>1040</v>
      </c>
      <c r="C989" s="10">
        <v>58</v>
      </c>
      <c r="D989" s="39" t="s">
        <v>1048</v>
      </c>
      <c r="E989" s="40">
        <v>45285</v>
      </c>
      <c r="F989" s="10">
        <v>25</v>
      </c>
      <c r="G989" s="42">
        <v>3.6</v>
      </c>
      <c r="H989">
        <f>IF(MONTH(calls[[#This Row],[Date of Call]])&lt;=6,YEAR(calls[[#This Row],[Date of Call]]),YEAR(calls[[#This Row],[Date of Call]])+1)</f>
        <v>2024</v>
      </c>
      <c r="I989" t="str">
        <f>TEXT(calls[[#This Row],[Date of Call]],"DDDD")</f>
        <v>Monday</v>
      </c>
      <c r="J989" t="str" cm="1">
        <f t="array" ref="J989">_xlfn.IFS(calls[[#This Row],[Duration]]&lt;=10,"UNDER 10 MINS",calls[[#This Row],[Duration]]&lt;=30,"10 TO 30 MINS",calls[[#This Row],[Duration]]&lt;=60,"30 TO 60 MINS",calls[[#This Row],[Duration]]&lt;=120,"1 TO 2 HRS",TRUE,"MORE THAN 2 HRS")</f>
        <v>30 TO 60 MINS</v>
      </c>
      <c r="K989">
        <f>ROUND(calls[[#This Row],[Satisfaction Rating]],0)</f>
        <v>4</v>
      </c>
    </row>
    <row r="990" spans="1:11" x14ac:dyDescent="0.3">
      <c r="A990" s="41" t="s">
        <v>2041</v>
      </c>
      <c r="B990" s="10" t="s">
        <v>1037</v>
      </c>
      <c r="C990" s="10">
        <v>90</v>
      </c>
      <c r="D990" s="39" t="s">
        <v>1043</v>
      </c>
      <c r="E990" s="40">
        <v>45286</v>
      </c>
      <c r="F990" s="10">
        <v>176</v>
      </c>
      <c r="G990" s="42">
        <v>3.6</v>
      </c>
      <c r="H990">
        <f>IF(MONTH(calls[[#This Row],[Date of Call]])&lt;=6,YEAR(calls[[#This Row],[Date of Call]]),YEAR(calls[[#This Row],[Date of Call]])+1)</f>
        <v>2024</v>
      </c>
      <c r="I990" t="str">
        <f>TEXT(calls[[#This Row],[Date of Call]],"DDDD")</f>
        <v>Tuesday</v>
      </c>
      <c r="J990" t="str" cm="1">
        <f t="array" ref="J990">_xlfn.IFS(calls[[#This Row],[Duration]]&lt;=10,"UNDER 10 MINS",calls[[#This Row],[Duration]]&lt;=30,"10 TO 30 MINS",calls[[#This Row],[Duration]]&lt;=60,"30 TO 60 MINS",calls[[#This Row],[Duration]]&lt;=120,"1 TO 2 HRS",TRUE,"MORE THAN 2 HRS")</f>
        <v>1 TO 2 HRS</v>
      </c>
      <c r="K990">
        <f>ROUND(calls[[#This Row],[Satisfaction Rating]],0)</f>
        <v>4</v>
      </c>
    </row>
    <row r="991" spans="1:11" x14ac:dyDescent="0.3">
      <c r="A991" s="41" t="s">
        <v>2042</v>
      </c>
      <c r="B991" s="10" t="s">
        <v>1037</v>
      </c>
      <c r="C991" s="10">
        <v>106</v>
      </c>
      <c r="D991" s="39" t="s">
        <v>1053</v>
      </c>
      <c r="E991" s="40">
        <v>45287</v>
      </c>
      <c r="F991" s="10">
        <v>46</v>
      </c>
      <c r="G991" s="42">
        <v>4.5999999999999996</v>
      </c>
      <c r="H991">
        <f>IF(MONTH(calls[[#This Row],[Date of Call]])&lt;=6,YEAR(calls[[#This Row],[Date of Call]]),YEAR(calls[[#This Row],[Date of Call]])+1)</f>
        <v>2024</v>
      </c>
      <c r="I991" t="str">
        <f>TEXT(calls[[#This Row],[Date of Call]],"DDDD")</f>
        <v>Wednesday</v>
      </c>
      <c r="J991" t="str" cm="1">
        <f t="array" ref="J991">_xlfn.IFS(calls[[#This Row],[Duration]]&lt;=10,"UNDER 10 MINS",calls[[#This Row],[Duration]]&lt;=30,"10 TO 30 MINS",calls[[#This Row],[Duration]]&lt;=60,"30 TO 60 MINS",calls[[#This Row],[Duration]]&lt;=120,"1 TO 2 HRS",TRUE,"MORE THAN 2 HRS")</f>
        <v>1 TO 2 HRS</v>
      </c>
      <c r="K991">
        <f>ROUND(calls[[#This Row],[Satisfaction Rating]],0)</f>
        <v>5</v>
      </c>
    </row>
    <row r="992" spans="1:11" x14ac:dyDescent="0.3">
      <c r="A992" s="41" t="s">
        <v>2043</v>
      </c>
      <c r="B992" s="10" t="s">
        <v>1068</v>
      </c>
      <c r="C992" s="10">
        <v>72</v>
      </c>
      <c r="D992" s="39" t="s">
        <v>1038</v>
      </c>
      <c r="E992" s="40">
        <v>45287</v>
      </c>
      <c r="F992" s="10">
        <v>164</v>
      </c>
      <c r="G992" s="42">
        <v>4.8</v>
      </c>
      <c r="H992">
        <f>IF(MONTH(calls[[#This Row],[Date of Call]])&lt;=6,YEAR(calls[[#This Row],[Date of Call]]),YEAR(calls[[#This Row],[Date of Call]])+1)</f>
        <v>2024</v>
      </c>
      <c r="I992" t="str">
        <f>TEXT(calls[[#This Row],[Date of Call]],"DDDD")</f>
        <v>Wednesday</v>
      </c>
      <c r="J992" t="str" cm="1">
        <f t="array" ref="J992">_xlfn.IFS(calls[[#This Row],[Duration]]&lt;=10,"UNDER 10 MINS",calls[[#This Row],[Duration]]&lt;=30,"10 TO 30 MINS",calls[[#This Row],[Duration]]&lt;=60,"30 TO 60 MINS",calls[[#This Row],[Duration]]&lt;=120,"1 TO 2 HRS",TRUE,"MORE THAN 2 HRS")</f>
        <v>1 TO 2 HRS</v>
      </c>
      <c r="K992">
        <f>ROUND(calls[[#This Row],[Satisfaction Rating]],0)</f>
        <v>5</v>
      </c>
    </row>
    <row r="993" spans="1:11" x14ac:dyDescent="0.3">
      <c r="A993" s="41" t="s">
        <v>2044</v>
      </c>
      <c r="B993" s="10" t="s">
        <v>1071</v>
      </c>
      <c r="C993" s="10">
        <v>124</v>
      </c>
      <c r="D993" s="39" t="s">
        <v>1038</v>
      </c>
      <c r="E993" s="40">
        <v>45288</v>
      </c>
      <c r="F993" s="10">
        <v>64</v>
      </c>
      <c r="G993" s="42">
        <v>4.5</v>
      </c>
      <c r="H993">
        <f>IF(MONTH(calls[[#This Row],[Date of Call]])&lt;=6,YEAR(calls[[#This Row],[Date of Call]]),YEAR(calls[[#This Row],[Date of Call]])+1)</f>
        <v>2024</v>
      </c>
      <c r="I993" t="str">
        <f>TEXT(calls[[#This Row],[Date of Call]],"DDDD")</f>
        <v>Thursday</v>
      </c>
      <c r="J993" t="str" cm="1">
        <f t="array" ref="J993">_xlfn.IFS(calls[[#This Row],[Duration]]&lt;=10,"UNDER 10 MINS",calls[[#This Row],[Duration]]&lt;=30,"10 TO 30 MINS",calls[[#This Row],[Duration]]&lt;=60,"30 TO 60 MINS",calls[[#This Row],[Duration]]&lt;=120,"1 TO 2 HRS",TRUE,"MORE THAN 2 HRS")</f>
        <v>MORE THAN 2 HRS</v>
      </c>
      <c r="K993">
        <f>ROUND(calls[[#This Row],[Satisfaction Rating]],0)</f>
        <v>5</v>
      </c>
    </row>
    <row r="994" spans="1:11" x14ac:dyDescent="0.3">
      <c r="A994" s="41" t="s">
        <v>2045</v>
      </c>
      <c r="B994" s="10" t="s">
        <v>1062</v>
      </c>
      <c r="C994" s="10">
        <v>86</v>
      </c>
      <c r="D994" s="39" t="s">
        <v>1057</v>
      </c>
      <c r="E994" s="40">
        <v>45288</v>
      </c>
      <c r="F994" s="10">
        <v>205</v>
      </c>
      <c r="G994" s="42">
        <v>4.5</v>
      </c>
      <c r="H994">
        <f>IF(MONTH(calls[[#This Row],[Date of Call]])&lt;=6,YEAR(calls[[#This Row],[Date of Call]]),YEAR(calls[[#This Row],[Date of Call]])+1)</f>
        <v>2024</v>
      </c>
      <c r="I994" t="str">
        <f>TEXT(calls[[#This Row],[Date of Call]],"DDDD")</f>
        <v>Thursday</v>
      </c>
      <c r="J994" t="str" cm="1">
        <f t="array" ref="J994">_xlfn.IFS(calls[[#This Row],[Duration]]&lt;=10,"UNDER 10 MINS",calls[[#This Row],[Duration]]&lt;=30,"10 TO 30 MINS",calls[[#This Row],[Duration]]&lt;=60,"30 TO 60 MINS",calls[[#This Row],[Duration]]&lt;=120,"1 TO 2 HRS",TRUE,"MORE THAN 2 HRS")</f>
        <v>1 TO 2 HRS</v>
      </c>
      <c r="K994">
        <f>ROUND(calls[[#This Row],[Satisfaction Rating]],0)</f>
        <v>5</v>
      </c>
    </row>
    <row r="995" spans="1:11" x14ac:dyDescent="0.3">
      <c r="A995" s="41" t="s">
        <v>2046</v>
      </c>
      <c r="B995" s="10" t="s">
        <v>1042</v>
      </c>
      <c r="C995" s="10">
        <v>164</v>
      </c>
      <c r="D995" s="39" t="s">
        <v>1057</v>
      </c>
      <c r="E995" s="40">
        <v>45289</v>
      </c>
      <c r="F995" s="10">
        <v>100</v>
      </c>
      <c r="G995" s="42">
        <v>4.5999999999999996</v>
      </c>
      <c r="H995">
        <f>IF(MONTH(calls[[#This Row],[Date of Call]])&lt;=6,YEAR(calls[[#This Row],[Date of Call]]),YEAR(calls[[#This Row],[Date of Call]])+1)</f>
        <v>2024</v>
      </c>
      <c r="I995" t="str">
        <f>TEXT(calls[[#This Row],[Date of Call]],"DDDD")</f>
        <v>Friday</v>
      </c>
      <c r="J995" t="str" cm="1">
        <f t="array" ref="J995">_xlfn.IFS(calls[[#This Row],[Duration]]&lt;=10,"UNDER 10 MINS",calls[[#This Row],[Duration]]&lt;=30,"10 TO 30 MINS",calls[[#This Row],[Duration]]&lt;=60,"30 TO 60 MINS",calls[[#This Row],[Duration]]&lt;=120,"1 TO 2 HRS",TRUE,"MORE THAN 2 HRS")</f>
        <v>MORE THAN 2 HRS</v>
      </c>
      <c r="K995">
        <f>ROUND(calls[[#This Row],[Satisfaction Rating]],0)</f>
        <v>5</v>
      </c>
    </row>
    <row r="996" spans="1:11" x14ac:dyDescent="0.3">
      <c r="A996" s="41" t="s">
        <v>2047</v>
      </c>
      <c r="B996" s="10" t="s">
        <v>1047</v>
      </c>
      <c r="C996" s="10">
        <v>40</v>
      </c>
      <c r="D996" s="39" t="s">
        <v>1043</v>
      </c>
      <c r="E996" s="40">
        <v>45289</v>
      </c>
      <c r="F996" s="10">
        <v>111</v>
      </c>
      <c r="G996" s="42">
        <v>4.5999999999999996</v>
      </c>
      <c r="H996">
        <f>IF(MONTH(calls[[#This Row],[Date of Call]])&lt;=6,YEAR(calls[[#This Row],[Date of Call]]),YEAR(calls[[#This Row],[Date of Call]])+1)</f>
        <v>2024</v>
      </c>
      <c r="I996" t="str">
        <f>TEXT(calls[[#This Row],[Date of Call]],"DDDD")</f>
        <v>Friday</v>
      </c>
      <c r="J996" t="str" cm="1">
        <f t="array" ref="J996">_xlfn.IFS(calls[[#This Row],[Duration]]&lt;=10,"UNDER 10 MINS",calls[[#This Row],[Duration]]&lt;=30,"10 TO 30 MINS",calls[[#This Row],[Duration]]&lt;=60,"30 TO 60 MINS",calls[[#This Row],[Duration]]&lt;=120,"1 TO 2 HRS",TRUE,"MORE THAN 2 HRS")</f>
        <v>30 TO 60 MINS</v>
      </c>
      <c r="K996">
        <f>ROUND(calls[[#This Row],[Satisfaction Rating]],0)</f>
        <v>5</v>
      </c>
    </row>
    <row r="997" spans="1:11" x14ac:dyDescent="0.3">
      <c r="A997" s="41" t="s">
        <v>2048</v>
      </c>
      <c r="B997" s="10" t="s">
        <v>1045</v>
      </c>
      <c r="C997" s="10">
        <v>76</v>
      </c>
      <c r="D997" s="39" t="s">
        <v>1048</v>
      </c>
      <c r="E997" s="40">
        <v>45289</v>
      </c>
      <c r="F997" s="10">
        <v>80</v>
      </c>
      <c r="G997" s="42">
        <v>3.5</v>
      </c>
      <c r="H997">
        <f>IF(MONTH(calls[[#This Row],[Date of Call]])&lt;=6,YEAR(calls[[#This Row],[Date of Call]]),YEAR(calls[[#This Row],[Date of Call]])+1)</f>
        <v>2024</v>
      </c>
      <c r="I997" t="str">
        <f>TEXT(calls[[#This Row],[Date of Call]],"DDDD")</f>
        <v>Friday</v>
      </c>
      <c r="J997" t="str" cm="1">
        <f t="array" ref="J997">_xlfn.IFS(calls[[#This Row],[Duration]]&lt;=10,"UNDER 10 MINS",calls[[#This Row],[Duration]]&lt;=30,"10 TO 30 MINS",calls[[#This Row],[Duration]]&lt;=60,"30 TO 60 MINS",calls[[#This Row],[Duration]]&lt;=120,"1 TO 2 HRS",TRUE,"MORE THAN 2 HRS")</f>
        <v>1 TO 2 HRS</v>
      </c>
      <c r="K997">
        <f>ROUND(calls[[#This Row],[Satisfaction Rating]],0)</f>
        <v>4</v>
      </c>
    </row>
    <row r="998" spans="1:11" x14ac:dyDescent="0.3">
      <c r="A998" s="41" t="s">
        <v>2049</v>
      </c>
      <c r="B998" s="10" t="s">
        <v>1071</v>
      </c>
      <c r="C998" s="10">
        <v>95</v>
      </c>
      <c r="D998" s="39" t="s">
        <v>1053</v>
      </c>
      <c r="E998" s="40">
        <v>45289</v>
      </c>
      <c r="F998" s="10">
        <v>50</v>
      </c>
      <c r="G998" s="42">
        <v>2.9</v>
      </c>
      <c r="H998">
        <f>IF(MONTH(calls[[#This Row],[Date of Call]])&lt;=6,YEAR(calls[[#This Row],[Date of Call]]),YEAR(calls[[#This Row],[Date of Call]])+1)</f>
        <v>2024</v>
      </c>
      <c r="I998" t="str">
        <f>TEXT(calls[[#This Row],[Date of Call]],"DDDD")</f>
        <v>Friday</v>
      </c>
      <c r="J998" t="str" cm="1">
        <f t="array" ref="J998">_xlfn.IFS(calls[[#This Row],[Duration]]&lt;=10,"UNDER 10 MINS",calls[[#This Row],[Duration]]&lt;=30,"10 TO 30 MINS",calls[[#This Row],[Duration]]&lt;=60,"30 TO 60 MINS",calls[[#This Row],[Duration]]&lt;=120,"1 TO 2 HRS",TRUE,"MORE THAN 2 HRS")</f>
        <v>1 TO 2 HRS</v>
      </c>
      <c r="K998">
        <f>ROUND(calls[[#This Row],[Satisfaction Rating]],0)</f>
        <v>3</v>
      </c>
    </row>
    <row r="999" spans="1:11" x14ac:dyDescent="0.3">
      <c r="A999" s="41" t="s">
        <v>2050</v>
      </c>
      <c r="B999" s="10" t="s">
        <v>1045</v>
      </c>
      <c r="C999" s="10">
        <v>113</v>
      </c>
      <c r="D999" s="39" t="s">
        <v>1038</v>
      </c>
      <c r="E999" s="40">
        <v>45290</v>
      </c>
      <c r="F999" s="10">
        <v>165</v>
      </c>
      <c r="G999" s="42">
        <v>4.7</v>
      </c>
      <c r="H999">
        <f>IF(MONTH(calls[[#This Row],[Date of Call]])&lt;=6,YEAR(calls[[#This Row],[Date of Call]]),YEAR(calls[[#This Row],[Date of Call]])+1)</f>
        <v>2024</v>
      </c>
      <c r="I999" t="str">
        <f>TEXT(calls[[#This Row],[Date of Call]],"DDDD")</f>
        <v>Saturday</v>
      </c>
      <c r="J999" t="str" cm="1">
        <f t="array" ref="J999">_xlfn.IFS(calls[[#This Row],[Duration]]&lt;=10,"UNDER 10 MINS",calls[[#This Row],[Duration]]&lt;=30,"10 TO 30 MINS",calls[[#This Row],[Duration]]&lt;=60,"30 TO 60 MINS",calls[[#This Row],[Duration]]&lt;=120,"1 TO 2 HRS",TRUE,"MORE THAN 2 HRS")</f>
        <v>1 TO 2 HRS</v>
      </c>
      <c r="K999">
        <f>ROUND(calls[[#This Row],[Satisfaction Rating]],0)</f>
        <v>5</v>
      </c>
    </row>
    <row r="1000" spans="1:11" x14ac:dyDescent="0.3">
      <c r="A1000" s="41" t="s">
        <v>2051</v>
      </c>
      <c r="B1000" s="10" t="s">
        <v>1062</v>
      </c>
      <c r="C1000" s="10">
        <v>81</v>
      </c>
      <c r="D1000" s="39" t="s">
        <v>1038</v>
      </c>
      <c r="E1000" s="40">
        <v>45290</v>
      </c>
      <c r="F1000" s="10">
        <v>28</v>
      </c>
      <c r="G1000" s="42">
        <v>3.9</v>
      </c>
      <c r="H1000">
        <f>IF(MONTH(calls[[#This Row],[Date of Call]])&lt;=6,YEAR(calls[[#This Row],[Date of Call]]),YEAR(calls[[#This Row],[Date of Call]])+1)</f>
        <v>2024</v>
      </c>
      <c r="I1000" t="str">
        <f>TEXT(calls[[#This Row],[Date of Call]],"DDDD")</f>
        <v>Saturday</v>
      </c>
      <c r="J1000" t="str" cm="1">
        <f t="array" ref="J1000">_xlfn.IFS(calls[[#This Row],[Duration]]&lt;=10,"UNDER 10 MINS",calls[[#This Row],[Duration]]&lt;=30,"10 TO 30 MINS",calls[[#This Row],[Duration]]&lt;=60,"30 TO 60 MINS",calls[[#This Row],[Duration]]&lt;=120,"1 TO 2 HRS",TRUE,"MORE THAN 2 HRS")</f>
        <v>1 TO 2 HRS</v>
      </c>
      <c r="K1000">
        <f>ROUND(calls[[#This Row],[Satisfaction Rating]],0)</f>
        <v>4</v>
      </c>
    </row>
    <row r="1001" spans="1:11" x14ac:dyDescent="0.3">
      <c r="A1001" s="41" t="s">
        <v>2052</v>
      </c>
      <c r="B1001" s="10" t="s">
        <v>1051</v>
      </c>
      <c r="C1001" s="10">
        <v>127</v>
      </c>
      <c r="D1001" s="39" t="s">
        <v>1053</v>
      </c>
      <c r="E1001" s="40">
        <v>45290</v>
      </c>
      <c r="F1001" s="10">
        <v>215</v>
      </c>
      <c r="G1001" s="42">
        <v>3.8</v>
      </c>
      <c r="H1001">
        <f>IF(MONTH(calls[[#This Row],[Date of Call]])&lt;=6,YEAR(calls[[#This Row],[Date of Call]]),YEAR(calls[[#This Row],[Date of Call]])+1)</f>
        <v>2024</v>
      </c>
      <c r="I1001" t="str">
        <f>TEXT(calls[[#This Row],[Date of Call]],"DDDD")</f>
        <v>Saturday</v>
      </c>
      <c r="J1001" t="str" cm="1">
        <f t="array" ref="J1001">_xlfn.IFS(calls[[#This Row],[Duration]]&lt;=10,"UNDER 10 MINS",calls[[#This Row],[Duration]]&lt;=30,"10 TO 30 MINS",calls[[#This Row],[Duration]]&lt;=60,"30 TO 60 MINS",calls[[#This Row],[Duration]]&lt;=120,"1 TO 2 HRS",TRUE,"MORE THAN 2 HRS")</f>
        <v>MORE THAN 2 HRS</v>
      </c>
      <c r="K1001">
        <f>ROUND(calls[[#This Row],[Satisfaction Rating]],0)</f>
        <v>4</v>
      </c>
    </row>
    <row r="1002" spans="1:11" x14ac:dyDescent="0.3">
      <c r="A1002" s="41" t="s">
        <v>2053</v>
      </c>
      <c r="B1002" s="10" t="s">
        <v>1060</v>
      </c>
      <c r="C1002" s="10">
        <v>146</v>
      </c>
      <c r="D1002" s="39" t="s">
        <v>1038</v>
      </c>
      <c r="E1002" s="40">
        <v>45291</v>
      </c>
      <c r="F1002" s="10">
        <v>115</v>
      </c>
      <c r="G1002" s="42">
        <v>2.2999999999999998</v>
      </c>
      <c r="H1002">
        <f>IF(MONTH(calls[[#This Row],[Date of Call]])&lt;=6,YEAR(calls[[#This Row],[Date of Call]]),YEAR(calls[[#This Row],[Date of Call]])+1)</f>
        <v>2024</v>
      </c>
      <c r="I1002" t="str">
        <f>TEXT(calls[[#This Row],[Date of Call]],"DDDD")</f>
        <v>Sunday</v>
      </c>
      <c r="J1002" t="str" cm="1">
        <f t="array" ref="J1002">_xlfn.IFS(calls[[#This Row],[Duration]]&lt;=10,"UNDER 10 MINS",calls[[#This Row],[Duration]]&lt;=30,"10 TO 30 MINS",calls[[#This Row],[Duration]]&lt;=60,"30 TO 60 MINS",calls[[#This Row],[Duration]]&lt;=120,"1 TO 2 HRS",TRUE,"MORE THAN 2 HRS")</f>
        <v>MORE THAN 2 HRS</v>
      </c>
      <c r="K1002">
        <f>ROUND(calls[[#This Row],[Satisfaction Rating]],0)</f>
        <v>2</v>
      </c>
    </row>
    <row r="1003" spans="1:11" x14ac:dyDescent="0.3">
      <c r="A1003" s="41" t="s">
        <v>2054</v>
      </c>
      <c r="B1003" s="10" t="s">
        <v>1056</v>
      </c>
      <c r="C1003" s="10">
        <v>123</v>
      </c>
      <c r="D1003" s="39" t="s">
        <v>1038</v>
      </c>
      <c r="E1003" s="40">
        <v>45291</v>
      </c>
      <c r="F1003" s="10">
        <v>64</v>
      </c>
      <c r="G1003" s="42">
        <v>3.7</v>
      </c>
      <c r="H1003">
        <f>IF(MONTH(calls[[#This Row],[Date of Call]])&lt;=6,YEAR(calls[[#This Row],[Date of Call]]),YEAR(calls[[#This Row],[Date of Call]])+1)</f>
        <v>2024</v>
      </c>
      <c r="I1003" t="str">
        <f>TEXT(calls[[#This Row],[Date of Call]],"DDDD")</f>
        <v>Sunday</v>
      </c>
      <c r="J1003" t="str" cm="1">
        <f t="array" ref="J1003">_xlfn.IFS(calls[[#This Row],[Duration]]&lt;=10,"UNDER 10 MINS",calls[[#This Row],[Duration]]&lt;=30,"10 TO 30 MINS",calls[[#This Row],[Duration]]&lt;=60,"30 TO 60 MINS",calls[[#This Row],[Duration]]&lt;=120,"1 TO 2 HRS",TRUE,"MORE THAN 2 HRS")</f>
        <v>MORE THAN 2 HRS</v>
      </c>
      <c r="K1003">
        <f>ROUND(calls[[#This Row],[Satisfaction Rating]],0)</f>
        <v>4</v>
      </c>
    </row>
    <row r="1004" spans="1:11" x14ac:dyDescent="0.3">
      <c r="A1004" s="48" t="s">
        <v>2055</v>
      </c>
      <c r="B1004" s="49" t="s">
        <v>1068</v>
      </c>
      <c r="C1004" s="49">
        <v>114</v>
      </c>
      <c r="D1004" s="50" t="s">
        <v>1048</v>
      </c>
      <c r="E1004" s="51">
        <v>45291</v>
      </c>
      <c r="F1004" s="49">
        <v>40</v>
      </c>
      <c r="G1004" s="52">
        <v>3.9</v>
      </c>
      <c r="H1004">
        <f>IF(MONTH(calls[[#This Row],[Date of Call]])&lt;=6,YEAR(calls[[#This Row],[Date of Call]]),YEAR(calls[[#This Row],[Date of Call]])+1)</f>
        <v>2024</v>
      </c>
      <c r="I1004" t="str">
        <f>TEXT(calls[[#This Row],[Date of Call]],"DDDD")</f>
        <v>Sunday</v>
      </c>
      <c r="J1004" t="str" cm="1">
        <f t="array" ref="J1004">_xlfn.IFS(calls[[#This Row],[Duration]]&lt;=10,"UNDER 10 MINS",calls[[#This Row],[Duration]]&lt;=30,"10 TO 30 MINS",calls[[#This Row],[Duration]]&lt;=60,"30 TO 60 MINS",calls[[#This Row],[Duration]]&lt;=120,"1 TO 2 HRS",TRUE,"MORE THAN 2 HRS")</f>
        <v>1 TO 2 HRS</v>
      </c>
      <c r="K1004">
        <f>ROUND(calls[[#This Row],[Satisfaction Rating]],0)</f>
        <v>4</v>
      </c>
    </row>
  </sheetData>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183F-6571-4740-BC68-CA8BA816CCD5}">
  <dimension ref="A1:BD50"/>
  <sheetViews>
    <sheetView topLeftCell="A12" workbookViewId="0">
      <selection activeCell="B20" sqref="B20"/>
    </sheetView>
  </sheetViews>
  <sheetFormatPr defaultRowHeight="14.4" x14ac:dyDescent="0.3"/>
  <cols>
    <col min="15" max="15" width="9.88671875" customWidth="1"/>
  </cols>
  <sheetData>
    <row r="1" spans="1:56" x14ac:dyDescent="0.3">
      <c r="A1" s="58"/>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row>
    <row r="2" spans="1:56" x14ac:dyDescent="0.3">
      <c r="A2" s="58"/>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row>
    <row r="3" spans="1:56" x14ac:dyDescent="0.3">
      <c r="A3" s="58"/>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row>
    <row r="4" spans="1:56" x14ac:dyDescent="0.3">
      <c r="A4" s="58"/>
      <c r="B4" s="58"/>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row>
    <row r="5" spans="1:56" x14ac:dyDescent="0.3">
      <c r="A5" s="58"/>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row>
    <row r="6" spans="1:56" x14ac:dyDescent="0.3">
      <c r="A6" s="58"/>
      <c r="B6" s="58"/>
      <c r="C6" s="58"/>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row>
    <row r="7" spans="1:56" x14ac:dyDescent="0.3">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row>
    <row r="8" spans="1:56" x14ac:dyDescent="0.3">
      <c r="A8" s="58"/>
      <c r="B8" s="58"/>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row>
    <row r="9" spans="1:56" x14ac:dyDescent="0.3">
      <c r="A9" s="58"/>
      <c r="B9" s="58"/>
      <c r="C9" s="58"/>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row>
    <row r="10" spans="1:56" x14ac:dyDescent="0.3">
      <c r="A10" s="58"/>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row>
    <row r="11" spans="1:56" x14ac:dyDescent="0.3">
      <c r="A11" s="58"/>
      <c r="B11" s="58"/>
      <c r="C11" s="58"/>
      <c r="D11" s="58"/>
      <c r="E11" s="58"/>
      <c r="F11" s="58"/>
      <c r="G11" s="58"/>
      <c r="H11" s="58"/>
      <c r="I11" s="58"/>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row>
    <row r="12" spans="1:56" x14ac:dyDescent="0.3">
      <c r="A12" s="58"/>
      <c r="B12" s="58"/>
      <c r="C12" s="58"/>
      <c r="D12" s="58"/>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row>
    <row r="13" spans="1:56" x14ac:dyDescent="0.3">
      <c r="A13" s="58"/>
      <c r="B13" s="58"/>
      <c r="C13" s="58"/>
      <c r="D13" s="58"/>
      <c r="E13" s="58"/>
      <c r="F13" s="58"/>
      <c r="G13" s="58"/>
      <c r="H13" s="58"/>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c r="AZ13" s="58"/>
      <c r="BA13" s="58"/>
      <c r="BB13" s="58"/>
      <c r="BC13" s="58"/>
      <c r="BD13" s="58"/>
    </row>
    <row r="14" spans="1:56" x14ac:dyDescent="0.3">
      <c r="A14" s="58"/>
      <c r="B14" s="58"/>
      <c r="C14" s="58"/>
      <c r="D14" s="58"/>
      <c r="E14" s="58"/>
      <c r="F14" s="58"/>
      <c r="G14" s="58"/>
      <c r="H14" s="58"/>
      <c r="I14" s="58"/>
      <c r="J14" s="58"/>
      <c r="K14" s="58"/>
      <c r="L14" s="58"/>
      <c r="M14" s="58"/>
      <c r="N14" s="58"/>
      <c r="O14" s="66"/>
      <c r="P14" s="74" t="s">
        <v>1048</v>
      </c>
      <c r="Q14" s="74" t="s">
        <v>1043</v>
      </c>
      <c r="R14" s="74" t="s">
        <v>1057</v>
      </c>
      <c r="S14" s="74" t="s">
        <v>1053</v>
      </c>
      <c r="T14" s="74" t="s">
        <v>1038</v>
      </c>
      <c r="U14" s="75" t="s">
        <v>145</v>
      </c>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row>
    <row r="15" spans="1:56" x14ac:dyDescent="0.3">
      <c r="A15" s="58"/>
      <c r="B15" s="58"/>
      <c r="C15" s="58"/>
      <c r="D15" s="58"/>
      <c r="E15" s="58"/>
      <c r="F15" s="58"/>
      <c r="G15" s="58"/>
      <c r="H15" s="58"/>
      <c r="I15" s="58"/>
      <c r="J15" s="58"/>
      <c r="K15" s="58"/>
      <c r="L15" s="58"/>
      <c r="M15" s="58"/>
      <c r="N15" s="58"/>
      <c r="O15" s="76" t="str">
        <f>Sheet2!A80</f>
        <v>Cincinnati</v>
      </c>
      <c r="P15" s="58"/>
      <c r="Q15" s="58"/>
      <c r="R15" s="58"/>
      <c r="S15" s="58"/>
      <c r="T15" s="58"/>
      <c r="U15" s="6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8"/>
      <c r="BD15" s="58"/>
    </row>
    <row r="16" spans="1:56" x14ac:dyDescent="0.3">
      <c r="A16" s="58"/>
      <c r="B16" s="58"/>
      <c r="C16" s="58"/>
      <c r="D16" s="58"/>
      <c r="E16" s="58"/>
      <c r="F16" s="58"/>
      <c r="G16" s="58"/>
      <c r="H16" s="58"/>
      <c r="I16" s="58"/>
      <c r="J16" s="58"/>
      <c r="L16" s="58"/>
      <c r="M16" s="58"/>
      <c r="N16" s="58"/>
      <c r="O16" s="67" t="str">
        <f>Sheet2!A81</f>
        <v>C0003</v>
      </c>
      <c r="P16" s="69">
        <f>Sheet2!B81</f>
        <v>891</v>
      </c>
      <c r="Q16" s="69">
        <f>Sheet2!C81</f>
        <v>1332</v>
      </c>
      <c r="R16" s="69">
        <f>Sheet2!D81</f>
        <v>1282</v>
      </c>
      <c r="S16" s="69">
        <f>Sheet2!E81</f>
        <v>739</v>
      </c>
      <c r="T16" s="69">
        <f>Sheet2!F81</f>
        <v>560</v>
      </c>
      <c r="U16" s="70">
        <f>Sheet2!G81</f>
        <v>4804</v>
      </c>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row>
    <row r="17" spans="1:56" x14ac:dyDescent="0.3">
      <c r="A17" s="58"/>
      <c r="B17" s="58"/>
      <c r="C17" s="58"/>
      <c r="D17" s="58"/>
      <c r="E17" s="58"/>
      <c r="F17" s="58"/>
      <c r="G17" s="58"/>
      <c r="H17" s="58"/>
      <c r="I17" s="58"/>
      <c r="J17" s="58"/>
      <c r="K17" s="58"/>
      <c r="L17" s="58"/>
      <c r="M17" s="58"/>
      <c r="N17" s="58"/>
      <c r="O17" s="67" t="str">
        <f>Sheet2!A82</f>
        <v>C0004</v>
      </c>
      <c r="P17" s="69">
        <f>Sheet2!B82</f>
        <v>1991</v>
      </c>
      <c r="Q17" s="69">
        <f>Sheet2!C82</f>
        <v>1886</v>
      </c>
      <c r="R17" s="69">
        <f>Sheet2!D82</f>
        <v>1206</v>
      </c>
      <c r="S17" s="69">
        <f>Sheet2!E82</f>
        <v>884</v>
      </c>
      <c r="T17" s="69">
        <f>Sheet2!F82</f>
        <v>1722</v>
      </c>
      <c r="U17" s="70">
        <f>Sheet2!G82</f>
        <v>7689</v>
      </c>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row>
    <row r="18" spans="1:56" x14ac:dyDescent="0.3">
      <c r="A18" s="58"/>
      <c r="B18" s="58"/>
      <c r="C18" s="58"/>
      <c r="D18" s="58"/>
      <c r="E18" s="58"/>
      <c r="F18" s="58"/>
      <c r="G18" s="58"/>
      <c r="H18" s="58"/>
      <c r="I18" s="58"/>
      <c r="J18" s="58"/>
      <c r="K18" s="58"/>
      <c r="L18" s="58"/>
      <c r="M18" s="58"/>
      <c r="N18" s="58"/>
      <c r="O18" s="67" t="str">
        <f>Sheet2!A83</f>
        <v>C0011</v>
      </c>
      <c r="P18" s="69">
        <f>Sheet2!B83</f>
        <v>1163</v>
      </c>
      <c r="Q18" s="69">
        <f>Sheet2!C83</f>
        <v>1180</v>
      </c>
      <c r="R18" s="69">
        <f>Sheet2!D83</f>
        <v>1616</v>
      </c>
      <c r="S18" s="69">
        <f>Sheet2!E83</f>
        <v>1043</v>
      </c>
      <c r="T18" s="69">
        <f>Sheet2!F83</f>
        <v>1747</v>
      </c>
      <c r="U18" s="70">
        <f>Sheet2!G83</f>
        <v>6749</v>
      </c>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row>
    <row r="19" spans="1:56" x14ac:dyDescent="0.3">
      <c r="A19" s="58"/>
      <c r="B19" s="58"/>
      <c r="C19" s="58"/>
      <c r="D19" s="58"/>
      <c r="E19" s="58"/>
      <c r="F19" s="58"/>
      <c r="G19" s="58"/>
      <c r="H19" s="58"/>
      <c r="I19" s="58"/>
      <c r="J19" s="58"/>
      <c r="K19" s="58"/>
      <c r="L19" s="58"/>
      <c r="M19" s="58"/>
      <c r="N19" s="58"/>
      <c r="O19" s="67" t="str">
        <f>Sheet2!A84</f>
        <v>C0012</v>
      </c>
      <c r="P19" s="69">
        <f>Sheet2!B84</f>
        <v>1438</v>
      </c>
      <c r="Q19" s="69">
        <f>Sheet2!C84</f>
        <v>1616</v>
      </c>
      <c r="R19" s="69">
        <f>Sheet2!D84</f>
        <v>866</v>
      </c>
      <c r="S19" s="69">
        <f>Sheet2!E84</f>
        <v>829</v>
      </c>
      <c r="T19" s="69">
        <f>Sheet2!F84</f>
        <v>2070</v>
      </c>
      <c r="U19" s="70">
        <f>Sheet2!G84</f>
        <v>6819</v>
      </c>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row>
    <row r="20" spans="1:56" x14ac:dyDescent="0.3">
      <c r="A20" s="58"/>
      <c r="B20" s="58"/>
      <c r="C20" s="58"/>
      <c r="D20" s="58"/>
      <c r="E20" s="58"/>
      <c r="F20" s="58"/>
      <c r="G20" s="58"/>
      <c r="H20" s="58"/>
      <c r="I20" s="58"/>
      <c r="J20" s="58"/>
      <c r="K20" s="58"/>
      <c r="L20" s="58"/>
      <c r="M20" s="58"/>
      <c r="N20" s="58"/>
      <c r="O20" s="76" t="str">
        <f>Sheet2!A85</f>
        <v>Cleveland</v>
      </c>
      <c r="P20" s="69"/>
      <c r="Q20" s="69"/>
      <c r="R20" s="69"/>
      <c r="S20" s="69"/>
      <c r="T20" s="69"/>
      <c r="U20" s="70"/>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row>
    <row r="21" spans="1:56" x14ac:dyDescent="0.3">
      <c r="A21" s="58"/>
      <c r="B21" s="58"/>
      <c r="C21" s="58"/>
      <c r="D21" s="58"/>
      <c r="E21" s="58"/>
      <c r="F21" s="58"/>
      <c r="G21" s="58"/>
      <c r="H21" s="58"/>
      <c r="I21" s="58"/>
      <c r="J21" s="58"/>
      <c r="K21" s="58"/>
      <c r="L21" s="58"/>
      <c r="M21" s="58"/>
      <c r="N21" s="58"/>
      <c r="O21" s="67" t="str">
        <f>Sheet2!A86</f>
        <v>C0002</v>
      </c>
      <c r="P21" s="69">
        <f>Sheet2!B86</f>
        <v>1233</v>
      </c>
      <c r="Q21" s="69">
        <f>Sheet2!C86</f>
        <v>223</v>
      </c>
      <c r="R21" s="69">
        <f>Sheet2!D86</f>
        <v>1680</v>
      </c>
      <c r="S21" s="69">
        <f>Sheet2!E86</f>
        <v>990</v>
      </c>
      <c r="T21" s="69">
        <f>Sheet2!F86</f>
        <v>1508</v>
      </c>
      <c r="U21" s="70">
        <f>Sheet2!G86</f>
        <v>5634</v>
      </c>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row>
    <row r="22" spans="1:56" x14ac:dyDescent="0.3">
      <c r="A22" s="58"/>
      <c r="B22" s="58"/>
      <c r="C22" s="58"/>
      <c r="D22" s="58"/>
      <c r="E22" s="58"/>
      <c r="F22" s="58"/>
      <c r="G22" s="58"/>
      <c r="H22" s="58"/>
      <c r="I22" s="58"/>
      <c r="J22" s="58"/>
      <c r="K22" s="58"/>
      <c r="L22" s="58"/>
      <c r="M22" s="58"/>
      <c r="N22" s="58"/>
      <c r="O22" s="67" t="str">
        <f>Sheet2!A87</f>
        <v>C0007</v>
      </c>
      <c r="P22" s="69">
        <f>Sheet2!B87</f>
        <v>1598</v>
      </c>
      <c r="Q22" s="69">
        <f>Sheet2!C87</f>
        <v>1907</v>
      </c>
      <c r="R22" s="69">
        <f>Sheet2!D87</f>
        <v>869</v>
      </c>
      <c r="S22" s="69">
        <f>Sheet2!E87</f>
        <v>1426</v>
      </c>
      <c r="T22" s="69">
        <f>Sheet2!F87</f>
        <v>1416</v>
      </c>
      <c r="U22" s="70">
        <f>Sheet2!G87</f>
        <v>7216</v>
      </c>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row>
    <row r="23" spans="1:56" x14ac:dyDescent="0.3">
      <c r="A23" s="58"/>
      <c r="B23" s="58"/>
      <c r="C23" s="58"/>
      <c r="D23" s="58"/>
      <c r="E23" s="58"/>
      <c r="F23" s="58"/>
      <c r="G23" s="58"/>
      <c r="H23" s="58"/>
      <c r="I23" s="58"/>
      <c r="J23" s="58"/>
      <c r="K23" s="58"/>
      <c r="L23" s="58"/>
      <c r="M23" s="58"/>
      <c r="N23" s="58"/>
      <c r="O23" s="67" t="str">
        <f>Sheet2!A88</f>
        <v>C0008</v>
      </c>
      <c r="P23" s="69">
        <f>Sheet2!B88</f>
        <v>900</v>
      </c>
      <c r="Q23" s="69">
        <f>Sheet2!C88</f>
        <v>1016</v>
      </c>
      <c r="R23" s="69">
        <f>Sheet2!D88</f>
        <v>960</v>
      </c>
      <c r="S23" s="69">
        <f>Sheet2!E88</f>
        <v>940</v>
      </c>
      <c r="T23" s="69">
        <f>Sheet2!F88</f>
        <v>1193</v>
      </c>
      <c r="U23" s="70">
        <f>Sheet2!G88</f>
        <v>5009</v>
      </c>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row>
    <row r="24" spans="1:56" x14ac:dyDescent="0.3">
      <c r="A24" s="58"/>
      <c r="B24" s="58"/>
      <c r="C24" s="58"/>
      <c r="D24" s="58"/>
      <c r="E24" s="58"/>
      <c r="F24" s="58"/>
      <c r="G24" s="58"/>
      <c r="H24" s="58"/>
      <c r="I24" s="58"/>
      <c r="J24" s="58"/>
      <c r="K24" s="58"/>
      <c r="L24" s="58"/>
      <c r="M24" s="58"/>
      <c r="N24" s="58"/>
      <c r="O24" s="67" t="str">
        <f>Sheet2!A89</f>
        <v>C0010</v>
      </c>
      <c r="P24" s="69">
        <f>Sheet2!B89</f>
        <v>900</v>
      </c>
      <c r="Q24" s="69">
        <f>Sheet2!C89</f>
        <v>1470</v>
      </c>
      <c r="R24" s="69">
        <f>Sheet2!D89</f>
        <v>1617</v>
      </c>
      <c r="S24" s="69">
        <f>Sheet2!E89</f>
        <v>1314</v>
      </c>
      <c r="T24" s="69">
        <f>Sheet2!F89</f>
        <v>941</v>
      </c>
      <c r="U24" s="70">
        <f>Sheet2!G89</f>
        <v>6242</v>
      </c>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row>
    <row r="25" spans="1:56" x14ac:dyDescent="0.3">
      <c r="A25" s="58"/>
      <c r="B25" s="58"/>
      <c r="C25" s="58"/>
      <c r="D25" s="58"/>
      <c r="E25" s="58"/>
      <c r="F25" s="58"/>
      <c r="G25" s="58"/>
      <c r="H25" s="58"/>
      <c r="I25" s="58"/>
      <c r="J25" s="58"/>
      <c r="K25" s="58"/>
      <c r="L25" s="58"/>
      <c r="M25" s="58"/>
      <c r="N25" s="58"/>
      <c r="O25" s="67" t="str">
        <f>Sheet2!A90</f>
        <v>C0013</v>
      </c>
      <c r="P25" s="69">
        <f>Sheet2!B90</f>
        <v>1255</v>
      </c>
      <c r="Q25" s="69">
        <f>Sheet2!C90</f>
        <v>516</v>
      </c>
      <c r="R25" s="69">
        <f>Sheet2!D90</f>
        <v>1874</v>
      </c>
      <c r="S25" s="69">
        <f>Sheet2!E90</f>
        <v>1863</v>
      </c>
      <c r="T25" s="69">
        <f>Sheet2!F90</f>
        <v>1722</v>
      </c>
      <c r="U25" s="70">
        <f>Sheet2!G90</f>
        <v>7230</v>
      </c>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row>
    <row r="26" spans="1:56" x14ac:dyDescent="0.3">
      <c r="A26" s="58"/>
      <c r="B26" s="58"/>
      <c r="C26" s="58"/>
      <c r="D26" s="58"/>
      <c r="E26" s="58"/>
      <c r="F26" s="58"/>
      <c r="G26" s="58"/>
      <c r="H26" s="58"/>
      <c r="I26" s="58"/>
      <c r="J26" s="58"/>
      <c r="K26" s="58"/>
      <c r="L26" s="58"/>
      <c r="M26" s="58"/>
      <c r="N26" s="58"/>
      <c r="O26" s="67" t="str">
        <f>Sheet2!A91</f>
        <v>C0015</v>
      </c>
      <c r="P26" s="69">
        <f>Sheet2!B91</f>
        <v>1138</v>
      </c>
      <c r="Q26" s="69">
        <f>Sheet2!C91</f>
        <v>1898</v>
      </c>
      <c r="R26" s="69">
        <f>Sheet2!D91</f>
        <v>1482</v>
      </c>
      <c r="S26" s="69">
        <f>Sheet2!E91</f>
        <v>846</v>
      </c>
      <c r="T26" s="69">
        <f>Sheet2!F91</f>
        <v>1154</v>
      </c>
      <c r="U26" s="70">
        <f>Sheet2!G91</f>
        <v>6518</v>
      </c>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row>
    <row r="27" spans="1:56" x14ac:dyDescent="0.3">
      <c r="A27" s="58"/>
      <c r="B27" s="58"/>
      <c r="C27" s="58"/>
      <c r="D27" s="58"/>
      <c r="E27" s="58"/>
      <c r="F27" s="58"/>
      <c r="G27" s="58"/>
      <c r="H27" s="58"/>
      <c r="I27" s="58"/>
      <c r="J27" s="58"/>
      <c r="K27" s="58"/>
      <c r="L27" s="58"/>
      <c r="M27" s="58"/>
      <c r="N27" s="58"/>
      <c r="O27" s="76" t="str">
        <f>Sheet2!A92</f>
        <v>Columbus</v>
      </c>
      <c r="P27" s="69"/>
      <c r="Q27" s="69"/>
      <c r="R27" s="69"/>
      <c r="S27" s="69"/>
      <c r="T27" s="69"/>
      <c r="U27" s="70"/>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row>
    <row r="28" spans="1:56" x14ac:dyDescent="0.3">
      <c r="A28" s="58"/>
      <c r="B28" s="58"/>
      <c r="C28" s="58"/>
      <c r="D28" s="58"/>
      <c r="E28" s="58"/>
      <c r="F28" s="58"/>
      <c r="G28" s="58"/>
      <c r="H28" s="58"/>
      <c r="I28" s="58"/>
      <c r="J28" s="58"/>
      <c r="K28" s="58"/>
      <c r="L28" s="58"/>
      <c r="M28" s="58"/>
      <c r="N28" s="58"/>
      <c r="O28" s="67" t="str">
        <f>Sheet2!A93</f>
        <v>C0001</v>
      </c>
      <c r="P28" s="69">
        <f>Sheet2!B93</f>
        <v>1655</v>
      </c>
      <c r="Q28" s="69">
        <f>Sheet2!C93</f>
        <v>805</v>
      </c>
      <c r="R28" s="69">
        <f>Sheet2!D93</f>
        <v>2263</v>
      </c>
      <c r="S28" s="69">
        <f>Sheet2!E93</f>
        <v>987</v>
      </c>
      <c r="T28" s="69">
        <f>Sheet2!F93</f>
        <v>1075</v>
      </c>
      <c r="U28" s="70">
        <f>Sheet2!G93</f>
        <v>6785</v>
      </c>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row>
    <row r="29" spans="1:56" x14ac:dyDescent="0.3">
      <c r="A29" s="58"/>
      <c r="B29" s="58"/>
      <c r="C29" s="58"/>
      <c r="D29" s="58"/>
      <c r="E29" s="58"/>
      <c r="F29" s="58"/>
      <c r="G29" s="58"/>
      <c r="H29" s="58"/>
      <c r="I29" s="58"/>
      <c r="J29" s="58"/>
      <c r="K29" s="58"/>
      <c r="L29" s="58"/>
      <c r="M29" s="58"/>
      <c r="N29" s="58"/>
      <c r="O29" s="67" t="str">
        <f>Sheet2!A94</f>
        <v>C0005</v>
      </c>
      <c r="P29" s="69">
        <f>Sheet2!B94</f>
        <v>1104</v>
      </c>
      <c r="Q29" s="69">
        <f>Sheet2!C94</f>
        <v>2280</v>
      </c>
      <c r="R29" s="69">
        <f>Sheet2!D94</f>
        <v>1445</v>
      </c>
      <c r="S29" s="69">
        <f>Sheet2!E94</f>
        <v>1722</v>
      </c>
      <c r="T29" s="69">
        <f>Sheet2!F94</f>
        <v>1196</v>
      </c>
      <c r="U29" s="70">
        <f>Sheet2!G94</f>
        <v>7747</v>
      </c>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row>
    <row r="30" spans="1:56" x14ac:dyDescent="0.3">
      <c r="A30" s="58"/>
      <c r="B30" s="58"/>
      <c r="C30" s="58"/>
      <c r="D30" s="58"/>
      <c r="E30" s="58"/>
      <c r="F30" s="58"/>
      <c r="G30" s="58"/>
      <c r="H30" s="58"/>
      <c r="I30" s="58"/>
      <c r="J30" s="58"/>
      <c r="K30" s="58"/>
      <c r="L30" s="58"/>
      <c r="M30" s="58"/>
      <c r="N30" s="58"/>
      <c r="O30" s="67" t="str">
        <f>Sheet2!A95</f>
        <v>C0006</v>
      </c>
      <c r="P30" s="69">
        <f>Sheet2!B95</f>
        <v>372</v>
      </c>
      <c r="Q30" s="69">
        <f>Sheet2!C95</f>
        <v>1818</v>
      </c>
      <c r="R30" s="69">
        <f>Sheet2!D95</f>
        <v>1346</v>
      </c>
      <c r="S30" s="69">
        <f>Sheet2!E95</f>
        <v>1156</v>
      </c>
      <c r="T30" s="69">
        <f>Sheet2!F95</f>
        <v>1484</v>
      </c>
      <c r="U30" s="70">
        <f>Sheet2!G95</f>
        <v>6176</v>
      </c>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row>
    <row r="31" spans="1:56" x14ac:dyDescent="0.3">
      <c r="A31" s="58"/>
      <c r="B31" s="58"/>
      <c r="C31" s="58"/>
      <c r="D31" s="58"/>
      <c r="E31" s="58"/>
      <c r="F31" s="58"/>
      <c r="G31" s="58"/>
      <c r="H31" s="58"/>
      <c r="I31" s="58"/>
      <c r="J31" s="58"/>
      <c r="K31" s="58"/>
      <c r="L31" s="58"/>
      <c r="M31" s="58"/>
      <c r="N31" s="58"/>
      <c r="O31" s="67" t="str">
        <f>Sheet2!A96</f>
        <v>C0009</v>
      </c>
      <c r="P31" s="69">
        <f>Sheet2!B96</f>
        <v>1415</v>
      </c>
      <c r="Q31" s="69">
        <f>Sheet2!C96</f>
        <v>1271</v>
      </c>
      <c r="R31" s="69">
        <f>Sheet2!D96</f>
        <v>1214</v>
      </c>
      <c r="S31" s="69">
        <f>Sheet2!E96</f>
        <v>1135</v>
      </c>
      <c r="T31" s="69">
        <f>Sheet2!F96</f>
        <v>1566</v>
      </c>
      <c r="U31" s="70">
        <f>Sheet2!G96</f>
        <v>6601</v>
      </c>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row>
    <row r="32" spans="1:56" x14ac:dyDescent="0.3">
      <c r="A32" s="58"/>
      <c r="B32" s="58"/>
      <c r="C32" s="58"/>
      <c r="D32" s="58"/>
      <c r="E32" s="58"/>
      <c r="F32" s="58"/>
      <c r="G32" s="58"/>
      <c r="H32" s="58"/>
      <c r="I32" s="58"/>
      <c r="J32" s="58"/>
      <c r="K32" s="58"/>
      <c r="L32" s="58"/>
      <c r="M32" s="58"/>
      <c r="N32" s="58"/>
      <c r="O32" s="71" t="str">
        <f>Sheet2!A97</f>
        <v>C0014</v>
      </c>
      <c r="P32" s="72">
        <f>Sheet2!B97</f>
        <v>1362</v>
      </c>
      <c r="Q32" s="72">
        <f>Sheet2!C97</f>
        <v>1363</v>
      </c>
      <c r="R32" s="72">
        <f>Sheet2!D97</f>
        <v>1152</v>
      </c>
      <c r="S32" s="72">
        <f>Sheet2!E97</f>
        <v>777</v>
      </c>
      <c r="T32" s="72">
        <f>Sheet2!F97</f>
        <v>750</v>
      </c>
      <c r="U32" s="73">
        <f>Sheet2!G97</f>
        <v>5404</v>
      </c>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row>
    <row r="33" spans="1:56" x14ac:dyDescent="0.3">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row>
    <row r="34" spans="1:56" x14ac:dyDescent="0.3">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row>
    <row r="35" spans="1:56" x14ac:dyDescent="0.3">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row>
    <row r="36" spans="1:56" x14ac:dyDescent="0.3">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row>
    <row r="37" spans="1:56" x14ac:dyDescent="0.3">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row>
    <row r="38" spans="1:56" x14ac:dyDescent="0.3">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row>
    <row r="39" spans="1:56" x14ac:dyDescent="0.3">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row>
    <row r="40" spans="1:56" x14ac:dyDescent="0.3">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row>
    <row r="41" spans="1:56" x14ac:dyDescent="0.3">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row>
    <row r="42" spans="1:56" x14ac:dyDescent="0.3">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row>
    <row r="43" spans="1:56" x14ac:dyDescent="0.3">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row>
    <row r="44" spans="1:56" x14ac:dyDescent="0.3">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row>
    <row r="45" spans="1:56" x14ac:dyDescent="0.3">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row>
    <row r="46" spans="1:56" x14ac:dyDescent="0.3">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row>
    <row r="47" spans="1:56" x14ac:dyDescent="0.3">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row>
    <row r="48" spans="1:56" x14ac:dyDescent="0.3">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row>
    <row r="49" spans="1:56" x14ac:dyDescent="0.3">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row>
    <row r="50" spans="1:56" x14ac:dyDescent="0.3">
      <c r="N50" s="58"/>
      <c r="O50" s="58"/>
      <c r="P50" s="58"/>
      <c r="Q50" s="58"/>
      <c r="R50" s="58"/>
      <c r="S50" s="58"/>
      <c r="T50" s="58"/>
      <c r="U50" s="58"/>
    </row>
  </sheetData>
  <conditionalFormatting sqref="P16:T32">
    <cfRule type="dataBar" priority="5">
      <dataBar>
        <cfvo type="min"/>
        <cfvo type="max"/>
        <color rgb="FF638EC6"/>
      </dataBar>
      <extLst>
        <ext xmlns:x14="http://schemas.microsoft.com/office/spreadsheetml/2009/9/main" uri="{B025F937-C7B1-47D3-B67F-A62EFF666E3E}">
          <x14:id>{A695D463-CA78-4FBB-BC73-EE8CD1F5041C}</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2" id="{2A2F5AC7-C8C5-4E18-9A0C-30ED4626A808}">
            <xm:f>P$14=Sheet2!$A$51</xm:f>
            <x14:dxf>
              <fill>
                <patternFill>
                  <bgColor theme="6" tint="0.79998168889431442"/>
                </patternFill>
              </fill>
            </x14:dxf>
          </x14:cfRule>
          <x14:cfRule type="expression" priority="3" id="{F01DE1A5-1353-406A-954A-2C83D8B5327C}">
            <xm:f>$P$16=Sheet2!$A$51</xm:f>
            <x14:dxf>
              <fill>
                <patternFill>
                  <bgColor theme="6" tint="0.79998168889431442"/>
                </patternFill>
              </fill>
            </x14:dxf>
          </x14:cfRule>
          <x14:cfRule type="expression" priority="4" id="{8C51B0C0-E226-4CB6-9B01-82F033AF276E}">
            <xm:f>$P$16=Sheet2!$A$51</xm:f>
            <x14:dxf/>
          </x14:cfRule>
          <xm:sqref>P14:T32</xm:sqref>
        </x14:conditionalFormatting>
        <x14:conditionalFormatting xmlns:xm="http://schemas.microsoft.com/office/excel/2006/main">
          <x14:cfRule type="dataBar" id="{A695D463-CA78-4FBB-BC73-EE8CD1F5041C}">
            <x14:dataBar minLength="0" maxLength="100" border="1" negativeBarBorderColorSameAsPositive="0">
              <x14:cfvo type="autoMin"/>
              <x14:cfvo type="autoMax"/>
              <x14:borderColor rgb="FF638EC6"/>
              <x14:negativeFillColor rgb="FFFF0000"/>
              <x14:negativeBorderColor rgb="FFFF0000"/>
              <x14:axisColor rgb="FF000000"/>
            </x14:dataBar>
          </x14:cfRule>
          <xm:sqref>P16:T32</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D9E8E0-4A72-4C87-A031-9B4343437E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Basic</vt:lpstr>
      <vt:lpstr>Medals</vt:lpstr>
      <vt:lpstr>Staff</vt:lpstr>
      <vt:lpstr>Formulas</vt:lpstr>
      <vt:lpstr>Pivot tables</vt:lpstr>
      <vt:lpstr>1 &amp; 2</vt:lpstr>
      <vt:lpstr>3&amp;4</vt:lpstr>
      <vt:lpstr>6&amp;7</vt:lpstr>
      <vt:lpstr>5</vt:lpstr>
      <vt:lpstr>8</vt:lpstr>
      <vt:lpstr>9</vt:lpstr>
      <vt:lpstr>10</vt:lpstr>
      <vt:lpstr>Sheet2</vt:lpstr>
      <vt:lpstr>Data</vt:lpstr>
      <vt:lpstr>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 Kandhasamy</dc:creator>
  <cp:lastModifiedBy>Ramya Kandhasamy</cp:lastModifiedBy>
  <dcterms:created xsi:type="dcterms:W3CDTF">2026-03-20T05:58:44Z</dcterms:created>
  <dcterms:modified xsi:type="dcterms:W3CDTF">2026-04-01T05:01:36Z</dcterms:modified>
</cp:coreProperties>
</file>